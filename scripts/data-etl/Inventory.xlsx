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7.xml" ContentType="application/vnd.openxmlformats-officedocument.spreadsheetml.worksheet+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2" firstSheet="0" activeTab="0"/>
  </bookViews>
  <sheets>
    <sheet name="master DB" sheetId="1" state="visible" r:id="rId2"/>
    <sheet name="Spain" sheetId="2" state="visible" r:id="rId3"/>
    <sheet name="Country Classification" sheetId="3" state="visible" r:id="rId4"/>
    <sheet name="IndustryCategory" sheetId="4" state="visible" r:id="rId5"/>
    <sheet name="sources" sheetId="5" state="hidden" r:id="rId6"/>
    <sheet name="Data Use" sheetId="6" state="visible" r:id="rId7"/>
    <sheet name="notes" sheetId="7" state="visible" r:id="rId8"/>
  </sheets>
  <calcPr iterateCount="100" refMode="A1" iterate="false" iterateDelta="0.0001"/>
</workbook>
</file>

<file path=xl/sharedStrings.xml><?xml version="1.0" encoding="utf-8"?>
<sst xmlns="http://schemas.openxmlformats.org/spreadsheetml/2006/main" count="22787" uniqueCount="9120">
  <si>
    <t>Viz (Y/N)</t>
  </si>
  <si>
    <t>last reviewer</t>
  </si>
  <si>
    <t>Name of organization</t>
  </si>
  <si>
    <t>Type of organization</t>
  </si>
  <si>
    <t>URL</t>
  </si>
  <si>
    <t>Description of organization</t>
  </si>
  <si>
    <t>City</t>
  </si>
  <si>
    <t>Region / State</t>
  </si>
  <si>
    <t>Country</t>
  </si>
  <si>
    <t>Industry/category</t>
  </si>
  <si>
    <t>Founding year10</t>
  </si>
  <si>
    <t>Size</t>
  </si>
  <si>
    <t>Type of impact</t>
  </si>
  <si>
    <t>DATA USE</t>
  </si>
  <si>
    <t>Type of use</t>
  </si>
  <si>
    <t>SOURCE15</t>
  </si>
  <si>
    <t>First Name</t>
  </si>
  <si>
    <t>Last Name</t>
  </si>
  <si>
    <t>Title</t>
  </si>
  <si>
    <t>Email</t>
  </si>
  <si>
    <t>Phone</t>
  </si>
  <si>
    <t>Contact info (Y/N)</t>
  </si>
  <si>
    <t>contacted (Y/N)</t>
  </si>
  <si>
    <t>type (email/phone)</t>
  </si>
  <si>
    <t>date</t>
  </si>
  <si>
    <t>survey submitted (Y/N)</t>
  </si>
  <si>
    <t>Con. (1-5)</t>
  </si>
  <si>
    <t>NOTES / Additional information</t>
  </si>
  <si>
    <t>reference link 1</t>
  </si>
  <si>
    <t>reference link 2</t>
  </si>
  <si>
    <t>reference link 3</t>
  </si>
  <si>
    <t>Y</t>
  </si>
  <si>
    <t>aa</t>
  </si>
  <si>
    <t>WebLaws.org</t>
  </si>
  <si>
    <t>http://oregonlaws.org</t>
  </si>
  <si>
    <t>We’ve developed OregonLaws.org to: Increase access to the legal system by publishing accessible legal content and lowering the cost of legal research, and create new ways to browse and learn the law</t>
  </si>
  <si>
    <t>USA</t>
  </si>
  <si>
    <t>Business and legal services </t>
  </si>
  <si>
    <t>Optimization: We've had a profound impact on peoples' ability to (1) discuss Oregon law, and (2) easily find, read, and print it. We achieved this by creating a web application incorporating best practices for permalinking, semantic markup and readability. Our site has become the go-to resource for Oregon law for lawyers, the public, and students.</t>
  </si>
  <si>
    <t>Sunlight Foundation Social Impact list</t>
  </si>
  <si>
    <t>Robb Shecter</t>
  </si>
  <si>
    <t>robb@weblaws.org</t>
  </si>
  <si>
    <t>StickerRide </t>
  </si>
  <si>
    <t>http://www.stickerride.com</t>
  </si>
  <si>
    <t>Moscow</t>
  </si>
  <si>
    <t>RUS</t>
  </si>
  <si>
    <t>World Bank Pipeline research </t>
  </si>
  <si>
    <t>Yasol LLC</t>
  </si>
  <si>
    <t>Housing and real estate</t>
  </si>
  <si>
    <t>tt</t>
  </si>
  <si>
    <t>Observatorios de Seguridad Ciudadana</t>
  </si>
  <si>
    <t>Nonprofit</t>
  </si>
  <si>
    <t>http://www.observatoriourbano.org.pe/modulo_vigilancia_ciudadana/04_normas_nacionales.html</t>
  </si>
  <si>
    <t>It is a collaborative platform desco Urban Program, created for reflection and analysis of urban dynamics. Their goal is to contribute to the formation of viable proposals for inclusive development policies for cities and their inhabitants. Their mission is to produce relevant for provision of social organizations and public authorities which, through their actions and initiatives decide the fate of cities information.</t>
  </si>
  <si>
    <t>Villa El Salvador</t>
  </si>
  <si>
    <t>Lima</t>
  </si>
  <si>
    <t>PER</t>
  </si>
  <si>
    <t>Governance </t>
  </si>
  <si>
    <t>Governance</t>
  </si>
  <si>
    <t>World Bank Group and Inter-American Development Bank</t>
  </si>
  <si>
    <t>Agro Cocoa Investment Limited</t>
  </si>
  <si>
    <t>For Profit</t>
  </si>
  <si>
    <t>http://www.agrococoainvestment.com</t>
  </si>
  <si>
    <t>Agro Cocoa Investments mission is to create, establish and manage a sustainable cocoa farming project in Ghana for the creation of employment in Ghana and to partake in increasing the annual cocoa yield to accelerate econ0mic growth and also restoring Ghana's glory in the cocoa industry.</t>
  </si>
  <si>
    <t>Kumasi</t>
  </si>
  <si>
    <t>GHA</t>
  </si>
  <si>
    <t>Agriculture</t>
  </si>
  <si>
    <t>Cocoa manufacturers</t>
  </si>
  <si>
    <t>Climate-Corporation</t>
  </si>
  <si>
    <t>http://www.climate.com</t>
  </si>
  <si>
    <t>The Climate Corporation aims to help farmers around the world protect and improve their farming operations with uniquely powerful software and insurance products.</t>
  </si>
  <si>
    <t>San Francisco</t>
  </si>
  <si>
    <t>CA</t>
  </si>
  <si>
    <t>51-200</t>
  </si>
  <si>
    <t>Economic</t>
  </si>
  <si>
    <t>Environment;USA;National | Weather;USA;National | Agriculture;USA;National</t>
  </si>
  <si>
    <t>OD500 US (submitted)</t>
  </si>
  <si>
    <t>Matt Garvert</t>
  </si>
  <si>
    <t>mgarvert@climate.com</t>
  </si>
  <si>
    <t>Cropin Technology</t>
  </si>
  <si>
    <t>http://cropin.co.in</t>
  </si>
  <si>
    <t>CropIn is an effort to provide Agri businesses the technology and expertise needed to create a smarter and safer food supply for consumers around the world. We integrate the agricultural sector with Information and communication Technology (ICT) by putting a network of ERP and Business Intelligence across Rural India and collaborate with the different value chain participants along the supply chain to monitor farm produce status more closely.</t>
  </si>
  <si>
    <t>IND</t>
  </si>
  <si>
    <t>agriculture</t>
  </si>
  <si>
    <t>India sector slides</t>
  </si>
  <si>
    <t>Cultivando Futuro</t>
  </si>
  <si>
    <t>http://cultivandofuturo.tumblr.com/</t>
  </si>
  <si>
    <t>Bogota</t>
  </si>
  <si>
    <t>COL</t>
  </si>
  <si>
    <t>Farming instructor</t>
  </si>
  <si>
    <t>http://mvigour.com/FarmingInstructor.html</t>
  </si>
  <si>
    <t>Dodoma</t>
  </si>
  <si>
    <t>TZA</t>
  </si>
  <si>
    <t>FarmLogs</t>
  </si>
  <si>
    <t>For profit</t>
  </si>
  <si>
    <t>farmlogs.com</t>
  </si>
  <si>
    <t>FarmLogs is a way for farmers to forecast and measure profits, track expenses, manage risk, and get informed all from one place.</t>
  </si>
  <si>
    <t>Ann Arbor</t>
  </si>
  <si>
    <t>MI</t>
  </si>
  <si>
    <t>11-50</t>
  </si>
  <si>
    <t>Economic </t>
  </si>
  <si>
    <t>Agiculture;USA;National | Weather;USA;National</t>
  </si>
  <si>
    <t>Jesse Vollmar</t>
  </si>
  <si>
    <t>jesse@farmlogs.com</t>
  </si>
  <si>
    <t>Locavore</t>
  </si>
  <si>
    <t>http://www.getlocavore.com</t>
  </si>
  <si>
    <t>Locavore enables users to find local, in-season food at nearby farmers' markets and farms.</t>
  </si>
  <si>
    <t>Madison</t>
  </si>
  <si>
    <t>WI</t>
  </si>
  <si>
    <t>1-10</t>
  </si>
  <si>
    <t>Geospatial/mapping;USA;National</t>
  </si>
  <si>
    <t>OD500 US (unsubmitted)</t>
  </si>
  <si>
    <t>mandi trades</t>
  </si>
  <si>
    <t>http://www.manditrades.com/</t>
  </si>
  <si>
    <t>Location based F2S (Farm to Shop) trading platform for agricultural products. Commodity Farm Produce Information is provided by Government of India open data: http://www.data.gov.in. Biggest problem for farmers is marketing. When a farmer registers in Mandi Trades, it captures produce and location details. Buyers can search and contact farmers directly through their smart phone.</t>
  </si>
  <si>
    <t>Agriculture </t>
  </si>
  <si>
    <t>Mercaris</t>
  </si>
  <si>
    <t>http://www.mercaris.com/</t>
  </si>
  <si>
    <t>Mercaris provides critical market data and online trading for organic, non-GMO, and other identity-preserved agricultural commodities and ingredients.</t>
  </si>
  <si>
    <t>Silver Spring</t>
  </si>
  <si>
    <t>MD</t>
  </si>
  <si>
    <t>Agriculture;USA;National</t>
  </si>
  <si>
    <t>Kellee James</t>
  </si>
  <si>
    <t>kellee.james@mercariscompany.com</t>
  </si>
  <si>
    <t>Mkulima Young</t>
  </si>
  <si>
    <t>http://www.mkulimayoung.co.ke/</t>
  </si>
  <si>
    <t>Nairobi</t>
  </si>
  <si>
    <t>KEN</t>
  </si>
  <si>
    <t>Solapa</t>
  </si>
  <si>
    <t>http://www.solapa4.com/en</t>
  </si>
  <si>
    <t>Buenos Aires</t>
  </si>
  <si>
    <t>ARG</t>
  </si>
  <si>
    <t>Syecomp Business Services Ltd</t>
  </si>
  <si>
    <t>http://www.agricinghana.com</t>
  </si>
  <si>
    <t>Accra</t>
  </si>
  <si>
    <t>Y </t>
  </si>
  <si>
    <t>WeatherSafe</t>
  </si>
  <si>
    <t>http://weathersafe.co.uk/</t>
  </si>
  <si>
    <t>Weather app being used in Rwanda to help coffee farmers by providing hyper local weather information. The WeatherSafe FE App acts as the delivery system for the farming intelligence provided by the unique WeatherSafe predictive models. It provides up-to-date, highly targeted and critical information and recommendations straight in the hands of the coffee farmers.</t>
  </si>
  <si>
    <t>RWA</t>
  </si>
  <si>
    <t>Environmental</t>
  </si>
  <si>
    <t>kg</t>
  </si>
  <si>
    <t>WhyHunger</t>
  </si>
  <si>
    <t>http://www.whyhunger.org</t>
  </si>
  <si>
    <t>WhyHunger is a leading advocate for innovative, community-based solutions to hunger and poverty.</t>
  </si>
  <si>
    <t>New York</t>
  </si>
  <si>
    <t>NY</t>
  </si>
  <si>
    <t>Social</t>
  </si>
  <si>
    <t>Agriculture; USA; National</t>
  </si>
  <si>
    <t>new</t>
  </si>
  <si>
    <t>Roundtables</t>
  </si>
  <si>
    <t>Waste Not OC Coalition</t>
  </si>
  <si>
    <t>Other (PPP)</t>
  </si>
  <si>
    <t>http://www.wastenotoc.org</t>
  </si>
  <si>
    <t>The Waste Not OC Coalition is a public-private partnership to reduce hunger and food waste by facilitating the donation of wholesome surplus food.</t>
  </si>
  <si>
    <t>Orange County</t>
  </si>
  <si>
    <t>Agriculture; USA; National | Agriculture; USA; Regional</t>
  </si>
  <si>
    <t>research</t>
  </si>
  <si>
    <t>Greenish Bright Farms Ltd</t>
  </si>
  <si>
    <t>http://www.greenishbright.com</t>
  </si>
  <si>
    <t>Dormaa</t>
  </si>
  <si>
    <t>HintSolutions</t>
  </si>
  <si>
    <t>http://www.hintsolutions.ru/</t>
  </si>
  <si>
    <t>AccessArt</t>
  </si>
  <si>
    <t>http://www.accessart.org.uk/</t>
  </si>
  <si>
    <t>AccessArt is a membership organisation registered charity which shares high quality visual arts workshops and events to a wide audience, and teaching and learning resources</t>
  </si>
  <si>
    <t>GBR</t>
  </si>
  <si>
    <t>Arts and culture</t>
  </si>
  <si>
    <t>ODI (Public Candidate Database)</t>
  </si>
  <si>
    <t>Founders/Creative Directors: Paula Briggs, Sheila Ceccarelli</t>
  </si>
  <si>
    <t>@AccessArt, info@accessart.org.uk</t>
  </si>
  <si>
    <t>00 44 (0)1223 262134</t>
  </si>
  <si>
    <t>- No Information on Data Usage</t>
  </si>
  <si>
    <t>Actuated Futures</t>
  </si>
  <si>
    <t>http://actuatedfutures.com/</t>
  </si>
  <si>
    <t>Actuated Futures are a technology company building the infrastructure for people to access real-time information on their buildings and neighbourhoods</t>
  </si>
  <si>
    <t>Paul Connell (Founder), Matt Edgar (Product Manager)</t>
  </si>
  <si>
    <t>@actuatedfutures, paul@actuatedfutures.com</t>
  </si>
  <si>
    <t>Paul: 0044 07833 488697</t>
  </si>
  <si>
    <t>^ Information on Housing Areas Services, using data on their own houses + transporation data?</t>
  </si>
  <si>
    <t>Crowd Voice </t>
  </si>
  <si>
    <t>http://www.crowdvoice.org/</t>
  </si>
  <si>
    <t>CrowdVoice tracks voices of protest by curating and contextualizing valuable data, such as eyewitness videos, photos, and reports as a means to facilitate awareness regarding current social justice movements worldwide.</t>
  </si>
  <si>
    <t>null </t>
  </si>
  <si>
    <t>BHR</t>
  </si>
  <si>
    <t>http://www.civicstack.org/</t>
  </si>
  <si>
    <t>crowdvoice@mideastyouth.com</t>
  </si>
  <si>
    <t>ideas42</t>
  </si>
  <si>
    <t>http://www.ideas42.org/</t>
  </si>
  <si>
    <t>Ideas42 uses behavioral economics to do social good and have impact at scale. They work on a wide range of problems across a number of policy domains, including consumer finance, economic mobility, higher education, criminal justice, health, and international development. We partner with foundations, government bodies, private companies and other non-profits, and engage in three pillars of work:</t>
  </si>
  <si>
    <t>Environment;USA;National | Finance;USA;National</t>
  </si>
  <si>
    <t>Will Tucker</t>
  </si>
  <si>
    <t>will@ideas42.org</t>
  </si>
  <si>
    <t>N</t>
  </si>
  <si>
    <t>Twenty Fingers</t>
  </si>
  <si>
    <t>NA</t>
  </si>
  <si>
    <t>http://www.filmcontact.com/member/stefan-coetzer</t>
  </si>
  <si>
    <t>Cape Town</t>
  </si>
  <si>
    <t>ZAF</t>
  </si>
  <si>
    <t>no information</t>
  </si>
  <si>
    <t>eMoksha</t>
  </si>
  <si>
    <t>http://www.emoksha.org/about.html</t>
  </si>
  <si>
    <t>Datalabs</t>
  </si>
  <si>
    <t>http://www.dmlabs.org</t>
  </si>
  <si>
    <t>Saint Petersburg</t>
  </si>
  <si>
    <t>Data/information technology </t>
  </si>
  <si>
    <t>Fundación Civio</t>
  </si>
  <si>
    <t>http://dondevanmisimpuestos.es</t>
  </si>
  <si>
    <t>An online tool that presents precise, visual and easily understandable governmental budgets.</t>
  </si>
  <si>
    <t>ESP</t>
  </si>
  <si>
    <t>David Cabo</t>
  </si>
  <si>
    <t>contacto@civio.es</t>
  </si>
  <si>
    <t>1) After a first version of the site was launched in 2010, covering the national-level budget, two regional governments in Basque Country and Aragón created new official budget visualization sites, using open data and an open source platform. These new sites included not only the budget, but actual expenditure figures, at a level previously unavailable. In 2014, the Torrelodones (Madrid) city council have used the platform to publish their budget data. In 2015, several other regional and local governments are adopting the tool or have expressed their interest in doing so.
 2) It is used in schools and universities to explain how the budget is allocated.</t>
  </si>
  <si>
    <t>Hasadna.org.il</t>
  </si>
  <si>
    <t>http://www.obudget.org/?forceTour=1#main//2014/en</t>
  </si>
  <si>
    <t>The Budget Key is an Israeli national budget transparency website that emphasizes the use and misuse of budgetary transactions through the year and under the radar of parliamentary oversight. The site collects (scrapes) data from several official sources and provides deep tools for oversight and analysis.</t>
  </si>
  <si>
    <t>ISR</t>
  </si>
  <si>
    <t>Mushon Zer-Aviv</t>
  </si>
  <si>
    <t>mushon@shual.com</t>
  </si>
  <si>
    <t>The site provides unprecedented insights into the way the government uses tax payer money through the year. Both journalists, CSOs, researchers and politicians have been using the site and the data it provides to expose shady deals, unofficial policies and even an explosive corruption scandal that is reshaping the elections. Moreover, an young opposition MP that has been using the site through her demand for more budgetary transparency and oversight has won public support and has arrived 2nd in the recent Labor party primaries especially because of her work and use of the site.</t>
  </si>
  <si>
    <t>City of Gdańsk in cooperation with ePaństwo Foundation (ePF)</t>
  </si>
  <si>
    <t>http://www.gdansk.pl/otwartygdansk</t>
  </si>
  <si>
    <t>Open Gdańsk is a project which consists of sharing with the citizens data collected by the city and the use of new technologies to promote transparent governance. It assumes a gradual release of new collections of public data, published in the open and structured formats allowing their re-use. Its aim is to create conditions for the innovative use of information and inspiring entrepreneurship.</t>
  </si>
  <si>
    <t>POL</t>
  </si>
  <si>
    <t>Magda Siwanowicz (ePF) Tomasz Nadolny (City Gdańsk)</t>
  </si>
  <si>
    <t>magda.siwanowicz@epf.org.pl tomasz.nadolny@gdansk.gda.pl</t>
  </si>
  <si>
    <t>Access to data allows residents to easily familiarize themselves with the operation of their city. It
 also allows increased involvement in the affairs of the city and facilitates the implementation of new social and business initiatives based on public data.</t>
  </si>
  <si>
    <t>Centre for Budget Monitoring</t>
  </si>
  <si>
    <t>www.budgetmonitoring.nl</t>
  </si>
  <si>
    <t>The aim of The Centre of Budget Monitoring and Citizen Participation is to promote budget monitoring with which civil initiatives and organizations gain insight and knowledge on public-policy making and government expenditure. The Centre of Budget monitoring and Citizen Participation implements budget monitoring as tool to enable citizen’s access to financial information, to promote social participation in public policy-making and to monitor the expenditure of determined budgets of various governmental organizations. It aims to strengthen civil society and to enhance social participation by informing citizens on their rights of partaking in public budgets. Using budget monitoring fosters dialogues between citizens and the government, allowing exchange and discussion on priorities and finding solutions for specific needs of citizens. Centrum for Budget Monitoring works in close collaboration with INESC (The Institute for Socioeconomic Studies), an expert in budget monitoring in Brazil. The activities of the Center include: conducting research and advising civil organizations and governmental institutions, giving workshops on budget monitoring, organizing conferences and symposia.</t>
  </si>
  <si>
    <t>NLD</t>
  </si>
  <si>
    <t>Finance and investment</t>
  </si>
  <si>
    <t>Martijn Kool</t>
  </si>
  <si>
    <t>mkool@budgetmonitoring.nl</t>
  </si>
  <si>
    <t>Opening up financial data on the level of neighborhood. Improving the visibility and impact of communities towards the local political system</t>
  </si>
  <si>
    <t>World Bank (during time of project)</t>
  </si>
  <si>
    <t>http://www.scribd.com/doc/232433281/Open-Financial-Data</t>
  </si>
  <si>
    <t>Conventional methods of measuring and gauging activity around open data seem incomplete and unsatisfying, and are mostly focused on online interaction. Unearthing additional elements and exploring the measurement of demand further would help increase understanding, inform the continued practical growth of open data efforts and activities, and hopefully result in more relevant, accessible, and widely used data. Data that is more widely used is more likely to serve as the foundation for positive reforms and changes at the local level. There is growing potential and evidence of citizens using open data in interacting with local officials and development professionals to help monitor and improve the delivery and efficiency of public goods and services. Open financial data whether it is financing, budgeting, spending, or procurement information is a logical and fertile entry point for this type of citizen-driven accountability.</t>
  </si>
  <si>
    <t>Sam Lee</t>
  </si>
  <si>
    <t>sammyslee@gmail.com</t>
  </si>
  <si>
    <t>Examples of offline citizens engaging and exploring use of previously unaccessed data about their community.</t>
  </si>
  <si>
    <t>Advice NI</t>
  </si>
  <si>
    <t>http://www.adviceni.net/index.cfm</t>
  </si>
  <si>
    <t>Advice NI's is an advice network with the mission to develop an independent advice sector and a society of confident, informed, and active citizens who can access their rights and entitlements</t>
  </si>
  <si>
    <t>Business and legal services</t>
  </si>
  <si>
    <t>Truestess: Mary McManus, Mathilda Taulbutt </t>
  </si>
  <si>
    <t>@AdviceNI, info@adviceni.net</t>
  </si>
  <si>
    <t>0044 028 9064 5919</t>
  </si>
  <si>
    <t>- No information on Data Usage, but they assist in Tax Counselling </t>
  </si>
  <si>
    <t>Aistemos</t>
  </si>
  <si>
    <t>https://aistemos.com/</t>
  </si>
  <si>
    <t>Aistemos is a specialist intellectual property consultancy, providing analytics and risk management services</t>
  </si>
  <si>
    <t>Nigel Swycher (CEO) Steve Harris (CTO) </t>
  </si>
  <si>
    <t>@aistemos, info@aistemos.com</t>
  </si>
  <si>
    <t>44 (0)20 7420 0222</t>
  </si>
  <si>
    <t>^ IP Analytics is a Data Visualization Tool, mostly on patents</t>
  </si>
  <si>
    <t>https://aistemos.com/story/</t>
  </si>
  <si>
    <t>Allens Linklaters</t>
  </si>
  <si>
    <t>http://www.allens.com.au/</t>
  </si>
  <si>
    <t>Allens is an international commercial law firm with offices throughout Australia and Asia.</t>
  </si>
  <si>
    <t>AUS</t>
  </si>
  <si>
    <t>OD500 AU</t>
  </si>
  <si>
    <t>A commercial law firm</t>
  </si>
  <si>
    <t>Alternativas y Capacidades</t>
  </si>
  <si>
    <t>http://www.alternativasycapacidades.org/</t>
  </si>
  <si>
    <t>Alternativas &amp; Capacidaes mission is to strengthen advocacy skills in organized civil society, promote strategic social investment and work for an environment conducive to participation in the public sphere, with the aim of contributing to the social environment.</t>
  </si>
  <si>
    <t>MEX</t>
  </si>
  <si>
    <t>International/global development;MEX;National</t>
  </si>
  <si>
    <t>OD500 MX</t>
  </si>
  <si>
    <t>ANTAD</t>
  </si>
  <si>
    <t>http://www.antad.net/</t>
  </si>
  <si>
    <t>Agriculture;MEX;National | Consumer;MEX;National | Economics;MEX;National | Business;MEX;National | Energy;MEX;National</t>
  </si>
  <si>
    <t>Ashurst</t>
  </si>
  <si>
    <t>https://www.ashurst.com</t>
  </si>
  <si>
    <t>Ashurst is a leading global law firm advising local and international corporations, financial institutions and government clients. </t>
  </si>
  <si>
    <t>1000+</t>
  </si>
  <si>
    <t>100%Open</t>
  </si>
  <si>
    <t>http://www.100open.com</t>
  </si>
  <si>
    <t>100%Open is a specialist open innovation agency that helps large organisations create value by innovating with others</t>
  </si>
  <si>
    <t>Cofounders: Roland Harwood, David Simoes-Brown</t>
  </si>
  <si>
    <t>roland@100open.com, david@100open.com </t>
  </si>
  <si>
    <t>0044 2077591050</t>
  </si>
  <si>
    <t>- None - Open Innovation</t>
  </si>
  <si>
    <t>ActionAid</t>
  </si>
  <si>
    <t>http://www.actionaid.org.uk/campaign/ftse-100-tax-haven-tracker</t>
  </si>
  <si>
    <t>The FTSE 100 tax haven tracker visualized the largest 100 companies, listed on the London Stock Exchange, which are using tax haven on a map.</t>
  </si>
  <si>
    <t>Data mapping of tax evasion in UK - uses Companies House data filed by companies and made open by UK</t>
  </si>
  <si>
    <t>https://docs.google.com/document/d/1mAV6eu4htsVc9KXEpdorTiavb4xyvmUuJpiPNrbI3Jw/edit</t>
  </si>
  <si>
    <t>Adaptive</t>
  </si>
  <si>
    <t>http://www.adaptive.com</t>
  </si>
  <si>
    <t>Adaptive helps organizations leverage what they have by providing a knowledge management asset that facilitates reuse, analytics and compliance throughout the organization.</t>
  </si>
  <si>
    <t>Irvine</t>
  </si>
  <si>
    <t>Data analysis and storage</t>
  </si>
  <si>
    <t>ASC Partners</t>
  </si>
  <si>
    <t>http://www.asc-partners.com</t>
  </si>
  <si>
    <t>ASC helps companies improve their productivity through technologies involving business process analyses, back office accounting systems, business applications, software integration, and analytical solutions.</t>
  </si>
  <si>
    <t>Boston</t>
  </si>
  <si>
    <t>MA</t>
  </si>
  <si>
    <t>Finance;USA;National</t>
  </si>
  <si>
    <t>Avvo</t>
  </si>
  <si>
    <t>http://www.avvo.com</t>
  </si>
  <si>
    <t>Avvo.com is a legal marketplace for consumers and attorneys.</t>
  </si>
  <si>
    <t>Seattle</t>
  </si>
  <si>
    <t>WA</t>
  </si>
  <si>
    <t>Legal;USA;National | Legal;USA;Regional</t>
  </si>
  <si>
    <t>Legal services </t>
  </si>
  <si>
    <t>Buholegal</t>
  </si>
  <si>
    <t>http://www.buholegal.com/</t>
  </si>
  <si>
    <t>The Buholegal system lets you see the list of agreements and records of all federal courts of Mexico, as well as the courts of ordinary jurisdiction of the Federal District and the State of Veracruz and soon other states of the Republic. The system not only allows you to consult but to create alerts on specific cases, which will notify you when there is a new agreement in such cases. These notifications are sent to your email.</t>
  </si>
  <si>
    <t>Economics;MEX;National | Education;MEX;National | Legal;MEX;National</t>
  </si>
  <si>
    <t>Business and Legal Resources</t>
  </si>
  <si>
    <t>http://www.blr.com</t>
  </si>
  <si>
    <t>Business &amp; Legal Resources helps U.S. businesses simplify compliance with state and federal legal requirements.</t>
  </si>
  <si>
    <t>Brentwood</t>
  </si>
  <si>
    <t>TN</t>
  </si>
  <si>
    <t>Demographics and social;USA;National</t>
  </si>
  <si>
    <t>Centro Mexicano para la FilantropÃ­a (CEMEFI)</t>
  </si>
  <si>
    <t>http://www.cemefi.org/</t>
  </si>
  <si>
    <t>Business;MEX;National</t>
  </si>
  <si>
    <t>Clayton Utz</t>
  </si>
  <si>
    <t>Compliance and Risks</t>
  </si>
  <si>
    <t>http://www.complianceandrisks.com</t>
  </si>
  <si>
    <t>Compliance &amp; Risks provides companies with web-based solutions to get their products to market fully compliant with all applicable global and/or local legislations.</t>
  </si>
  <si>
    <t>Oregon House</t>
  </si>
  <si>
    <t>Confederacian Patronal de la Republica Mexicana (COPARMEX)</t>
  </si>
  <si>
    <t>coparmex.org</t>
  </si>
  <si>
    <t>Copyright Clearance Center</t>
  </si>
  <si>
    <t>http://www.copyright.com</t>
  </si>
  <si>
    <t>Copyright Clearance Center (CCC) is a global rights broker for books, journals, blogs, movies and more.</t>
  </si>
  <si>
    <t>Danvers</t>
  </si>
  <si>
    <t>201-500</t>
  </si>
  <si>
    <t>Legal;USA;National</t>
  </si>
  <si>
    <t>CostQuest</t>
  </si>
  <si>
    <t>http://www.costquest.com</t>
  </si>
  <si>
    <t>CostQuest provides global knowledge of costs, business functions, network modeling, telecommunications, economics, regulation, and applying the right data to make accurate business decisions.</t>
  </si>
  <si>
    <t>Cincinnati</t>
  </si>
  <si>
    <t>OH</t>
  </si>
  <si>
    <t>Dun--Bradstreet</t>
  </si>
  <si>
    <t>http://www.dnb.com</t>
  </si>
  <si>
    <t>D&amp;B is a global source of business insight, delivered through a commercial database containing information on over 225 million corporate locations in over 190 countries.</t>
  </si>
  <si>
    <t>Short Hills</t>
  </si>
  <si>
    <t>NJ</t>
  </si>
  <si>
    <t>Finance;USA;National | Legal;USA;National</t>
  </si>
  <si>
    <t>Chris Corrie</t>
  </si>
  <si>
    <t>corriec@dnb.com</t>
  </si>
  <si>
    <t>Ecodesk</t>
  </si>
  <si>
    <t>https://www.ecodesk.com</t>
  </si>
  <si>
    <t>Ecodesk is a global supply chain sustainability service provider that uses an open cloud-based sustainability platform.</t>
  </si>
  <si>
    <t>Environment;USA;National</t>
  </si>
  <si>
    <t>Equal Pay for Women</t>
  </si>
  <si>
    <t>http://resources.alljobopenings.com/equality</t>
  </si>
  <si>
    <t>The Demand Equal Pay for Women app is available on Careerthoughts.com, a job search/career site with analysis of data on gender equality in compensation.</t>
  </si>
  <si>
    <t>Midlothian</t>
  </si>
  <si>
    <t>VA</t>
  </si>
  <si>
    <t>Economics;USA;National</t>
  </si>
  <si>
    <t>EY</t>
  </si>
  <si>
    <t>www.ey.com/</t>
  </si>
  <si>
    <t>Ernst &amp; Young Global Limited is a multinational professional services firm headquartered in London, United Kingdom.</t>
  </si>
  <si>
    <t>London </t>
  </si>
  <si>
    <t>UK</t>
  </si>
  <si>
    <t>Science and research;MEX;National | Consumer; MEX;National | Economics; MEX;National | Business; MEX;National | Finance; MEX;National | Manufacturing; MEX;National | Government operations; MEX;National | Transportation; MEX;National | Energy; MEX;National</t>
  </si>
  <si>
    <t>Vicky Conybeer (Head of External Communications)</t>
  </si>
  <si>
    <t>@EYnews, vconybeer@uk.ey.com</t>
  </si>
  <si>
    <t>0044 (0)122 33 94400</t>
  </si>
  <si>
    <t>* Finance/Tax Consultancy </t>
  </si>
  <si>
    <t>Fastcase</t>
  </si>
  <si>
    <t>www.fastcase.com </t>
  </si>
  <si>
    <t>Fastcase puts the American law library on desktops by providing online access to millions of cases, statutes, and regulations.</t>
  </si>
  <si>
    <t>Washington</t>
  </si>
  <si>
    <t>DC</t>
  </si>
  <si>
    <t>Ed Walters</t>
  </si>
  <si>
    <t>ed.walters@fastcase.com</t>
  </si>
  <si>
    <t>FirstPoint, Inc.</t>
  </si>
  <si>
    <t>https://www.firstpointresources.com/</t>
  </si>
  <si>
    <t>FirstPoint, Inc. is a national provider of information and operation services, offering Equifax credit solutions, revenue cycle management, decision data and organizational management.</t>
  </si>
  <si>
    <t>Greensboro</t>
  </si>
  <si>
    <t>NC</t>
  </si>
  <si>
    <t>null;USA;Regional</t>
  </si>
  <si>
    <t>Galorath-Incorporated</t>
  </si>
  <si>
    <t>www.galorath.com</t>
  </si>
  <si>
    <t>Galorath's SEER tools help remove the risk and uncertainty from projects by providing predictions of their time and cost to develop.</t>
  </si>
  <si>
    <t>El Segundo</t>
  </si>
  <si>
    <t>Lee Fischman</t>
  </si>
  <si>
    <t>info@galorath.com</t>
  </si>
  <si>
    <t>Google</t>
  </si>
  <si>
    <t>Herbert Smith Freehills</t>
  </si>
  <si>
    <t>Innography</t>
  </si>
  <si>
    <t>http://www.innography.com</t>
  </si>
  <si>
    <t>Innography combines patent data with many other data sources and analytics and visualizations to provide unique insights about patent assets, competitor actions and technology trends.</t>
  </si>
  <si>
    <t>Austin</t>
  </si>
  <si>
    <t>TX</t>
  </si>
  <si>
    <t>Health/healthcare;USA;National | Legal;USA;National | Economics;USA;National | Finance;USA;National</t>
  </si>
  <si>
    <t>John Martin</t>
  </si>
  <si>
    <t>jmartin@innography.com</t>
  </si>
  <si>
    <t>Intelius</t>
  </si>
  <si>
    <t>http://corp.intelius.com/</t>
  </si>
  <si>
    <t>Intelius specializes in public records information, offering services to consumers and businesses which include background checks and identity theft protection.</t>
  </si>
  <si>
    <t>Bellevue</t>
  </si>
  <si>
    <t>JJ Keller</t>
  </si>
  <si>
    <t>http://www.jjkeller.com</t>
  </si>
  <si>
    <t>J.J. Keller helps businesses deal with the complex and constantly evolving government regulations that affect their operations every day.</t>
  </si>
  <si>
    <t>Neenah</t>
  </si>
  <si>
    <t>Jurispect</t>
  </si>
  <si>
    <t>www.jurispect.com</t>
  </si>
  <si>
    <t>Jurispect is a legal intelligence and collaboration framework. Within Jurispect, you can manage regulatory change from notice and comment to implementation and reporting. And with individually tailored analytics and insights on mission-critical information automatically surfaced for you, you'll never miss anything important to your business. That way, you can maximize efficiency, minimize penalties, and be a great corporate citizen.</t>
  </si>
  <si>
    <t>Mountain View</t>
  </si>
  <si>
    <t>Energy;USA;National | Legal;USA;National | Economics;USA;National | Finance;USA;National | Environment;USA;National | Transportation;USA;National | Agriculture;USA;National | Consumer;USA;National</t>
  </si>
  <si>
    <t>Catherine Hammack</t>
  </si>
  <si>
    <t>catherine@jurispect.com</t>
  </si>
  <si>
    <t>King &amp; Wood Mallesons</t>
  </si>
  <si>
    <t>KPMG</t>
  </si>
  <si>
    <t>http://www.kpmg.com</t>
  </si>
  <si>
    <t>KPMG is a global network of professional firms providing Audit, Tax and Advisory services.</t>
  </si>
  <si>
    <t>Lawdragon</t>
  </si>
  <si>
    <t>lawdragon.com</t>
  </si>
  <si>
    <t>Lawdragon provides legal news and information about lawyers and law schools to consumers and others who need high-quality information to make informed choices.</t>
  </si>
  <si>
    <t>Legal;USA;Regional | Legal;USA;National</t>
  </si>
  <si>
    <t>Katrina Dewey</t>
  </si>
  <si>
    <t>katrina@lawdragon.com</t>
  </si>
  <si>
    <t>Legal-Science-Partners</t>
  </si>
  <si>
    <t>www.legalsciencepartners.net</t>
  </si>
  <si>
    <t>LSP uses scientific methods and its own copyrighted software to collect, code and publish statutory and regulatory legal information that is up-to-date, reliable and cost-efficient.</t>
  </si>
  <si>
    <t>Narberth</t>
  </si>
  <si>
    <t>PA</t>
  </si>
  <si>
    <t>Scott Burris</t>
  </si>
  <si>
    <t>scott.burris@legalsciencepartners.net</t>
  </si>
  <si>
    <t>LexisNexis</t>
  </si>
  <si>
    <t>http://www.lexisnexis.com/en-us/home.page</t>
  </si>
  <si>
    <t>LexisNexis is a provider of content-enabled workflow solutions designed for professionals in the legal, risk management, corporate, government, law enforcement, accounting, and academic markets.</t>
  </si>
  <si>
    <t>Finance;USA;National | Legal;USA;National | Housing;USA;National | Demographics and social;USA;National</t>
  </si>
  <si>
    <t>MarketSense</t>
  </si>
  <si>
    <t>http://www.marketsense.com/</t>
  </si>
  <si>
    <t>MarketSense combine data, marketing and analytics to help our clients grow. Our expertise lies in our ability to optimize your digital media campaigns to deliver predictable results.</t>
  </si>
  <si>
    <t>Sammamish</t>
  </si>
  <si>
    <t>Tom Poole</t>
  </si>
  <si>
    <t>tom@marketsense.com</t>
  </si>
  <si>
    <t>Marlin Alter and Associates</t>
  </si>
  <si>
    <t>http://www.marlinalter.com/</t>
  </si>
  <si>
    <t>Marlin, Alter &amp; Associates provides background information on individuals and businesses.</t>
  </si>
  <si>
    <t>FL</t>
  </si>
  <si>
    <t>MicroBilt Corporation</t>
  </si>
  <si>
    <t>http://www.microbilt.com/</t>
  </si>
  <si>
    <t>MicroBilt Corporation, is a source and provider of decision critical information that assists businesses in reducing risk and managing their business.</t>
  </si>
  <si>
    <t>Kennesaw</t>
  </si>
  <si>
    <t>GA</t>
  </si>
  <si>
    <t>Finance;USA;National | Housing;USA;National</t>
  </si>
  <si>
    <t>Minter Ellison</t>
  </si>
  <si>
    <t>MuckRock.com</t>
  </si>
  <si>
    <t>https://www.muckrock.com</t>
  </si>
  <si>
    <t>MuckRock makes it easier to file Freedom of Information Act requests so that its clients  can focus on analyzing and reporting on the issues.</t>
  </si>
  <si>
    <t>Municode</t>
  </si>
  <si>
    <t>http://www.municode.com</t>
  </si>
  <si>
    <t>Municode is a codifier, providing a wealth of legal, editorial, and publishing services for public and private sector customers.</t>
  </si>
  <si>
    <t>Tallahassee</t>
  </si>
  <si>
    <t>Legal;USA;Regional</t>
  </si>
  <si>
    <t>Oversight Systems</t>
  </si>
  <si>
    <t>http://www.oversightsystems.com</t>
  </si>
  <si>
    <t>Oversight Systems analyzes company data to return tailored insights that help identify errors, policy violations, and potential fraud, and opportunities to change or improve processes.</t>
  </si>
  <si>
    <t>Atlanta</t>
  </si>
  <si>
    <t>Owler</t>
  </si>
  <si>
    <t>owler.com</t>
  </si>
  <si>
    <t>Owler is a mobile and online resource that helps you follow, track, and research companies.</t>
  </si>
  <si>
    <t>San Mateo</t>
  </si>
  <si>
    <t>Jeff Thomas</t>
  </si>
  <si>
    <t>jthomas@owler.com</t>
  </si>
  <si>
    <t>PayScale-Inc</t>
  </si>
  <si>
    <t>http://www.payscale.com</t>
  </si>
  <si>
    <t>PayScale provides compensation data for individuals and business to maximize their value.</t>
  </si>
  <si>
    <t>Adam Phillabaum</t>
  </si>
  <si>
    <t>adamp@payscale.com</t>
  </si>
  <si>
    <t>PricewaterhouseCoopers (PwC)</t>
  </si>
  <si>
    <t>www.pwc.com/mx</t>
  </si>
  <si>
    <t>Agriculture;MEX;National | Consumer;MEX;National | Economics;MEX;National | Business;MEX;National | Finance;MEX;National | Government operations;MEX;National | Health/healthcare;MEX;National | Public safety;MEX;National | Legal;MEX;National | Transportation;MEX;National | Energy;MEX;National | Other(Telecommunications);MEX;National</t>
  </si>
  <si>
    <t>R R Donnelley</t>
  </si>
  <si>
    <t>http://www.rrdonnelley.com</t>
  </si>
  <si>
    <t>RR Donnelley, a global integrated communications provider, uses digital, conventional, and web-based technologies to provide premedia, printing, logistics and business process outsourcing.</t>
  </si>
  <si>
    <t>Chicago</t>
  </si>
  <si>
    <t>IL</t>
  </si>
  <si>
    <t>null</t>
  </si>
  <si>
    <t>Relationship Science</t>
  </si>
  <si>
    <t>https://www.relsci.com</t>
  </si>
  <si>
    <t>Relationship Science (RelSci) is a business development tool that provides deep information about influential people.</t>
  </si>
  <si>
    <t>501-1000</t>
  </si>
  <si>
    <t>Sterling Infosystems</t>
  </si>
  <si>
    <t>http://www.sterlinginfosystems.com/</t>
  </si>
  <si>
    <t>Sterling helps companies make fast and well‐informed hiring decisions by delivering comprehensive, accurate, and cost‐effective background screening and drug testing services.</t>
  </si>
  <si>
    <t>TNS</t>
  </si>
  <si>
    <t>http://www.tns-ri.com.mx/</t>
  </si>
  <si>
    <t>Agriculture;MEX;National | Consumer;MEX;National | Social and demographics;MEX;National | Economics;MEX;National | Health/healthcare;MEX;National | Education;MEX;National | Tourism;MEX;National | Transportation;MEX;National</t>
  </si>
  <si>
    <t>TransUnion</t>
  </si>
  <si>
    <t>http://www.transunion.com/</t>
  </si>
  <si>
    <t>TransUnion provides credit information and information management services, serving approximately 45,000 businesses and approximately 500 million consumers worldwide.</t>
  </si>
  <si>
    <t>TrustedID</t>
  </si>
  <si>
    <t>https://www.trustedid.com/</t>
  </si>
  <si>
    <t>TrustedID is an identity protection company that offers services that help consumers detect risk of identity theft and control the use of their personal information.</t>
  </si>
  <si>
    <t>Palo Alto</t>
  </si>
  <si>
    <t>Urban Airship</t>
  </si>
  <si>
    <t>http://urbanairship.com/</t>
  </si>
  <si>
    <t>Urban Airship offers Mobile Relationship Management (MRM) solutions.</t>
  </si>
  <si>
    <t>Portland</t>
  </si>
  <si>
    <t>OR</t>
  </si>
  <si>
    <t>USSearch</t>
  </si>
  <si>
    <t>http://www.ussearch.com/</t>
  </si>
  <si>
    <t>USSearch.com is a major online provider of people search, background checks, phone number lookups and public records in the US.</t>
  </si>
  <si>
    <t>Government operations;USA;National | Legal;USA;National</t>
  </si>
  <si>
    <t>Way-Better-Patents</t>
  </si>
  <si>
    <t>http://waybetterpatents.com/</t>
  </si>
  <si>
    <t>Way Better Patents is fighting information poverty one app at a time.</t>
  </si>
  <si>
    <t>Oakton</t>
  </si>
  <si>
    <t>Legal;USA;National | Government operations;USA;National | Government operations;USA;National | Demographics and social;USA;National | Geospatial/mapping;USA;National | Science and research;USA;National</t>
  </si>
  <si>
    <t>Arleen Zank</t>
  </si>
  <si>
    <t>arleenzank@waybetterpatents.com</t>
  </si>
  <si>
    <t>Wolters Kluwer</t>
  </si>
  <si>
    <t>http://www.wolterskluwer.com/</t>
  </si>
  <si>
    <t>Wolters Kluwer provides information, software, and services to help legal, tax, finance, and healthcare professionals be more effective and efficient.</t>
  </si>
  <si>
    <t>Minneapolis</t>
  </si>
  <si>
    <t>MN</t>
  </si>
  <si>
    <t>It explains the law </t>
  </si>
  <si>
    <t>http://www.explica.la/ley</t>
  </si>
  <si>
    <t>Explains the law for those not familiar with legal jargon </t>
  </si>
  <si>
    <t>Private Sector Organization of Jamaica</t>
  </si>
  <si>
    <t>Other (association)</t>
  </si>
  <si>
    <t>http://www.psoj.org/</t>
  </si>
  <si>
    <t>The PSOJ are a voluntary Jamaican national organization of some 330 private sector Jamaican associations, Jamaican companies and Jamaican individuals that are working together to promote a healthy and productive Jamaican private sector.</t>
  </si>
  <si>
    <t>Kingston</t>
  </si>
  <si>
    <t>JAM</t>
  </si>
  <si>
    <t>CODE research</t>
  </si>
  <si>
    <t>http://www.caribank.org/news/jamaica-and-barbados-win-major-prizes-at-digital-jam-3-0</t>
  </si>
  <si>
    <t>lm</t>
  </si>
  <si>
    <t>The Bunker</t>
  </si>
  <si>
    <t>http://bunkerincubator.com/</t>
  </si>
  <si>
    <t>The Bunker targets existing veteran-owned tech startups and aspiring entrepreneurs to come, create, and conquer the business world through their ideas, hard work, and strategy.</t>
  </si>
  <si>
    <t>Economic
</t>
  </si>
  <si>
    <t>VA </t>
  </si>
  <si>
    <t>Accura Analytics Systems </t>
  </si>
  <si>
    <t>https://www.facebook.com/AccuraAnalyticsSystems</t>
  </si>
  <si>
    <t>Accura Analytics Systems professionals work closely with clients to anticipate, illuminate and overcome complex business challenges.</t>
  </si>
  <si>
    <t>Pretoria</t>
  </si>
  <si>
    <t>Data Analysis</t>
  </si>
  <si>
    <t>https://www.facebook.com/AccuraAnalyticsSystems/info?tab=page_info</t>
  </si>
  <si>
    <t>By Implication</t>
  </si>
  <si>
    <t>http://byimplication.com</t>
  </si>
  <si>
    <t>Quezon City</t>
  </si>
  <si>
    <t>PHL</t>
  </si>
  <si>
    <t>Codeeze</t>
  </si>
  <si>
    <t>http://www.codeeze.net</t>
  </si>
  <si>
    <t>Quesada</t>
  </si>
  <si>
    <t>CRI</t>
  </si>
  <si>
    <t>MediaWave</t>
  </si>
  <si>
    <t>http://mediawave.co.id</t>
  </si>
  <si>
    <t>Bandung</t>
  </si>
  <si>
    <t>IDN</t>
  </si>
  <si>
    <t>Nethub</t>
  </si>
  <si>
    <t>http://www.nethub.co</t>
  </si>
  <si>
    <t>Scanntech</t>
  </si>
  <si>
    <t>http://www.scanntech.com</t>
  </si>
  <si>
    <t>Sao Paolo</t>
  </si>
  <si>
    <t>BRA</t>
  </si>
  <si>
    <t>Ajah</t>
  </si>
  <si>
    <t>http://www.ajah.ca</t>
  </si>
  <si>
    <t>Primary usage of the data is to offer a commercial funder research tool for Canadian charities. The second is to build custom tools and reports for groups of Canadian funders to help them collaborate.</t>
  </si>
  <si>
    <t>CAN</t>
  </si>
  <si>
    <t>Michael Lenczner</t>
  </si>
  <si>
    <t>michael@ajah.ca</t>
  </si>
  <si>
    <t>They use public and open data </t>
  </si>
  <si>
    <t>http://www.ajah.ca/about-us/#approach</t>
  </si>
  <si>
    <t>Flemish eGovernment Authority (CORVE), The Linked Organisation of Local Authorities (LOLA), The City of Ghent, The City of Issy-les-Moulineaux, The City of Athens</t>
  </si>
  <si>
    <t>citadelonthemove.eu</t>
  </si>
  <si>
    <t>Citadel on the Move was conceived a little over three years ago to make Open Data a reality for every city in Europe. To that end, it designed simple tools that cities could use to turn their data into mobile applications that would be of interest and relevance to their citizens and the society at large. Since its inception, the project has worked with over 120 authorities not just in Europe but also beyond its borders, helping them to become more Open Data-friendly and sharing the vision of smart city as a data city.</t>
  </si>
  <si>
    <t>From an eight year old to an adult person, Citadel has helped citizens with no or very little technical background build simple, easy-to-use applications from scratch. The project has also helped authorities that were in the early stages of opening their information to the public understand the benefits of Open Data, as well as how to release this information in a way that maximises its usefulness to citizens and society at large.</t>
  </si>
  <si>
    <t>Graba tu Calle</t>
  </si>
  <si>
    <t>http://www.grabatupleno.com</t>
  </si>
  <si>
    <t>Felix Moreno</t>
  </si>
  <si>
    <t>info@grabatupleno.es</t>
  </si>
  <si>
    <t>Open Spending Nicaragua</t>
  </si>
  <si>
    <t>https://openspending.org/nicacontra/entries?page=3</t>
  </si>
  <si>
    <t>Tratan de visualizar el presupuesto de Nicaragua para que sea más sencillo comprender en qué se gasta el dinero</t>
  </si>
  <si>
    <t>NIC</t>
  </si>
  <si>
    <t>OKFN project</t>
  </si>
  <si>
    <t>The Puerto Rico Center for Investigative Journalism</t>
  </si>
  <si>
    <t>http://www.cpipr.org</t>
  </si>
  <si>
    <t>Problems of access in journalism turn on demands, representing those in need, for documents that government will not deliver. This is especially so with statistics, like the case of health, where we have a pending legal suit. Then there are cases of records for review, police, funding reports raised by candidates, agents assigned to guard officials and those who have them, among other cases.</t>
  </si>
  <si>
    <t>PRI</t>
  </si>
  <si>
    <t>Omaya Sosa Pascual, Oscar Serrano</t>
  </si>
  <si>
    <t>info@periodismoinvestigativo.com</t>
  </si>
  <si>
    <t>To promote access to information through investigative reporting and judicial litigation, using an online platform to distribute the information</t>
  </si>
  <si>
    <t>The Ujima Project</t>
  </si>
  <si>
    <t>http://ujima-project.org/</t>
  </si>
  <si>
    <t>The project collects data from US and European governmental databases, including data about USAID spending, lobbyists hired by foreign governments and organizations to influence US foreign policy, information on health spending by the Global Fund, and information on weapons sales. Ujima has recently begun expanding to include data from the UK Department for International Development and the African Development Bank. This information is publicly available in developed countries, but can be difficult to access for individuals in the developing world. </t>
  </si>
  <si>
    <t>Ron Nixon, Sally Stapelton, Steve Miller, Mark Horvitz</t>
  </si>
  <si>
    <t>The Ujima Project, named after a Kiswahili word for “collective responsibility,” seeks to promote transparency by opening up various public information datasets that might enable a deeper understanding of policy, expose corruption or shed light on various governmental and NGO expenditures. It is an investigative reporting resource for journalists.</t>
  </si>
  <si>
    <t>Save.kg</t>
  </si>
  <si>
    <t>http://save.kg</t>
  </si>
  <si>
    <t>Save.kg is a website that used Ushahidi to monitor electoral problems during the Kyrgyz Republic’s constitutional referendum in June 2010, celebrated following massive ethnic conflict (the “Osh riots”) in the southern part of the country that ended up overthrowing the government. The website worked with electoral observers located at polling stations throughout the country, who'd make reports and review those submitted by regular citizens, which would be marked as verified if approved by the observers. Save.kg received over 400 reports during the referendum, but it concluded that there was no reason to think the referendum was unfair.</t>
  </si>
  <si>
    <t>KGZ</t>
  </si>
  <si>
    <t>Altynbek Ismailov</t>
  </si>
  <si>
    <t>To provide true and reliable information to citizens during the referendum, as the threat of interference was very high.</t>
  </si>
  <si>
    <t>Sejmometr</t>
  </si>
  <si>
    <t>http://www.sejmometr.pl/</t>
  </si>
  <si>
    <t>Sejmometr (from the Polish words “Sejm,” or parliament, and “metr,” or monitor) is an online portal that aims to provide easily digestible insights into the legislative processes of the Polish government, particularly the Sejm (Poland’s parliament). We want to provide people with tools to track changes of law and the work of parliament representatives and officials easily and more effectively.</t>
  </si>
  <si>
    <t>Daniel Macyszyn</t>
  </si>
  <si>
    <t>Providing access to a high-quality legislative database, and building community around the processes of lawmaking in Poland.</t>
  </si>
  <si>
    <t>1.- La Vacuna Contra la Corrupción La expuse en OGPLondres2013 al Primer Ministro David Cameron Le parece brillante, como quedó registrado en su discurso, en: https://www.gov.uk/government/speeches/pm-speech-at-open-government-partnership-2013</t>
  </si>
  <si>
    <t>"Propongo: El Combate Preventivo de la Corrupción desde los Municipios. Basado en:</t>
  </si>
  <si>
    <t>Reynaldo Castro Melgarejo</t>
  </si>
  <si>
    <t>reynaldo.castromelgarejo@hotmail.com</t>
  </si>
  <si>
    <t>El Impacto es: romper ese sistema viciado que administra la corrupción y no permite que haya Transparencia en el origen y destino de los recursos públicos desde los municipios.
 Beneficia a ciudadanos en general y la actividad de los empresarios:
 1) Al empoderar a los ciudadanos para que sean contrapeso preventivo y oportuno contra la corrupción, y puedan participar en la deliberación de prioridades y toma de decisiones en el uso de los recursos públicos de procedencia federal, estatal y municipal;
 2) A los empresarios, les dará certeza de que, para hacer sus inversiones no tienen que pagar comisiones o beneficios indebidos a funcionarios y la inversión pública y privada, tendrá un mayor efecto multiplicador en beneficio del crecimiento del mercado interno, que redundará favorablemente en el desarrollo económico y humano y social de la población en los municipios.</t>
  </si>
  <si>
    <t>Open Knowledge Foundation Germany</t>
  </si>
  <si>
    <t>http://interaktiv.morgenpost.de/tempelhofer-feld/</t>
  </si>
  <si>
    <t>Code for Germany’s Tempelhofer Feld project visualizes the construction plans encompassing 150 - 400 hectare of one of Berlin’s largest and most beloved city parks. Plans to build over the recreational space to meet demand for apartments met a great deal of public criticism, leading to a public referendum. The result was a beautiful and helpful visualization that was published on the Berliner Morgenpost’s website prior to the referendum to prepare and inform citizens before their vote.</t>
  </si>
  <si>
    <t>DEU</t>
  </si>
  <si>
    <t>Geospatial/mapping</t>
  </si>
  <si>
    <t>Sonia Khan, Julia Kloiber</t>
  </si>
  <si>
    <t>sonia.khan@okfn.de, julia.kloiber@okfn.org</t>
  </si>
  <si>
    <t>After the vote in May 2014, citizens ruled against gentrification interests and in favor of preserving the park as it is today. The project responded to demand in understanding how projected changes would affect a popular recreational space. It also arguably helped influence a vote that is keeping living spaces more affordable for Berliners.</t>
  </si>
  <si>
    <t>Onion Price Tracker</t>
  </si>
  <si>
    <t>http://www.premise.com/indiaonions.html</t>
  </si>
  <si>
    <t>Premise tracks this core staple across hundreds of real-world markets in Mumbai, Chennai and Kolkata. Onions, a core staple for 1.23 billion people, have seen unprecedented price spikes over recent months, resulting in great economic distress and leading to pre-emptive monetary policy moves on the part of the RBI (Indian Central Bank). Premise uses a combination of open data and self-collected data.</t>
  </si>
  <si>
    <t>Consumer </t>
  </si>
  <si>
    <t>Street Lamp Data to Fight Obesity</t>
  </si>
  <si>
    <t>Developer group</t>
  </si>
  <si>
    <t>http://www.manchestereveningnews.co.uk/business/friends-bright-idea-help-fight-7201187</t>
  </si>
  <si>
    <t>Jogging app using street light data in Manchester</t>
  </si>
  <si>
    <t>app doesn't seem to have been built/still exist</t>
  </si>
  <si>
    <t>Macedonia Crop SMS System</t>
  </si>
  <si>
    <t>http://www.undp.org/content/undp/en/home/ourwork/environmentandenergy/successstories/reaping-the-fruits-of-technology-in-fyr-macedonia/</t>
  </si>
  <si>
    <t>Using sensors, open data, and SMS technology- a tool to inform farmers about the proper use of pesticide was developed in Macedonia.</t>
  </si>
  <si>
    <t>MKD</t>
  </si>
  <si>
    <t>url doesn't work, UN project</t>
  </si>
  <si>
    <t>Quien Paga Manda</t>
  </si>
  <si>
    <t>http://www.quienpagamanda.com/</t>
  </si>
  <si>
    <t>QuienPagaManda.com is a website that publishes information related to customer service and consumer rights in Costa Rica, particularly consumers’ experiences that put in evidence legal gaps and bad commercial practices detrimental to the public interest. Among other tools, the website includes a blog, a rating system and a section to submit questions to experts. In some cases, the website connects consumers with government agencies, businesses or lawyers who can help them solve a specific problem. Some companies provide responses after seeing a complaint published or solve the issue when contacted.</t>
  </si>
  <si>
    <t>Hazel Feigenblatt</t>
  </si>
  <si>
    <t>The website assumes that visibility can oftentimes be more effective than legal processes to counteract such practices and it intends to help consumers learn from the mistakes and experiences experienced by others, so they can be more proactive in defending their own interests and making their rights effective.</t>
  </si>
  <si>
    <t>Airwoot</t>
  </si>
  <si>
    <t>http://www.airwoot.com/</t>
  </si>
  <si>
    <t>Airwoot is a social customer service helpdesk which enables brands to deliver real-time customer support on top of social media. By making use of social media data, they are empowering the next generation of customer support to identify the customers, to proactively connect with them in real-time and deliver exceptional customer support experience.</t>
  </si>
  <si>
    <t>New Delhi</t>
  </si>
  <si>
    <t>Ennovent</t>
  </si>
  <si>
    <t>Saurabh Arora, Prabhat Saraswat</t>
  </si>
  <si>
    <t>saurabh@memeticlabs.com</t>
  </si>
  <si>
    <t>Gathering of Social Media Data and Analyse it in Real Time</t>
  </si>
  <si>
    <t>http://www.airwoot.com/tour.html</t>
  </si>
  <si>
    <t>A Good Life For All</t>
  </si>
  <si>
    <t>http://goodlife.uk.com/</t>
  </si>
  <si>
    <t>A Good Life For All is a social enterprise that seeks to create opportunities for people and organisations to help each other</t>
  </si>
  <si>
    <t>James Togut (Founder/Chief Imagniation Officer), </t>
  </si>
  <si>
    <t>@GoodLivers, </t>
  </si>
  <si>
    <t>? Innovations? </t>
  </si>
  <si>
    <t>Amey</t>
  </si>
  <si>
    <t>http://www.amey.co.uk/</t>
  </si>
  <si>
    <t>Amey is a large infrastructure support service provider offering consulting and asset management to projects including road, railway and airport maintenance as well as school, waste disposal and utility facilities</t>
  </si>
  <si>
    <t>They work with both public and private sector</t>
  </si>
  <si>
    <t>Child Care Desk</t>
  </si>
  <si>
    <t>http://childcaredesk.com</t>
  </si>
  <si>
    <t>Child Care Desk is a platform to help parents find child care and help government, non-profits and investors with data for investing in child care.</t>
  </si>
  <si>
    <t>Conciliador Virtual </t>
  </si>
  <si>
    <t>http://www.conciliadorvirtual.co</t>
  </si>
  <si>
    <t>Brasília</t>
  </si>
  <si>
    <t>Consumer-Reports</t>
  </si>
  <si>
    <t>www.consumerreports.org</t>
  </si>
  <si>
    <t>Consumer Reports is an independent, nonprofit organization whose mission is to work for consumer empowerment and a fair, just, and safe marketplace for all consumers.</t>
  </si>
  <si>
    <t>Yonkers</t>
  </si>
  <si>
    <t>Health/healthcare;USA;National</t>
  </si>
  <si>
    <t>Rahul Belani</t>
  </si>
  <si>
    <t>rbelani@consumer.org</t>
  </si>
  <si>
    <t>Eat Shop Sleep</t>
  </si>
  <si>
    <t> </t>
  </si>
  <si>
    <t>https://itunes.apple.com/us/app/eat-shop-sleep/id465262611</t>
  </si>
  <si>
    <t>Eat Sleep Shop helps consumers search for places to eat, shop &amp; sleep, provides customer reviews and health, safety &amp; labor highlights.</t>
  </si>
  <si>
    <t>eKutir</t>
  </si>
  <si>
    <t>http://www.ekutirsb.com/</t>
  </si>
  <si>
    <t>A socially focused venture engaged in innovating new products, services, and sustainable model at the BoP (Base of Pyramid) market.</t>
  </si>
  <si>
    <t>Bhubaneswar</t>
  </si>
  <si>
    <t>agriculture; India; national | health; India; national</t>
  </si>
  <si>
    <t>optimization</t>
  </si>
  <si>
    <t>National Bank for Agriculture and Rural Development</t>
  </si>
  <si>
    <t>Everyday Health</t>
  </si>
  <si>
    <t>http://www.everydayhealth.com</t>
  </si>
  <si>
    <t>Everyday Health combines digital content from leading health brands with data and analytics technology to provide personalized content experience to our users.</t>
  </si>
  <si>
    <t>FindTheBestcom</t>
  </si>
  <si>
    <t>http://www.findthebest.com</t>
  </si>
  <si>
    <t>FindTheBest's mission is to collect, structure, and connect the world’s data to lead people to the best conclusions.</t>
  </si>
  <si>
    <t>Santa Barbara</t>
  </si>
  <si>
    <t>Agiculture;USA;National | Environment;USA;National | Government operations;USA;National | Agriculture;USA;National | Education;USA;National | Legal;USA;National | Demographics and social;USA;National | Health/healthcare;USA;National | Transportation;USA;National | Economics;USA;National | Housing;USA;National</t>
  </si>
  <si>
    <t>Kevin Davis</t>
  </si>
  <si>
    <t>kdavis@findthebest.com</t>
  </si>
  <si>
    <t>Foody Corporation</t>
  </si>
  <si>
    <t>http://www.foody.vn</t>
  </si>
  <si>
    <t>Ho Chi Minh City</t>
  </si>
  <si>
    <t>VNM</t>
  </si>
  <si>
    <t>Foursquare</t>
  </si>
  <si>
    <t>https://foursquare.com</t>
  </si>
  <si>
    <t>Foursquare allows consumers to check in at local businesses, to tell their friends where they like to go, and to post tips and photos.</t>
  </si>
  <si>
    <t>Fuzion-Apps-Inc</t>
  </si>
  <si>
    <t>www.fuzionapps.com</t>
  </si>
  <si>
    <t>Our challenge to the wage gap is Aequitas, a mobile cloud solution, that enables users to take control of their career by making informed decisions.</t>
  </si>
  <si>
    <t>Sugar Land</t>
  </si>
  <si>
    <t>Laquitta DeMerchant</t>
  </si>
  <si>
    <t>demerchant@fuzionapps.com</t>
  </si>
  <si>
    <t>Girolabs</t>
  </si>
  <si>
    <t>http://girolabs.com</t>
  </si>
  <si>
    <t>Asunción</t>
  </si>
  <si>
    <t>PRY</t>
  </si>
  <si>
    <t>GoodGuide</t>
  </si>
  <si>
    <t>http://www.goodguide.com</t>
  </si>
  <si>
    <t>GoodGuide provides the world's largest and most reliable source of information on health, environmental, and social impacts of consumer products.</t>
  </si>
  <si>
    <t>Health/healthcare;USA;National | Environment;USA;National</t>
  </si>
  <si>
    <t>Pedro Vieira</t>
  </si>
  <si>
    <t>pedro@taoit.com</t>
  </si>
  <si>
    <t>Last Mile for BoP</t>
  </si>
  <si>
    <t>http://www.lastmileforBoP.com</t>
  </si>
  <si>
    <t>likely but insufficient evidence</t>
  </si>
  <si>
    <t>Lekkoo</t>
  </si>
  <si>
    <t>http://www.lekkoo.com</t>
  </si>
  <si>
    <t>Tangerang</t>
  </si>
  <si>
    <t>Mi Transmi</t>
  </si>
  <si>
    <t>https://itunes.apple.com/gt/app/mi-transmi-y-sitp-colombia/id557745455?mt=8</t>
  </si>
  <si>
    <t>ReciPal</t>
  </si>
  <si>
    <t>https://www.recipal.com/</t>
  </si>
  <si>
    <t>ReciPal works with food businesses, kitchens and consumers to conduct nutrition analysis and labelling.</t>
  </si>
  <si>
    <t>Reclamos</t>
  </si>
  <si>
    <t>http://www.reclamos.cl/</t>
  </si>
  <si>
    <t>Reclamos.cl is a collaborative website that uses crowdsourced consumer complaints to create and publish consumer satisfaction rates for Chilean companies and government agencies. In practice, Reclamos (the Spanish word for “claim”) is a web platform that intelligently groups the negative opinions of users of certain services in order to achieve greater transparency in the consumer market and to exercise a kind of distributed control over commercial conditions and business practices in Chile. Reclamos.cl receives complaints from users and keeps a database of each complaint’s origin, the identity of the user, and the type of claim. Random human oversight by a team of volunteers aims to prevent the publication of false claims and content not pertaining to the objectives of the website. The system is based on free software that tags companies with regular consumer problems.</t>
  </si>
  <si>
    <t>CHL</t>
  </si>
  <si>
    <t>Rafael Bravo</t>
  </si>
  <si>
    <t>Evidence of open data, but not open gov data</t>
  </si>
  <si>
    <t>- Improve services of business, raise consumer awareness, create media pressure, point of reference for regulatory authorities
 While Reclamos.cl is configured as a collective system of claims, over time it has evolved into an important tool for consumer awareness in Chile. The project’s aggregate indices show trends with respect to consumers’ rights for both private companies and state enterprises, and these trends are often taken into account by companies who hope to improve their pro-consumer practices. In addition, Reclamos.cl has informal links with traditional media to support the distribution of the aggregated results. The platform has become an important point of reference for the implementation of consumer rights by government agencies that deal with these matters, such as the National Consumer Service.</t>
  </si>
  <si>
    <t>RedLaser</t>
  </si>
  <si>
    <t>http://redlaser.com</t>
  </si>
  <si>
    <t>RedLaser is a barcode-scanning application for comparison shopping and finding product information using a mobile device.</t>
  </si>
  <si>
    <t>San Jose</t>
  </si>
  <si>
    <t>Redstone Applications</t>
  </si>
  <si>
    <t>http://redstoneapps.com</t>
  </si>
  <si>
    <t>Spokeo</t>
  </si>
  <si>
    <t>http://www.spokeo.com/</t>
  </si>
  <si>
    <t>Spokeo is a people search website that aggregates data from many online and offline sources.</t>
  </si>
  <si>
    <t>Pasadena</t>
  </si>
  <si>
    <t>Weight Watchers</t>
  </si>
  <si>
    <t>http://www.weightwatchers.com/</t>
  </si>
  <si>
    <t>Weight Watchers is an international company based in the United States that offers various products and services to assist weight loss and maintenance.</t>
  </si>
  <si>
    <t>Jericho</t>
  </si>
  <si>
    <t>Demographics and social;USA;National | Agriculture;USA;National</t>
  </si>
  <si>
    <t>Workhands</t>
  </si>
  <si>
    <t>https://www.workhands.us/</t>
  </si>
  <si>
    <t>WorkHands is a meeting place for American workers .</t>
  </si>
  <si>
    <t>Economics;USA;National | Geospatial/mapping;USA;National</t>
  </si>
  <si>
    <t>Yelp</t>
  </si>
  <si>
    <t>http://www.yelp.com/</t>
  </si>
  <si>
    <t>Yelp, Inc. operates an "online urban guide" and business review website.</t>
  </si>
  <si>
    <t>Public safety;USA;Regional</t>
  </si>
  <si>
    <t>Transferwise</t>
  </si>
  <si>
    <t>https://transferwise.com</t>
  </si>
  <si>
    <t>TransferWise is a peer-to-peer money transfer service allowing foreign students and businesses to transact money globally</t>
  </si>
  <si>
    <t>London</t>
  </si>
  <si>
    <t>Fintech report</t>
  </si>
  <si>
    <t>https://transferwise.com/terms-of-use</t>
  </si>
  <si>
    <t>Considerit </t>
  </si>
  <si>
    <t>https://consider.it/</t>
  </si>
  <si>
    <t>ConsiderIt is an online platform that helps individuals make sense of complex issues through familiar deliberative activities. People can sort out their own thoughts by taking stances, weighing pros and cons and browsing key points made both others via the website. </t>
  </si>
  <si>
    <t>Open City</t>
  </si>
  <si>
    <t>http://www.crimeinchicago.org/</t>
  </si>
  <si>
    <t>Crime in Chicago is a data visualization by Open City that lets you explore crime trends in Chicago's 50 wards. With this website, you can compare crime levels over the years and across city wards. You can further explore each ward’s crime profile, which shows daily crime volumes going back to 2002, crime types and subcategories, and contact info for each Ward Alderman.</t>
  </si>
  <si>
    <t>Security and public safety</t>
  </si>
  <si>
    <t>Nick Rougeux</t>
  </si>
  <si>
    <t>info@opencityapps.org</t>
  </si>
  <si>
    <t>Help citizens better understand the crime problem of the city (Crime is often sensationalized, so it’s important to put it in context. How prevalent are murders, really? Is your neighborhood actually experiencing a crime wave? What’s the real risk of going out at a certain time or visiting certain neighborhoods?)</t>
  </si>
  <si>
    <t>SeguriMapas</t>
  </si>
  <si>
    <t>http://segurimapas.cochavalley.com/</t>
  </si>
  <si>
    <t>• The crimes and acts of violence are concentrated in a single solution map, with the official data sources and data reports provided by citizens for various technological means. 
 • This solution will allow both responsible for creating policies public and those responsible for fighting crime a valuable source of information to guide their actions and make their forecasts. 
 • On the other hand the solution, being an open nature allow citizens to be informed about the security situation of their geographical areas of interest.</t>
  </si>
  <si>
    <t>BOL</t>
  </si>
  <si>
    <t>To better informed citizens about crime problems in their community, and also provide data for authorities to better combat crime</t>
  </si>
  <si>
    <t>Ufahamu Kenya</t>
  </si>
  <si>
    <t>http://www.ufahamu.or.ke</t>
  </si>
  <si>
    <t>Habidatum</t>
  </si>
  <si>
    <t>http://www.habidatum.com</t>
  </si>
  <si>
    <t>Cheyenne, Wyoming, USA</t>
  </si>
  <si>
    <t>Convextra</t>
  </si>
  <si>
    <t>http://Convextra.com</t>
  </si>
  <si>
    <t>Saint-Petersburg</t>
  </si>
  <si>
    <t>XLData</t>
  </si>
  <si>
    <t>http://www.xldata.com</t>
  </si>
  <si>
    <t>1060 Research</t>
  </si>
  <si>
    <t>http://1060research.com/</t>
  </si>
  <si>
    <t>1060 Research is a software developer specialising in the creation and implementation of Resource Oriented Computing.</t>
  </si>
  <si>
    <t>Bristol</t>
  </si>
  <si>
    <t>Founders: Peter Rodgers, Tony Butterfield </t>
  </si>
  <si>
    <t>@pjr1060 / @tonbut - General email: info@1060research.com </t>
  </si>
  <si>
    <t>1 862-772-1060</t>
  </si>
  <si>
    <t>* Using information resources </t>
  </si>
  <si>
    <t>21c Consultancy</t>
  </si>
  <si>
    <t>http://www.21cconsultancy.com/</t>
  </si>
  <si>
    <t>21c is ICT innovation consultancy which advises international actors, institutions and governments around the world on technological trends which can affect the way they deliver services</t>
  </si>
  <si>
    <t>Julia Glidden (Founder/President), Susie Ruston (Managing Director)</t>
  </si>
  <si>
    <t>@21cConsultancy,  info@21cConsultancy.com</t>
  </si>
  <si>
    <t>Susie:  +44 (0) 7949 252 141, Julia: +44 (0) 7984 696 357</t>
  </si>
  <si>
    <t>^ Open Data + Open Innovation
Member of the consortium delivering Citadel on the Move (an EU project aimed at facilitating the creation of mobile applications using european open data)</t>
  </si>
  <si>
    <t>3D Repo</t>
  </si>
  <si>
    <t>http://3drepo.org/</t>
  </si>
  <si>
    <t>3D Repo is a data company which has built and maintains an open source repository of 3D models</t>
  </si>
  <si>
    <t>Jozef Doboš (Founder/CEO), Timothy Scully (CTO)</t>
  </si>
  <si>
    <t>@3DRepo, jozef.dobos@mensa.sk, support@​3​drepo.​org</t>
  </si>
  <si>
    <t>* Big Data, Open Source
ODI Startup: created and maintains open source 3D version control framework for the construction industry</t>
  </si>
  <si>
    <t>Adam Internet</t>
  </si>
  <si>
    <t>http://www.adam.com.au/home/</t>
  </si>
  <si>
    <t>Adam Internet, a subsidiary of iiNet Limited, started from humble beginnings as a Bulletin Board Service over 25 years ago, to become one of the most reliable Internet Service Providers (ISP) in Australia, with a proud history of supporting the local Australian community.</t>
  </si>
  <si>
    <t>Internet provider</t>
  </si>
  <si>
    <t>http://www.adam.com.au/about/</t>
  </si>
  <si>
    <t>Adobe Systems</t>
  </si>
  <si>
    <t>http://www.adobe.com/uk/</t>
  </si>
  <si>
    <t>Adobe Systems is a multinational software company specialising in digital marketing and digital media solutions</t>
  </si>
  <si>
    <t>https://helpx.adobe.com/uk/contact/what-contact-options.html</t>
  </si>
  <si>
    <t>@adobemktgcloud /</t>
  </si>
  <si>
    <t>0044 1628 590 300</t>
  </si>
  <si>
    <t>* Clouding and More: Marketing Cloud Analyze Data / Creative Cloud
Blog about PDF compatibility with open data</t>
  </si>
  <si>
    <t>Adzuna</t>
  </si>
  <si>
    <t>http://www.adzuna.co.uk/</t>
  </si>
  <si>
    <t>Adhunter is an internet services company which is behind Adzuna, a comprehensive search engine for classified ads</t>
  </si>
  <si>
    <t>Doug Monro (founder), Andrew Hunter (founder)</t>
  </si>
  <si>
    <t>@adzuna, http://www.adzuna.co.uk/jobs/contact-us.html</t>
  </si>
  <si>
    <t>^ Use tons of Data, though not likely Open Gov Data
Uses open emploment and salary data, publishes several APIs</t>
  </si>
  <si>
    <t>AIDA Technology</t>
  </si>
  <si>
    <t>http://www.aidatechnology.com/index.html</t>
  </si>
  <si>
    <t>AIDA Technology is a creative studio specialising in mass-consumer health apps aimed at children and specialised consultancy services and bespoke mobile solutions for corporate clients</t>
  </si>
  <si>
    <t>@AIDATechnology, info@aidatechnology.com</t>
  </si>
  <si>
    <t>0044 0161 226 3265</t>
  </si>
  <si>
    <t>^ Intelligent Data Services / Person-Centered Data, for Open Data</t>
  </si>
  <si>
    <t>http://www.aidatechnology.com/vision.html</t>
  </si>
  <si>
    <t>Aimia</t>
  </si>
  <si>
    <t>http://www.aimia.com/en.html</t>
  </si>
  <si>
    <t>Aimia is global loyalty management company providing a number of business services around customer data including analytics and insight, channel and employee engagement and event management.</t>
  </si>
  <si>
    <t>Robert E. Brown (Chairman), Roman Doroniuk (Director)</t>
  </si>
  <si>
    <t>@AimiaInc, http://www.aimia.com/en/contact.html</t>
  </si>
  <si>
    <t>^ Customers/Consumer Data Users
Uses open data to inform its clients on consumer trends</t>
  </si>
  <si>
    <t>http://www.aimia.com/en/about.html</t>
  </si>
  <si>
    <t>Alfresco</t>
  </si>
  <si>
    <t>http://www.alfresco.com/</t>
  </si>
  <si>
    <t>Alfresco is open source and open standards software developer providing cloud, mobile and on-premise enterprise content management platforms</t>
  </si>
  <si>
    <t>Doug Dennerline (CEO), John Newton (CTO/Founder)</t>
  </si>
  <si>
    <t>@alfresco, http://www.alfresco.com/company/contact</t>
  </si>
  <si>
    <t>1 888 317 3395</t>
  </si>
  <si>
    <t>^ Open Innovation, Transparency
Facilitates open data/content managment</t>
  </si>
  <si>
    <t>http://www.alfresco.com/company</t>
  </si>
  <si>
    <t>AMEE</t>
  </si>
  <si>
    <t>https://www.amee.com/</t>
  </si>
  <si>
    <t>AMEE is an environmental sustainability platform which uses data and technology to help businesses address environmental sustainability challenges</t>
  </si>
  <si>
    <t>Tyler Christie (CEO), Max Cleary (Business Development Manager)</t>
  </si>
  <si>
    <t>@ameeHQ, http://help.amee.com/customer/portal/emails/new</t>
  </si>
  <si>
    <t>^ Open Data Users / Supporters 
Uses and aggregates various open business and environmental datasets</t>
  </si>
  <si>
    <t>https://www.amee.com/data-sources</t>
  </si>
  <si>
    <t>SnapSense</t>
  </si>
  <si>
    <t>www.snapsense.co</t>
  </si>
  <si>
    <t>SnapSense Dashboards are online products for communities to track data for real time intuitive decision-making.</t>
  </si>
  <si>
    <t>Stillwater Supercomputing</t>
  </si>
  <si>
    <t>http://www.stillwater-sc.com</t>
  </si>
  <si>
    <t>Stillwater is providing better, faster, and cheaper methods to transform raw data into operational benefit, through characterization, prediction, and optimization.</t>
  </si>
  <si>
    <t>El Dorado Hills</t>
  </si>
  <si>
    <t>Environment;USA;Regional | Health/healthcare;USA;Regional</t>
  </si>
  <si>
    <t>Theodore Omtzigt</t>
  </si>
  <si>
    <t>theo@stillwater-sc.com</t>
  </si>
  <si>
    <t>Poderopedia </t>
  </si>
  <si>
    <t>http://www.poderopedia.org/</t>
  </si>
  <si>
    <t>Poderopedia is a collaborative data journalism platform that helps understand the relationships between people, companies and organizations that become news and influence our daily lives.</t>
  </si>
  <si>
    <t>Quien te financia</t>
  </si>
  <si>
    <t>http://quientefinancia.cl/</t>
  </si>
  <si>
    <t>Quién Te Financia view the complexities of the relationship between money and politics, the Ciudadano Inteligente Foundation began a research and raising proposals for transparency and reform our system of political finance.</t>
  </si>
  <si>
    <t>info@ciudadanointeligente.org</t>
  </si>
  <si>
    <t>56 2 24192770 </t>
  </si>
  <si>
    <t>Say It</t>
  </si>
  <si>
    <t>http://sayit.mysociety.org/</t>
  </si>
  <si>
    <t>An open source tool for making transcripts really easy to read, search and share on the modern web</t>
  </si>
  <si>
    <t>Incoma</t>
  </si>
  <si>
    <t>http://incoma.org/</t>
  </si>
  <si>
    <t>Incoma is a free software debate platform that allows conversations between thousands of people, aiming to the construction of a global collective intelligence.</t>
  </si>
  <si>
    <t>no open data use found</t>
  </si>
  <si>
    <t>Helios</t>
  </si>
  <si>
    <t>https://vote.heliosvoting.org/</t>
  </si>
  <si>
    <t>Helios offers verifiable online elections.</t>
  </si>
  <si>
    <t>OpenMaint</t>
  </si>
  <si>
    <t>http://www.openmaint.org/en</t>
  </si>
  <si>
    <t>openMAINT is an application for the management of buildings, installations, movable assets and related maintaining activities. It helps the managing authority to know, organize and update those data related to the asset inventory, in order to support their decision and operative procedures.</t>
  </si>
  <si>
    <t>Tavagnacco</t>
  </si>
  <si>
    <t>ITA</t>
  </si>
  <si>
    <t>Assembl</t>
  </si>
  <si>
    <t>http://assembl.org/</t>
  </si>
  <si>
    <t>Assembl is an online application that enables hundreds or even thousands of people to work together effectively on the definition of new ideas. The application supports the belief that with the proper conditions, people working together think smarter than any one member of the group could alone.</t>
  </si>
  <si>
    <t>FRA</t>
  </si>
  <si>
    <t>quentin.grimaud@i4p.org</t>
  </si>
  <si>
    <t>Civic Stack</t>
  </si>
  <si>
    <t>Civic Stack is the place to get together and share civic tools from different countries and organizations for you to be able to adapt and use them in the place where you live.</t>
  </si>
  <si>
    <t>PublicData</t>
  </si>
  <si>
    <t>http://www.publicdata.com/</t>
  </si>
  <si>
    <t>PublicData.com is the number one resource for public records from local, state, and federal agencies</t>
  </si>
  <si>
    <t>Irving</t>
  </si>
  <si>
    <t>webinfo@publicdata.com</t>
  </si>
  <si>
    <t>http://www.publicdata.com/about.html</t>
  </si>
  <si>
    <t>3 Round Stones Inc</t>
  </si>
  <si>
    <t>http://3RoundStones.com</t>
  </si>
  <si>
    <t>Our Open Source platform is used by the Fortune2000 and US Government Agencies to collect, publish and reuse data, both public and proprietary.</t>
  </si>
  <si>
    <t>Environment;USA; National</t>
  </si>
  <si>
    <t>Bernadette Hyland</t>
  </si>
  <si>
    <t>info@3RoundStones.com</t>
  </si>
  <si>
    <t>Roundtable</t>
  </si>
  <si>
    <t>http://3roundstones.com/index/index.html</t>
  </si>
  <si>
    <t>Unisys Consulting</t>
  </si>
  <si>
    <t>BEL</t>
  </si>
  <si>
    <t>5PSolutions</t>
  </si>
  <si>
    <t>www.5psolutions.com</t>
  </si>
  <si>
    <t>5PSolutions are artisans of mobile platforms.</t>
  </si>
  <si>
    <t>Fairfax</t>
  </si>
  <si>
    <t>Harjit Singh</t>
  </si>
  <si>
    <t>singhh@5psolutions.com</t>
  </si>
  <si>
    <t>- App developers</t>
  </si>
  <si>
    <t>Wipro Technologies</t>
  </si>
  <si>
    <t>Acxiom</t>
  </si>
  <si>
    <t>http://acxiom.com</t>
  </si>
  <si>
    <t>Acxiom is an enterprise data, analytics and software-as-a-service company, using data to connect people, businesses and their partners.</t>
  </si>
  <si>
    <t>Little Rock</t>
  </si>
  <si>
    <t>AR</t>
  </si>
  <si>
    <t>null;USA;National</t>
  </si>
  <si>
    <t>Data analysis</t>
  </si>
  <si>
    <t>http://www.acxiom.com/</t>
  </si>
  <si>
    <t>Adobe Digital Government</t>
  </si>
  <si>
    <t>http://www.adobe.com/solutions/government.html</t>
  </si>
  <si>
    <t>Adobe delivers solutions that help government agencies make, manage, mobilize, and measure the information and experiences needed to achieve their missions.</t>
  </si>
  <si>
    <t>Data usage, but not open</t>
  </si>
  <si>
    <t>Altova</t>
  </si>
  <si>
    <t>http://www.altova.com</t>
  </si>
  <si>
    <t>Altova is a software company specializing in tools to assist developers with data management, software and application development, and data integration.</t>
  </si>
  <si>
    <t>Beverly</t>
  </si>
  <si>
    <t>Finance;USA;national</t>
  </si>
  <si>
    <t>http://www.altova.com/company.html</t>
  </si>
  <si>
    <t>Amazon-Web-Services</t>
  </si>
  <si>
    <t>http://aws.amazon.com</t>
  </si>
  <si>
    <t>Amazon provides cloud computing services through Amazon Web Services to a range of clients.</t>
  </si>
  <si>
    <t>Ariel Gold</t>
  </si>
  <si>
    <t>arigold@amazon.com</t>
  </si>
  <si>
    <t>Analytica</t>
  </si>
  <si>
    <t>http://www.analytica.net/</t>
  </si>
  <si>
    <t>Analytica assists public sector organizations to identify, leverage, analyze and manage information.</t>
  </si>
  <si>
    <t>Mariano Lopez</t>
  </si>
  <si>
    <t>analytica.rfp@gmail.com</t>
  </si>
  <si>
    <t>Analysing data</t>
  </si>
  <si>
    <t>Apextech-LLC</t>
  </si>
  <si>
    <t>apextechllc.com</t>
  </si>
  <si>
    <t>Apextech LLC, a commercial and government consulting firm, offers clients and partners innovative solutions to heighten business performance.</t>
  </si>
  <si>
    <t>Arlington</t>
  </si>
  <si>
    <t>International/global development;USA;National</t>
  </si>
  <si>
    <t>Frederic Persi</t>
  </si>
  <si>
    <t>fpersi@apextechllc.com</t>
  </si>
  <si>
    <t>Appallicious</t>
  </si>
  <si>
    <t>appallicious.com</t>
  </si>
  <si>
    <t>The Appallicious Mobile Commerce Platform is a leading technology for government and business to go mobile.</t>
  </si>
  <si>
    <t>Public safety;USA;Regional | Health/healthcare;USA;Regional | Demographics and social;USA;National</t>
  </si>
  <si>
    <t>Max Wertheimer</t>
  </si>
  <si>
    <t>maxw@appallicious.com</t>
  </si>
  <si>
    <t>AreaVibes Inc.</t>
  </si>
  <si>
    <t>http://www.areavibes.com/</t>
  </si>
  <si>
    <t>AreaVibe works to provide you with everything you need to know about every city in the United States.</t>
  </si>
  <si>
    <t>Economics;USA;National | Environment;USA;National | Public Safety;USA;National</t>
  </si>
  <si>
    <t>Ayasdi</t>
  </si>
  <si>
    <t>http://www.ayasdi.com/</t>
  </si>
  <si>
    <t>Ayasdi is an enterprise software platform that changes the way the organizations discover, extract and operationalize insights from complex data.</t>
  </si>
  <si>
    <t>Menlo Park</t>
  </si>
  <si>
    <t>BaleFire-Global</t>
  </si>
  <si>
    <t>http://balefireglobal.com</t>
  </si>
  <si>
    <t>BaleFire Global provides training, civic engagement and client success to NGOs and governments around the world.</t>
  </si>
  <si>
    <t>Raleigh</t>
  </si>
  <si>
    <t>null;USA;Regional | null;USA;National</t>
  </si>
  <si>
    <t>Jason Hare</t>
  </si>
  <si>
    <t>jhare@balefireglobal.com</t>
  </si>
  <si>
    <t>Be Informed</t>
  </si>
  <si>
    <t>http://www.beinformed.com/BeInformed/website/en?init=true</t>
  </si>
  <si>
    <t>Be Informed’s semantic technology and solutions makes business applications completely model-driven, allowing organizations to instantly execute on new strategies and regulations.</t>
  </si>
  <si>
    <t>Bing</t>
  </si>
  <si>
    <t>http://www.bing.com</t>
  </si>
  <si>
    <t>Bing is a Microsoft decision (search) engine that attempts to understand the context behind the search, which Microsoft claims gives users better results.</t>
  </si>
  <si>
    <t>Redmond</t>
  </si>
  <si>
    <t>Cambridge Semantics</t>
  </si>
  <si>
    <t>http://www.cambridgesemantics.com/home</t>
  </si>
  <si>
    <t>Cambridge Semantics provides the Anzo software suite, an open platform for building interactive Unified Information Access solutions and rapidly using data from diverse sources.</t>
  </si>
  <si>
    <t>Canon</t>
  </si>
  <si>
    <t>http://www.canon.com</t>
  </si>
  <si>
    <t>Canon is working with Captricity to transform government data into a form whereby it can be tagged, shared, secured and mashed up. </t>
  </si>
  <si>
    <t>Melville</t>
  </si>
  <si>
    <t>Captricity</t>
  </si>
  <si>
    <t>captricity.com</t>
  </si>
  <si>
    <t>Captricity is a tech startup that has launched a completely self-serve data entry web service which extracts structured information, including handwriting, from paper forms.</t>
  </si>
  <si>
    <t>Berkeley</t>
  </si>
  <si>
    <t>Government operations;USA;Regional | Economics;USA;National</t>
  </si>
  <si>
    <t>Brian Busch</t>
  </si>
  <si>
    <t>brianb@captricity.com</t>
  </si>
  <si>
    <t>Caspio</t>
  </si>
  <si>
    <t>http://www.caspio.com/</t>
  </si>
  <si>
    <t>Caspio offers a cloud-based platform that allows users to create forms, publish databases or create business web applications fast and without programming.</t>
  </si>
  <si>
    <t>Santa Clara</t>
  </si>
  <si>
    <t>CGI</t>
  </si>
  <si>
    <t>http://www.cgi.com/en</t>
  </si>
  <si>
    <t>CGI provides end-to-end IT and business process services that facilitate the ongoing evolution of its clients' businesses.</t>
  </si>
  <si>
    <t>Civis Analytics</t>
  </si>
  <si>
    <t>http://civisanalytics.com/</t>
  </si>
  <si>
    <t>Civis Analytics helps companies, non-profits, and campaigns leverage their data to develop smarter strategy, make better decisions, and build stronger, data-driven organizations.</t>
  </si>
  <si>
    <t>West Loop</t>
  </si>
  <si>
    <t>ClearStory Data</t>
  </si>
  <si>
    <t>www.clearstorydata.com</t>
  </si>
  <si>
    <t>ClearStory Data makes it easy for business users to find, combine and interactively explore data across first-party and third-party sources.</t>
  </si>
  <si>
    <t>CodeN</t>
  </si>
  <si>
    <t>http://www.code-n.com</t>
  </si>
  <si>
    <t>Code-N is a cloud computing company that leverages concept-based technology to deliver software solutions to the BioPharma industry.</t>
  </si>
  <si>
    <t>Randy Haldeman</t>
  </si>
  <si>
    <t>rhaldeman@code-n.com</t>
  </si>
  <si>
    <t>Computer Packages Inc</t>
  </si>
  <si>
    <t>http://www.computerpackages.com/</t>
  </si>
  <si>
    <t>Computer Packages Inc. provides intellectual property management systems and patent annuity payment services.</t>
  </si>
  <si>
    <t>Rockville</t>
  </si>
  <si>
    <t>Connotate</t>
  </si>
  <si>
    <t>http://www.connotate.com</t>
  </si>
  <si>
    <t>Connotate provides Web data extraction and monitoring to help businesses make smarter decisions, reduce costs and grow revenue.</t>
  </si>
  <si>
    <t>New Brunswick</t>
  </si>
  <si>
    <t>CrowdANALYTIX</t>
  </si>
  <si>
    <t>www.crowdanalytix.com</t>
  </si>
  <si>
    <t>CrowdANALYTIX is an on-demand, crowd-sourced service providing data science expertise to analytics managers and their teams in enterprises and professional services firms. 
</t>
  </si>
  <si>
    <t>Campbell</t>
  </si>
  <si>
    <t>Demographics and social;USA;National | Energy;USA;National | Legal;USA;National | Government operations;USA;National | Transportation;USA;National</t>
  </si>
  <si>
    <t>Divyabh Mishra</t>
  </si>
  <si>
    <t>divyabh@crowdanalytix.com</t>
  </si>
  <si>
    <t>DataLogix</t>
  </si>
  <si>
    <t>http://www.datalogix.com</t>
  </si>
  <si>
    <t>Datalogix provides marketing infrastructure for the data-driven era by connecting digital advertising to offline sales.</t>
  </si>
  <si>
    <t>Westminster</t>
  </si>
  <si>
    <t>CO</t>
  </si>
  <si>
    <t>null;USA;Regional | Demographics and social;USA;National</t>
  </si>
  <si>
    <t>DataMarket</t>
  </si>
  <si>
    <t>datamarket.com</t>
  </si>
  <si>
    <t>DataMarket brings complex and diverse data together so you can search, compare, visualize and share it in one place and one format.</t>
  </si>
  <si>
    <t>Economy;USA;Regional | Government operations;USA;National</t>
  </si>
  <si>
    <t>Edward Farmer</t>
  </si>
  <si>
    <t>edward@datamarket.com</t>
  </si>
  <si>
    <t>Datamyne</t>
  </si>
  <si>
    <t>http://www.datamyne.com</t>
  </si>
  <si>
    <t>Datamyne provides global import/export data to help take business across borders.</t>
  </si>
  <si>
    <t>Miami</t>
  </si>
  <si>
    <t>Public safety;USA;National</t>
  </si>
  <si>
    <t>EMC</t>
  </si>
  <si>
    <t>http://www.emc.com/index.htm</t>
  </si>
  <si>
    <t>EMC provides technologies and tools to help businesses design infrastructures to store and protect information so that it can be made accessible and actionable.</t>
  </si>
  <si>
    <t>Hopkinton</t>
  </si>
  <si>
    <t>Education;USA;National | Public safety;USA;National | Transportation;USA;National | Environment;USA;National</t>
  </si>
  <si>
    <t>Enigmaio</t>
  </si>
  <si>
    <t>enigma.io</t>
  </si>
  <si>
    <t>By harmonizing and indexing the world's public data, Engima empowers professionals to discover hidden facts and connections like never before.</t>
  </si>
  <si>
    <t>Environment;USA;National | Government operations;USA;National | Agriculture;USA;National | Education;USA;National | Legal;USA;National | Demographics and social;USA;National | Health/healthcare;USA;National | Transportation;USA;National | Economics;USA;National | Public safety;USA;National</t>
  </si>
  <si>
    <t>Marc DaCosta</t>
  </si>
  <si>
    <t>marc@enigma.io</t>
  </si>
  <si>
    <t>Epsilon</t>
  </si>
  <si>
    <t>http://www.epsilon.com</t>
  </si>
  <si>
    <t>Epsilon works with marketers, using customer intelligence to create connections between brands and customers with solutions that integrate data, creativity and robust technologies.</t>
  </si>
  <si>
    <t>Plano</t>
  </si>
  <si>
    <t>Equilar</t>
  </si>
  <si>
    <t>http://www.equilar.com/</t>
  </si>
  <si>
    <t>Equilar is an independent provider of high-quality executive data, tools, and analysis.</t>
  </si>
  <si>
    <t>Redwood City</t>
  </si>
  <si>
    <t>Exversion</t>
  </si>
  <si>
    <t>https://exversion.com</t>
  </si>
  <si>
    <t>Exversion allows you to search 140,000+ datasets, consume through one API or upload your own data, and collaborate, publish, share or version-control with  your community.</t>
  </si>
  <si>
    <t>Marianne Bellotti</t>
  </si>
  <si>
    <t>Marianne@exversion.com</t>
  </si>
  <si>
    <t>Factual</t>
  </si>
  <si>
    <t>http://www.factual.com</t>
  </si>
  <si>
    <t>Factual is a data company that helps developers, publishers, and advertisers build more relevant and personalized mobile experiences using the context of location.</t>
  </si>
  <si>
    <t>Los Angeles</t>
  </si>
  <si>
    <t>Matt Hersh</t>
  </si>
  <si>
    <t>matt@factual.com</t>
  </si>
  <si>
    <t>Fujitsu</t>
  </si>
  <si>
    <t>http://www.fujitsu.com/us/</t>
  </si>
  <si>
    <t>Fujitsu works to shape the future of society and business by using the power of ICT to contribute to their clients' success.</t>
  </si>
  <si>
    <t>Sunnyvale</t>
  </si>
  <si>
    <t>Masatomo Goto</t>
  </si>
  <si>
    <t>mg@jp.fujitsu.com</t>
  </si>
  <si>
    <t>Geolytics</t>
  </si>
  <si>
    <t>http://www.geolytics.com</t>
  </si>
  <si>
    <t>GeoLytics provides demographic data, census demographics, market research data, and geocoding for social researchers and business marketing.</t>
  </si>
  <si>
    <t>Branchburg</t>
  </si>
  <si>
    <t>GitHub</t>
  </si>
  <si>
    <t>https://github.com</t>
  </si>
  <si>
    <t>GitHub is at code host with over 9.8 million repositories and tools are open to the community for public projects and secure for private projects.</t>
  </si>
  <si>
    <t>Google Public Data Explorer</t>
  </si>
  <si>
    <t>https://www.google.com/intl/en/about/</t>
  </si>
  <si>
    <t>Google Labs' Public Data Explorer makes large datasets easy to explore, visualize and communicate.</t>
  </si>
  <si>
    <t>Graematter-Inc</t>
  </si>
  <si>
    <t>www.graematter.com</t>
  </si>
  <si>
    <t>Graematter created SOFIE, a web-based, proprietary information analytics system that consolidates information from dozens of regulatory data sources into a system with unique search capabilities.</t>
  </si>
  <si>
    <t>St. Louis</t>
  </si>
  <si>
    <t>MO</t>
  </si>
  <si>
    <t>Health/healthcare;USA;National | Economics;USA;National | Legal;USA;National</t>
  </si>
  <si>
    <t>Melissa Walker</t>
  </si>
  <si>
    <t>mwalker@graematter.com</t>
  </si>
  <si>
    <t>Gram Vaani</t>
  </si>
  <si>
    <t>http://www.gramvaani.org/</t>
  </si>
  <si>
    <t>Gram Vaani [meaning 'voice of the village'] is a social tech company based at IIT-Delhi</t>
  </si>
  <si>
    <t>Delhi</t>
  </si>
  <si>
    <t>demographics and social;India;National</t>
  </si>
  <si>
    <t>Harris-Corporation</t>
  </si>
  <si>
    <t>www.harris.com</t>
  </si>
  <si>
    <t>Harris is an international communications and information technology company serving government and commercial markets in more than 125 countries.</t>
  </si>
  <si>
    <t>Melbourne</t>
  </si>
  <si>
    <t>Stephen Marley</t>
  </si>
  <si>
    <t>smarley@harris.com</t>
  </si>
  <si>
    <t>IBM</t>
  </si>
  <si>
    <t>www.ibm.com</t>
  </si>
  <si>
    <t>Instrumented. Intelligent. Interconnected.
IBMers works with companies, cities and communities around the world to build a smarter planet.</t>
  </si>
  <si>
    <t>Armonk</t>
  </si>
  <si>
    <t>Demographics and social;USA;National | Geospatial/mapping;USA;National</t>
  </si>
  <si>
    <t>Steven Adler</t>
  </si>
  <si>
    <t>adler1@us.ibm.com</t>
  </si>
  <si>
    <t>Importio</t>
  </si>
  <si>
    <t>http://import.io</t>
  </si>
  <si>
    <t>Import.io's mission is to structure the web and make web data available to everyone.</t>
  </si>
  <si>
    <t>Jennifer Methvin</t>
  </si>
  <si>
    <t>jen.methvin@import.io</t>
  </si>
  <si>
    <t>InCadence</t>
  </si>
  <si>
    <t>http://incadence.com</t>
  </si>
  <si>
    <t>InCadence is a professional services firm that provides comprehensive integration services for Salesforce.com and the Force.com cloud platform.</t>
  </si>
  <si>
    <t>Manassas</t>
  </si>
  <si>
    <t>Informatica</t>
  </si>
  <si>
    <t>http://www.informatica.com</t>
  </si>
  <si>
    <t>Informatica Corporation provides data integration software and services that help organizations to access, integrate, and trust all their information assets.</t>
  </si>
  <si>
    <t>Other (Defense)</t>
  </si>
  <si>
    <t>IPHIX</t>
  </si>
  <si>
    <t>iphix.net</t>
  </si>
  <si>
    <t>IPHIX is an IT consultancy in the area of business data standardization.</t>
  </si>
  <si>
    <t>Falls Church</t>
  </si>
  <si>
    <t>Finance;USA;National | Environment;USA;National</t>
  </si>
  <si>
    <t>Josephine Garbellotto</t>
  </si>
  <si>
    <t>jo@iphix.net</t>
  </si>
  <si>
    <t>IVES-Group-Inc</t>
  </si>
  <si>
    <t>http://auditanalytics.com/</t>
  </si>
  <si>
    <t>Audit Analytics is an independent research provider of audit, regulatory and disclosure intelligence.</t>
  </si>
  <si>
    <t>Sutton</t>
  </si>
  <si>
    <t>Demographics and social;USA;National | Legal;USA;National | Economics;USA;National | Finance;USA;National | Government operations;USA;National</t>
  </si>
  <si>
    <t>John Pakaluk</t>
  </si>
  <si>
    <t>jpakaluk@ivesinc.com</t>
  </si>
  <si>
    <t>Junar-Inc</t>
  </si>
  <si>
    <t>www.Junar.com</t>
  </si>
  <si>
    <t>Our products streamline the process for data-rich organizations to publish Open Data while enabling data consumers with easy access and use.</t>
  </si>
  <si>
    <t>McKinney</t>
  </si>
  <si>
    <t>Finance;USA;Regional | Public safety;USA;Regional</t>
  </si>
  <si>
    <t>Taylor Scanlon</t>
  </si>
  <si>
    <t>taylor.scanlon@junar.com</t>
  </si>
  <si>
    <t>Kimono-Labs</t>
  </si>
  <si>
    <t>kimonolabs.com</t>
  </si>
  <si>
    <t>Kimono turns unstructured data on websites into APIs without writing any code - transforming data into structured, manipulable data sets.</t>
  </si>
  <si>
    <t>Economics;USA;National | Environment;USA;National</t>
  </si>
  <si>
    <t>Pratap Ranade</t>
  </si>
  <si>
    <t>pratap@kimonolabs.com</t>
  </si>
  <si>
    <t>Knoema</t>
  </si>
  <si>
    <t>http://knoema.com/</t>
  </si>
  <si>
    <t>Knoema is a knowledge platform used to connect data with analytical and presentation tools.</t>
  </si>
  <si>
    <t>Level One Technologies</t>
  </si>
  <si>
    <t>http://www.levelonetechnologies.com</t>
  </si>
  <si>
    <t>Level One Technologies develops powerful web based applications that help businesses become more efficient and profitable.</t>
  </si>
  <si>
    <t>Maryland Heights</t>
  </si>
  <si>
    <t>LOVELAND-Technologies</t>
  </si>
  <si>
    <t>www.makeloveland.com</t>
  </si>
  <si>
    <t>Loveland Technologies is dedicated to putting America online, one parcel at a time.</t>
  </si>
  <si>
    <t>Detroit</t>
  </si>
  <si>
    <t>Alex Alsup</t>
  </si>
  <si>
    <t>alex@makeloveland.com</t>
  </si>
  <si>
    <t>Lumesis-Inc</t>
  </si>
  <si>
    <t>www.lumesis.com</t>
  </si>
  <si>
    <t>Municipal Market Solutions Delivering Business
Efficiencies, Data and Regulatory Support</t>
  </si>
  <si>
    <t>Stamford</t>
  </si>
  <si>
    <t>CT</t>
  </si>
  <si>
    <t>Demographics and social;USA;National | Economics;USA;National</t>
  </si>
  <si>
    <t>Dalia Valdajevaite</t>
  </si>
  <si>
    <t>dvalda@lumesis.com</t>
  </si>
  <si>
    <t>MarkLogic</t>
  </si>
  <si>
    <t>http://www.marklogic.com</t>
  </si>
  <si>
    <t>MarkLogic is a database for unstructured information, a platform for Big Data applications designed to drive revenue, streamline operations, and manage risk.</t>
  </si>
  <si>
    <t>Merrill Corp.</t>
  </si>
  <si>
    <t>http://www.merrillcorp.com</t>
  </si>
  <si>
    <t>Merrill DataSite provides a secure virtual workspace service that optimizes collaboration and information management across enterprises.</t>
  </si>
  <si>
    <t>St. Paul</t>
  </si>
  <si>
    <t>Microsoft Windows Azure Marketplace</t>
  </si>
  <si>
    <t>http://datamarket.azure.com</t>
  </si>
  <si>
    <t>The Windows Azure Marketplace is an online market for buying and selling finished Software as a Service applications and premium datasets.</t>
  </si>
  <si>
    <t>Nautilytics</t>
  </si>
  <si>
    <t>http://www.nautilytics.com</t>
  </si>
  <si>
    <t>Nautilytics develops software that enables businesses to understand and make informed decisions from complex and dynamic data.</t>
  </si>
  <si>
    <t>NonprofitMetrics</t>
  </si>
  <si>
    <t>https://www.nonprofitmetrics.com</t>
  </si>
  <si>
    <t>NonprofitMetrics is an analytics website that helps companies find, evaluate, and secure business with nonprofits</t>
  </si>
  <si>
    <t>Josh Hurd</t>
  </si>
  <si>
    <t>josh@nonprofitmetrics.com</t>
  </si>
  <si>
    <t>Ontodia-Inc</t>
  </si>
  <si>
    <t>ontodia.com</t>
  </si>
  <si>
    <t>Ontodia converts raw data to actionable, hyperlocalized knowledge, enabling data-driven decisions and conversations. From big data to small, actionable knowledge.</t>
  </si>
  <si>
    <t>Joel Natividad</t>
  </si>
  <si>
    <t>joel.natividad@ontodia.com</t>
  </si>
  <si>
    <t>Optensity</t>
  </si>
  <si>
    <t>http://www.optensity.com</t>
  </si>
  <si>
    <t>Optensity enables users and analysts of big data to easily experiment with it and develop new insights.</t>
  </si>
  <si>
    <t>McLean</t>
  </si>
  <si>
    <t>Orlin Research</t>
  </si>
  <si>
    <t>http://www.orlinresearch.com</t>
  </si>
  <si>
    <t>The Orlin Data System reduces the costs of research by allowing analysts to manipulate data without the assistance of professional programming staff.</t>
  </si>
  <si>
    <t>Overture-Technologies</t>
  </si>
  <si>
    <t>http://www.overturecorp.com/</t>
  </si>
  <si>
    <t>Overture's technology powers business rules and automated underwriting applications for higher education, mortgage and small business finance industries.</t>
  </si>
  <si>
    <t>Bethesda</t>
  </si>
  <si>
    <t>Education;USA;National | Economics;USA;National | Geospatial/mapping;USA;National</t>
  </si>
  <si>
    <t>Kim Thompson</t>
  </si>
  <si>
    <t>kthompson@overturecorp.com</t>
  </si>
  <si>
    <t>Palantir Technologies</t>
  </si>
  <si>
    <t>https://www.palantir.com</t>
  </si>
  <si>
    <t>Palantir Technologies builds software platforms that help people perform powerful, collaborative analysis of data at scale.</t>
  </si>
  <si>
    <t>Paxata</t>
  </si>
  <si>
    <t>www.paxata.com</t>
  </si>
  <si>
    <t>Paxata introduces the Adaptive Data Preparation platform built for the business analyst.</t>
  </si>
  <si>
    <t>Cari Jaquet</t>
  </si>
  <si>
    <t>cari@paxata.com</t>
  </si>
  <si>
    <t>Personal-Inc</t>
  </si>
  <si>
    <t>personal.com</t>
  </si>
  <si>
    <t>Personal.com provides individuals with secure digital vaults for storing, sharing, importing, and reusing their important data and files, including for auto form-filling.</t>
  </si>
  <si>
    <t>Education;USA;National</t>
  </si>
  <si>
    <t>Joshua Galper</t>
  </si>
  <si>
    <t>josh@personal.com</t>
  </si>
  <si>
    <t>PIXIA-Corp</t>
  </si>
  <si>
    <t>www.pixia.com</t>
  </si>
  <si>
    <t>PIXIA Corp was formed in 1999 by entertainment industry technologists who apply the tenets of large data management to solve US Government data access challenges.</t>
  </si>
  <si>
    <t>Reston</t>
  </si>
  <si>
    <t>Gina Lundy</t>
  </si>
  <si>
    <t>lundyg@pixia.com</t>
  </si>
  <si>
    <t>Priceweave</t>
  </si>
  <si>
    <t>www.priceweave.com</t>
  </si>
  <si>
    <t>PriceWeave is a eCommerce Price Intelligence product that lets eCommerce portals monitor price changes to products across the Web in a easy manner.</t>
  </si>
  <si>
    <t>ProgrammableWeb</t>
  </si>
  <si>
    <t>http://www.programmableweb.com</t>
  </si>
  <si>
    <t>ProgrammableWeb is a leading directory with over 10,000 APIs and is a reference with listings of code libraries, tutorials, product reviews and more.</t>
  </si>
  <si>
    <t>Quandl</t>
  </si>
  <si>
    <t>http://www.quandl.com</t>
  </si>
  <si>
    <t>Quandl lets users search over 8,000,000 financial, economic, and social datasets.</t>
  </si>
  <si>
    <t>Toronto</t>
  </si>
  <si>
    <t>ON</t>
  </si>
  <si>
    <t>Agriculture;USA;National | Health/healthcare;USA;National | Education;USA;National | Energy;USA;National | Economics;USA;National | Finance;USA;National | Public safety;USA;National | Demographics and social;USA;National | Legal;USA;National | Government operations;USA;National | Environment;USA;National</t>
  </si>
  <si>
    <t>Quertle</t>
  </si>
  <si>
    <t>quertle.com</t>
  </si>
  <si>
    <t>Quertle is an information technology company that provides an award-winning, easy to use, powerful search engine for scholarly literature.</t>
  </si>
  <si>
    <t>Henderson</t>
  </si>
  <si>
    <t>NV</t>
  </si>
  <si>
    <t>Vicki Burnett</t>
  </si>
  <si>
    <t>burnett@quertle.com</t>
  </si>
  <si>
    <t>Quid</t>
  </si>
  <si>
    <t>http://quid.com</t>
  </si>
  <si>
    <t>Quid software helps users explore complex data and networks on technology areas of interest and provides them with the ability to monitor them over time.</t>
  </si>
  <si>
    <t>Rapid-Cycle-Solutions</t>
  </si>
  <si>
    <t>www.rapidcyclesolutions.com</t>
  </si>
  <si>
    <t>Rapid Cycle Solutions is an innovative small business providing technical expertise to support Federal Agency mission-critical requirements.</t>
  </si>
  <si>
    <t>Nokesville</t>
  </si>
  <si>
    <t>Bill Engel</t>
  </si>
  <si>
    <t>Bill.engel@rapidcyclesolutions.com</t>
  </si>
  <si>
    <t>REI-Systems</t>
  </si>
  <si>
    <t>www.reisystems.com</t>
  </si>
  <si>
    <t>REI Systems is a leading provider of federal open government/transparency solutions and has built many high-profile websites in the federal government.</t>
  </si>
  <si>
    <t>Sterling</t>
  </si>
  <si>
    <t>Public safety;USA;Regional | Demographics and social;USA;National | Housing;USA;National | Environment;USA;Regional |  Environment;USA;National</t>
  </si>
  <si>
    <t>Alexandra Homsi</t>
  </si>
  <si>
    <t>alexandra.homsi@reisystems.com</t>
  </si>
  <si>
    <t>SAP</t>
  </si>
  <si>
    <t>http://www.sap.com/</t>
  </si>
  <si>
    <t>SAP is a software company developing enterprise resources planning and business objects software.</t>
  </si>
  <si>
    <t>Newtown Square</t>
  </si>
  <si>
    <t>SAS</t>
  </si>
  <si>
    <t>http://www.sas.com/</t>
  </si>
  <si>
    <t>SAS is a software suite developed by SAS Institute for advanced analytics, business intelligence, data management, and predictive analytics.</t>
  </si>
  <si>
    <t>Cary</t>
  </si>
  <si>
    <t>Seabourne</t>
  </si>
  <si>
    <t>www.seabourneinc.com</t>
  </si>
  <si>
    <t>Seabourne makes it possible to use information to gain new insights, get new value from legacy data systems, improve decision making and power new products.</t>
  </si>
  <si>
    <t>SlashDB</t>
  </si>
  <si>
    <t>http://www.slashdb.com/</t>
  </si>
  <si>
    <t>Government data "sleeps" in databases. SlashDB instantly adds a web API so the data becomes accessible to authorized web and mobile applications and analytics systems.</t>
  </si>
  <si>
    <t>Jersey City</t>
  </si>
  <si>
    <t>Victor Olex</t>
  </si>
  <si>
    <t>victor@slashdb.com</t>
  </si>
  <si>
    <t>Smartronix</t>
  </si>
  <si>
    <t>http://smartronix.com/</t>
  </si>
  <si>
    <t>Smartronix is an information technology and engineering solutions provider with core offerings focused around NetOps, Cyber Security, Cloud Computing, Enterprise Software and Health IT.</t>
  </si>
  <si>
    <t>Hollywood</t>
  </si>
  <si>
    <t>Social-Explorer</t>
  </si>
  <si>
    <t>http://www.socialexplorer.com/</t>
  </si>
  <si>
    <t>Social Explorer provides access to census and demographic data. Its interface lets users create maps and reports to illustrate and understand demography and social change.</t>
  </si>
  <si>
    <t>Economics;USA;National | Demographics and social;USA;National</t>
  </si>
  <si>
    <t>Sydney Beveridge</t>
  </si>
  <si>
    <t>sydney@socialexplorer.com</t>
  </si>
  <si>
    <t>Socrata</t>
  </si>
  <si>
    <t>www.socrata.com</t>
  </si>
  <si>
    <t>Socrata's mission is to connect people to the government data they need and want.</t>
  </si>
  <si>
    <t>Kevin Merritt</t>
  </si>
  <si>
    <t>kevin.merritt@socrata.com</t>
  </si>
  <si>
    <t>SpaceCurve</t>
  </si>
  <si>
    <t>www.spacecurve.com</t>
  </si>
  <si>
    <t>SpaceCurve, developers of a real-time big data platform, delivers immediately actionable intelligence and turn data into value as quickly as it is created.</t>
  </si>
  <si>
    <t>Geospatial/mapping;USA;National | Transportation;USA;National | Weather;USA;National | Demographics and social;USA;Regional</t>
  </si>
  <si>
    <t>Jackie Kmetz</t>
  </si>
  <si>
    <t>jackie.kmetz@spacecurve.com</t>
  </si>
  <si>
    <t>Spikes-Cavell-Analytic-Inc</t>
  </si>
  <si>
    <t>http://www.spikescavell.com/</t>
  </si>
  <si>
    <t>Spikes Cavell delivers data, analytics and business intelligence solutions to the public sector.</t>
  </si>
  <si>
    <t>Herndon</t>
  </si>
  <si>
    <t>Luke Spikes</t>
  </si>
  <si>
    <t>luke.spikes@spikescavell.com</t>
  </si>
  <si>
    <t>Splunk</t>
  </si>
  <si>
    <t>http://www.splunk.com/</t>
  </si>
  <si>
    <t>Splunk indexes and makes searchable data from any app, server or network device in real time including logs, configuration files, messages, alerts, scripts and metrics.</t>
  </si>
  <si>
    <t>Corey Marshall</t>
  </si>
  <si>
    <t>cmarshall@splunk.com</t>
  </si>
  <si>
    <t>StreamLink-Software</t>
  </si>
  <si>
    <t>http://www.streamlinksoftware.com/</t>
  </si>
  <si>
    <t>StreamLink Software offers SaaS grant and board management platforms that bridge disparate systems and processes creating dynamic ecosystems that drive performance and ensure compliance.</t>
  </si>
  <si>
    <t>Cleveland</t>
  </si>
  <si>
    <t>Jason Haddad</t>
  </si>
  <si>
    <t>jhaddad@streamlinksoftware.com</t>
  </si>
  <si>
    <t>Tableau Software</t>
  </si>
  <si>
    <t>http://www.tableausoftware.com/</t>
  </si>
  <si>
    <t>Tableau Software produces a family of interactive data visualization products focused on business intelligence.</t>
  </si>
  <si>
    <t>Teradata</t>
  </si>
  <si>
    <t>http://www.teradata.com/</t>
  </si>
  <si>
    <t>Teradata Corporation is an American computer company that sells database software for data warehouses and analytic applications, including Big Data.</t>
  </si>
  <si>
    <t>Dayton</t>
  </si>
  <si>
    <t>Think-Computer-Corporation</t>
  </si>
  <si>
    <t>thinkcomputer.com</t>
  </si>
  <si>
    <t>Think Computer Corporation creates web-based software that makes business more efficient, effective, and secure.</t>
  </si>
  <si>
    <t>Aaron Greenspan</t>
  </si>
  <si>
    <t>aarong@thinkcomputer.com</t>
  </si>
  <si>
    <t>TopCoder</t>
  </si>
  <si>
    <t>http://www.topcoder.com/</t>
  </si>
  <si>
    <t>The TopCoder community gathers the world’s experts in design, development and data science to work on interesting and challenging problems for fun and reward.</t>
  </si>
  <si>
    <t>Health/healthcare;USA;National | Energy;USA;National | Science and research;USA;National</t>
  </si>
  <si>
    <t>Verdafero</t>
  </si>
  <si>
    <t>www.verdafero.com</t>
  </si>
  <si>
    <t>Verdafero delivers unified utility analytics software solutions for businesses to capture, analyze, visualize and report their entire utility usage across multiple utility streams and facilities.</t>
  </si>
  <si>
    <t>Energy;USA;National</t>
  </si>
  <si>
    <t>Alastair Hood</t>
  </si>
  <si>
    <t>alastair@verdafero.com</t>
  </si>
  <si>
    <t>Vital-Axiom--Niinja</t>
  </si>
  <si>
    <t>niinja.co</t>
  </si>
  <si>
    <t>Niinja is a search engine for Federal Logistics Information System (FLIS) datasets, which include information on products purchased by the U.S. Defense Department.</t>
  </si>
  <si>
    <t>Sasha Romanova</t>
  </si>
  <si>
    <t>sromanova@vitalaxiom.com</t>
  </si>
  <si>
    <t>Webitects</t>
  </si>
  <si>
    <t>webitects.com</t>
  </si>
  <si>
    <t>Webitects is a web design, design research, and software development consultancy that has been a major sponsor and participant in Chicago's growing open data movement.</t>
  </si>
  <si>
    <t>Legal;USA;Regional | Public safety;USA;National | Education;USA;National</t>
  </si>
  <si>
    <t>Paul Baker</t>
  </si>
  <si>
    <t>paulb@webitects.com</t>
  </si>
  <si>
    <t>Wolfram Research</t>
  </si>
  <si>
    <t>http://www.wolfram.com/</t>
  </si>
  <si>
    <t>Wolfram Research is a leading developer of technical computing software, offering organization-wide computing solutions.</t>
  </si>
  <si>
    <t>Champaign</t>
  </si>
  <si>
    <t>xDayta</t>
  </si>
  <si>
    <t>http://www.xdayta.com</t>
  </si>
  <si>
    <t>The xDayta marketplace connects data buyers and sellers, provides price trending charts, shows data samples and regulates trades.</t>
  </si>
  <si>
    <t>Phoenix</t>
  </si>
  <si>
    <t>AZ</t>
  </si>
  <si>
    <t>John Bunting</t>
  </si>
  <si>
    <t>john@xdayta.com</t>
  </si>
  <si>
    <t>Yahoo</t>
  </si>
  <si>
    <t>http://www.yahoo.com/</t>
  </si>
  <si>
    <t>Yahoo Inc. is a major internet brand with search, content verticals, and other web services.</t>
  </si>
  <si>
    <t>Kathmandu Living Labs</t>
  </si>
  <si>
    <t>http://kathmandulivinglabs.org/</t>
  </si>
  <si>
    <t>Kathmandu Living Labs harnesses local knowledge, develops open data and promotes civic technologies.</t>
  </si>
  <si>
    <t>Kathmandu</t>
  </si>
  <si>
    <t>NPL</t>
  </si>
  <si>
    <t>null; Nepal; regional | null; Nepal; national</t>
  </si>
  <si>
    <t>gm</t>
  </si>
  <si>
    <t>bigml</t>
  </si>
  <si>
    <t>https://bigml.com/</t>
  </si>
  <si>
    <t>BigML offers cloud-based machine learning services, distributed systems, and data visualization</t>
  </si>
  <si>
    <t>Corvallis</t>
  </si>
  <si>
    <t>http://blog.bigml.com/2013/02/28/data-data-data-thousands-of-public-data-sources/</t>
  </si>
  <si>
    <t>Think Brite Solutions</t>
  </si>
  <si>
    <t>The designers of the mobile crime alert app CrimeBot</t>
  </si>
  <si>
    <t>Publilc Safety;Jamaica;National</t>
  </si>
  <si>
    <t>http://www.jamaicaobserver.com/business/Crime-app-designers-focus-on-campus-security_17926812</t>
  </si>
  <si>
    <t>MediRevu</t>
  </si>
  <si>
    <t>http://www.medirevu.com/</t>
  </si>
  <si>
    <t>MediRevu helps doctors give patients easy to understand actionable health plans; improving compliance of diet, exercise and medication recommendations.</t>
  </si>
  <si>
    <t>Health/healthcare;Jamaica;National</t>
  </si>
  <si>
    <t>Gasto Público Bahiense</t>
  </si>
  <si>
    <t>http://gastopublicobahiense.org/</t>
  </si>
  <si>
    <t>Public spending Bahiense is a tool to explore data purchases from suppliers, published the Municipality of Bahia Blanca, Argentina.
</t>
  </si>
  <si>
    <t>Bahia Blanca </t>
  </si>
  <si>
    <t>vSolvIT</t>
  </si>
  <si>
    <t>http://www.vsolvit.com</t>
  </si>
  <si>
    <t>VSolvit was founded in 2006 as an American company focused on providing superior enterprise technology services to the U.S. Government and health industry.</t>
  </si>
  <si>
    <t>Ventura</t>
  </si>
  <si>
    <t>Agriculture; USA; National | Housing; USA; National</t>
  </si>
  <si>
    <t>Roundtables, CODE Research</t>
  </si>
  <si>
    <t>Vigillo</t>
  </si>
  <si>
    <t>http://vigillo.com</t>
  </si>
  <si>
    <t>Vigillo presents data in such a way that companies can quickly and clearly understand and address their most critical safety and compliance issues. </t>
  </si>
  <si>
    <t>Transportation; USA; National</t>
  </si>
  <si>
    <t>optimization | new</t>
  </si>
  <si>
    <t>Veterans Enterprise Technology Solutions</t>
  </si>
  <si>
    <t>http://www.vets-inc.com</t>
  </si>
  <si>
    <t>Veterans Enterprise Technology Solutions, Inc. provides information technology support services to government and commercial customers in the United States. </t>
  </si>
  <si>
    <t>Clarksville</t>
  </si>
  <si>
    <t>other: Veterans Affairs, USA, National</t>
  </si>
  <si>
    <t>Ushahidi</t>
  </si>
  <si>
    <t>http://www.ushahidi.com</t>
  </si>
  <si>
    <t>The Ushahidi Platform allows anyone to gather distributed data via SMS, email or web and visualize it on a map or timeline. Our goal is to create the simplest way of aggregating information from the public for use in crisis response.</t>
  </si>
  <si>
    <t>attended USDA RT, their platform is crowdsourced, not sure if they rely on gov data - maybe call Rob Baker?</t>
  </si>
  <si>
    <t>Urjanet</t>
  </si>
  <si>
    <t>http://urjanet.com/</t>
  </si>
  <si>
    <t>Urjanet automates the collection and delivery of energy data. Better data gives you better insight, helping reduce energy spend and usage. </t>
  </si>
  <si>
    <t>energy; USA; National</t>
  </si>
  <si>
    <t>Unite US</t>
  </si>
  <si>
    <t>https://uniteus.com</t>
  </si>
  <si>
    <t>Unite US is a free platform connecting current military service members, veterans and their families to transformative resources and opportunities in their local communities. </t>
  </si>
  <si>
    <t>other: Veterans Affairs; USA; National</t>
  </si>
  <si>
    <t>Twin Dolphin Software</t>
  </si>
  <si>
    <t>http://www.twindolphinsoftware.com</t>
  </si>
  <si>
    <t>Twin Dolphin databases and analysis tools were developed for, and are used extensively in, delivering portfolio management services to Fortune 1000 companies and middle to large law firms.</t>
  </si>
  <si>
    <t>legal; USA; National
</t>
  </si>
  <si>
    <t>new | optimization | research</t>
  </si>
  <si>
    <t>USPTO</t>
  </si>
  <si>
    <t>Trea</t>
  </si>
  <si>
    <t>For profit
</t>
  </si>
  <si>
    <t>www.trea.com</t>
  </si>
  <si>
    <t>Trea allows users to explore relationships between innovation stakeholders and map ideas to the unified knowledge graph.</t>
  </si>
  <si>
    <t>new | research</t>
  </si>
  <si>
    <t>Altium</t>
  </si>
  <si>
    <t>http://www.altium.com/</t>
  </si>
  <si>
    <t>Altium Limited is an Australian owned public software company that provides PC-based electronics design software for engineers.</t>
  </si>
  <si>
    <t>Software developers</t>
  </si>
  <si>
    <t>AMK Technologies</t>
  </si>
  <si>
    <t>www.amk-technologies.com</t>
  </si>
  <si>
    <t>AMK Technologies is a Mexican company backed by certified and experienced in the development of IT solutions for different areas of business professionals. Our effort is focused on establishing strategic partnerships with our customers by providing comprehensive services in the development and implementation of technology to support its operation and projection of your business.</t>
  </si>
  <si>
    <t>Consumer;MEX;National | Business;MEX;National | Finance;MEX;National | Science and research;MEX;National</t>
  </si>
  <si>
    <t>No information on open data </t>
  </si>
  <si>
    <t>Ansarada</t>
  </si>
  <si>
    <t>http://www.ansarada.com/</t>
  </si>
  <si>
    <t>ansarada offers the only virtual data room designed exclusively to simplify M&amp;A due diligence.  
</t>
  </si>
  <si>
    <t>M&amp;A Data room</t>
  </si>
  <si>
    <t>Aporta</t>
  </si>
  <si>
    <t>http://aporta.org.mx/</t>
  </si>
  <si>
    <t>Social and demographics;MEX;National | Economics;MEX;National | Business;MEX;National | Government operations;MEX;National</t>
  </si>
  <si>
    <t>Atlantia Search</t>
  </si>
  <si>
    <t>http://www.atlantiasearch.com/</t>
  </si>
  <si>
    <t>Agriculture;MEX;National | Consumer;MEX;National | Social and demographics;MEX;National | Economics;MEX;National | Business;MEX;National | Finance;MEX;National | Manufacturing;MEX;National | Geospatial/mapping;MEX;National | Government operations;MEX;National | Health/healthcare;MEX;National | Public safety;MEX;National | Environment;MEX;National | Education;MEX;National | Legal;MEX;National | Science and research;MEX;National | Tourism;MEX;National | Transportation;MEX;National | Housing;MEX;National | Energy;MEX;National</t>
  </si>
  <si>
    <t>Atlassian</t>
  </si>
  <si>
    <t>Axesat MÃ©xico</t>
  </si>
  <si>
    <t>www.axesat.mx</t>
  </si>
  <si>
    <t>Agriculture;MEX;National | Economics;MEX;National | Business;MEX;National | Finance;MEX;National | Manufacturing;MEX;National | Geospatial/;MEX;National |  Public safety;MEX;National | Tourism;MEX;National | Energy;MEX;National</t>
  </si>
  <si>
    <t>Ayoui</t>
  </si>
  <si>
    <t>http://www.ayoui.mx/</t>
  </si>
  <si>
    <t>Geospatial/mapping;MEX;National | Public safety;MEX;National | Legal;MEX;National | Science and research;MEX;National | Transportation;MEX;National</t>
  </si>
  <si>
    <t>Code4Kenya </t>
  </si>
  <si>
    <t>http://www.code4kenya.org/</t>
  </si>
  <si>
    <t>A number of civic applications built using Kenya's Open Data- all applications are available as open source code, some of which have been replicated in other countries.</t>
  </si>
  <si>
    <t>seems like subgroup of Open Institute (Kenya) </t>
  </si>
  <si>
    <t>Codeando MÃ©xico</t>
  </si>
  <si>
    <t>http://codeandomexico.org/</t>
  </si>
  <si>
    <t>Finance;MEX;National | Geospatial/mapping;MEX;National | Public safety;MEX;National | Education;MEX;National</t>
  </si>
  <si>
    <t>Data Unlocked</t>
  </si>
  <si>
    <t>http://dataunlocked.co.uk/</t>
  </si>
  <si>
    <t>Data Unlocked is a co-operative data consultancy</t>
  </si>
  <si>
    <t>Birmingham</t>
  </si>
  <si>
    <t>education; GBR;  regional</t>
  </si>
  <si>
    <t>new: SchoolsFinder web application: http://www.dataunlocked.co.uk/schools/</t>
  </si>
  <si>
    <t>Simon Whitehouse (Commercial Director), Mike Cummins (Technical Director)</t>
  </si>
  <si>
    <t>@dataunlocked, hello@dataunlocked.co.uk</t>
  </si>
  <si>
    <t>^ Data Concultancy / Analytics</t>
  </si>
  <si>
    <t>Data4</t>
  </si>
  <si>
    <t>http://www.data4.mx</t>
  </si>
  <si>
    <t>Agriculture;MEX;National | Consumer;MEX;National | Social and demographics;MEX;National | Economics;MEX;National | Business;MEX;National | Finance;MEX;National | Manufacturing;MEX;National | Geospatial/mapping;MEX;National | Government operations;MEX;National | Health/healthcare;MEX;National | Public safety;MEX;National | Environment;MEX;National | Education;MEX;National | Legal;MEX;National | Science and research;MEX;National | Tourism;MEX;National | Transportation;MEX;National | Housing;MEX;National | Energy;MEX;National | International/global development;MEX;National | Weather;MEX;National</t>
  </si>
  <si>
    <t>Fractal</t>
  </si>
  <si>
    <t>http://fractal.ai/#/</t>
  </si>
  <si>
    <t>Science and research;MEX;National | Consumer;MEX;National | Social and demographics;MEX;National | Economics;MEX;National | Finance;MEX;National | Geospatial/mapping;MEX;National | Tourism;MEX;National</t>
  </si>
  <si>
    <t>Funnelback</t>
  </si>
  <si>
    <t>Google.com</t>
  </si>
  <si>
    <t>Geospatial/mapping;MEX;National | Environment;MEX;National | Weather;MEX;National</t>
  </si>
  <si>
    <t>Halfbrick Studios</t>
  </si>
  <si>
    <t>Icalia Labs</t>
  </si>
  <si>
    <t>http://icalialabs.com/</t>
  </si>
  <si>
    <t>Science and research;MEX;National | Social and demographics;MEX;National | Business;MEX;National</t>
  </si>
  <si>
    <t>INNKU</t>
  </si>
  <si>
    <t>http://www.innku.com/</t>
  </si>
  <si>
    <t>Social and demographics;MEX;National</t>
  </si>
  <si>
    <t>MastadonC</t>
  </si>
  <si>
    <t>http://www.mastodonc.com/</t>
  </si>
  <si>
    <t>Mastodon C are agile big data specialists. It started as data analytics project investigating the use of branded statins over the far cheaper generic versions in the UK. The data analysis identified potential efficiency savings to the NHS of £200 million. The company is now also working with the Technology Strategy Board and Nesta to help them gain better insight into their data.</t>
  </si>
  <si>
    <t>health; GBR;  national </t>
  </si>
  <si>
    <t>new | optimization</t>
  </si>
  <si>
    <t>Melbourne IT</t>
  </si>
  <si>
    <t>MITEF Mexico</t>
  </si>
  <si>
    <t>mitefmexico.org</t>
  </si>
  <si>
    <t>Science and research;MEX;National | Agriculture;MEX;National | Social and demographics;MEX;National | Economics;MEX;National | Business;MEX;National | Finance;MEX;National | Manufacturing;MEX;National | Geospatial/mapping;MEX;National | Government operations;MEX;National | Health/healthcare;MEX;National | Public safety;MEX;National | Environment;MEX;National | Education;MEX;National | Transportation;MEX;National | Housing;MEX;National | Energy;MEX;National | Weather;MEX;National</t>
  </si>
  <si>
    <t>Morlan</t>
  </si>
  <si>
    <t>http://www.morlan.mx/</t>
  </si>
  <si>
    <t>Science and research;MEX;National | Social and demographics;MEX;National | Economics;MEX;National | Geospatial/mapping;MEX;National | Education;MEX;National | International/global development;MEX;National</t>
  </si>
  <si>
    <t>MYOB</t>
  </si>
  <si>
    <t>Noveda Technologies</t>
  </si>
  <si>
    <t>www.noveda.com</t>
  </si>
  <si>
    <t>Noveda Technologies is an provider of real-time, web-based energy and water monitoring.</t>
  </si>
  <si>
    <t>Somerville</t>
  </si>
  <si>
    <t>oooES</t>
  </si>
  <si>
    <t>www.oooes.org</t>
  </si>
  <si>
    <t>Social and demographics;MEX;National | Geospatial/mapping;MEX;National | Weather;MEX;National</t>
  </si>
  <si>
    <t>OPI</t>
  </si>
  <si>
    <t>http://opi.la/</t>
  </si>
  <si>
    <t>Social and demographics;MEX;National | Economics;MEX;National | Business;MEX;National | Finance;MEX;National | Geospatial/mapping;MEX;National | Government operations;MEX;National | Health/healthcare;MEX;National | Public safety;MEX;National | Education;MEX;National | Housing;MEX;National</t>
  </si>
  <si>
    <t>OSIsoft</t>
  </si>
  <si>
    <t>http://www.osisoft.com</t>
  </si>
  <si>
    <t>OSIsoft delivers the PI System, for management of real-time data and events in manufacturing, energy, utilities, life sciences, data centers, facilities, and the process industries.</t>
  </si>
  <si>
    <t>San Leandro</t>
  </si>
  <si>
    <t>Partido Surrealista</t>
  </si>
  <si>
    <t>http://surrealista.mx/</t>
  </si>
  <si>
    <t>Social and demographics;MEX;National | Geospatial/mapping;MEX;National | Government operations;MEX;National | Environment;MEX;National | Education;MEX;National | Legal;MEX;National | Transportation;MEX;National</t>
  </si>
  <si>
    <t>People Power</t>
  </si>
  <si>
    <t>http://www.peoplepowerco.com/</t>
  </si>
  <si>
    <t>People Power created an app called, "Presence", which turns smartphoens into WiFi/cellular video cameras for monitoring.</t>
  </si>
  <si>
    <t>PicNet</t>
  </si>
  <si>
    <t>Prosoftware Red de InnovaciÃ³n</t>
  </si>
  <si>
    <t>www.prosoftware.mx</t>
  </si>
  <si>
    <t>Economics;MEX;National | Business;MEX;National | Finance;MEX;National | Government operations;MEX;National | Education;MEX;National</t>
  </si>
  <si>
    <t>Scale Unlimited</t>
  </si>
  <si>
    <t>http://www.scaleunlimited.com/</t>
  </si>
  <si>
    <t>Scale Unlimited provides consulting and training services for big data analytics, search, and web mining.</t>
  </si>
  <si>
    <t>Nevada City</t>
  </si>
  <si>
    <t>SIGNOT</t>
  </si>
  <si>
    <t>signot.com.mx</t>
  </si>
  <si>
    <t>Finance;MEX;National | Government operations;MEX;National | Legal;MEX;National | Other(SAT);MEX;National</t>
  </si>
  <si>
    <t>Smartplace</t>
  </si>
  <si>
    <t>http://www.smartplace.mx</t>
  </si>
  <si>
    <t>Science and research;MEX;National | Social and demographics;MEX;National | Geospatial/mapping;MEX;National | Government operations;MEX;National | Weather;MEX;National</t>
  </si>
  <si>
    <t>Spaceship Labs</t>
  </si>
  <si>
    <t>http://spaceshiplabs.com/</t>
  </si>
  <si>
    <t>Consumer;MEX;National | Business;MEX;National | Government operations;MEX;National | Environment;MEX;National | Education;MEX;National | Transportation;MEX;National</t>
  </si>
  <si>
    <t>TechnologyOne</t>
  </si>
  <si>
    <t>Torus Games</t>
  </si>
  <si>
    <t>TowerData</t>
  </si>
  <si>
    <t>http://intelligence.towerdata.com/</t>
  </si>
  <si>
    <t>Rapleaf makes it easy for marketers to access the data they need to personalize content for their customers, fueling marketing automation tools.</t>
  </si>
  <si>
    <t>Verne42</t>
  </si>
  <si>
    <t>http://verne42.com/</t>
  </si>
  <si>
    <t>Agriculture;MEX;National | Consumer;MEX;National | Social and demographics;MEX;National | Economics;MEX;National | Geospatial/mapping;MEX;National | Health/healthcare;MEX;National | Public safety;MEX;National | Education;MEX;National | Tourism;MEX;National | Transportation;MEX;National | Weather;MEX;National</t>
  </si>
  <si>
    <t>Zapopan Lab</t>
  </si>
  <si>
    <t>http://datamx.io/organization/zapopan-lab</t>
  </si>
  <si>
    <t>Consumer;MEX;National | Social and demographics;MEX;National | Economics;MEX;National | Business;MEX;National | Finance;MEX;National | Geospatial/mapping;MEX;National | Government operations;MEX;National | Health/healthcare;MEX;National | Public safety;MEX;National | Education;MEX;National | Transportation;MEX;National | Arts and culture;MEX;National</t>
  </si>
  <si>
    <t>Civic Consulting Alliance and Allstate Insurance, Chicago Department of Innovation and Technology (DoIT), Chicago Department of Health (DoH)</t>
  </si>
  <si>
    <t>http://www.foodbornechicago.org/</t>
  </si>
  <si>
    <t>Representatives from the Civic Consulting Alliance and Allstate Insurance volunteered their time to help the city's public health department and Department of Innovation and Technology (DoIT) design a predictive model using open datasets to prioritize food establishments for inspection. Using this model, city public health staff members can identify establishments that would be most likely to fail an inspection or to incur violations. Those establishments are targeted for visits, and ideally, code violations and related illnesses are prevented.</t>
  </si>
  <si>
    <t>Healthcare</t>
  </si>
  <si>
    <t>Effectively reducing the risk of potential public exposure to foodborne pathogens</t>
  </si>
  <si>
    <t>Deepak Shenoy</t>
  </si>
  <si>
    <t>http://opendatastories.org/2011/05/inflation-in-india/</t>
  </si>
  <si>
    <t>Visualization of inflation data of India using a Treemap</t>
  </si>
  <si>
    <t>Better inform citizens about economic data</t>
  </si>
  <si>
    <t>formacion</t>
  </si>
  <si>
    <t>http://www.inefop.org.uy</t>
  </si>
  <si>
    <t>Dissemination of knowledge</t>
  </si>
  <si>
    <t>URY</t>
  </si>
  <si>
    <t>Education</t>
  </si>
  <si>
    <t>university, no work/project/data use info</t>
  </si>
  <si>
    <t>MejoramosJuntos</t>
  </si>
  <si>
    <t>http://www.MejoramosJuntos.org</t>
  </si>
  <si>
    <t>Description MejoramosJuntos is a platform and a methodology to manage 36 types of solutions to problems (water, electricity, lighting, potholes, traffic, trash, gas, naphtha, etc.) in any neighborhood and city in the world ((is currently operating in beta in Argentina) collaboratively between citizens, groups of neighbors, NGOs, media and authorities (local, provincial and national) in an efficient, transparent, open, free, from web and / or cell.</t>
  </si>
  <si>
    <t>Sees to only use crowdsourced data</t>
  </si>
  <si>
    <t>Portal Paraguay</t>
  </si>
  <si>
    <t>http://www.paraguay.gov.py/portal-paraguay</t>
  </si>
  <si>
    <t>It is the one-stop access to all the information, procedures and services offered by the institutions of the Paraguayan State.
The Portal is targeted at citizens, businesses, government officials and foreigners wishing to access all information pertaining to institutions of the Paraguayan State, its history, associated regulations, plant professionals and technicians, as well as the catalog of all services and transactions available.</t>
  </si>
  <si>
    <t>Opendata Cáceres</t>
  </si>
  <si>
    <t>http://opemdata.caceres.es</t>
  </si>
  <si>
    <t>ake public on 5 star level data of Ayto Caceres</t>
  </si>
  <si>
    <t>url invalid. government data portal</t>
  </si>
  <si>
    <t>Iniciativa de Datos Abiertos Vinculados del Gobierno de Misiones</t>
  </si>
  <si>
    <t>http://www.datos.misiones.gov.ar/</t>
  </si>
  <si>
    <t>Increasing access and public use datasets value which are machine-readable and have been generated by the Executive Branch of the Government of Misiones in Argentina.</t>
  </si>
  <si>
    <t>government portal</t>
  </si>
  <si>
    <t>Open data</t>
  </si>
  <si>
    <t>http://api.bogotacomovamos.org</t>
  </si>
  <si>
    <t>Open the data acces to the program, Bogotá Cómo Vamos, has generated over the last 15 years on impact of public policy and public perception, so that citizens, the district administration, journalists, businessmen, etc., can have free access to information on Bogota in the 16 sectors of the city, such as education, health, environment, mobility, etc.</t>
  </si>
  <si>
    <t>Portal Gobierno Local</t>
  </si>
  <si>
    <t>http://www.gobiernolocal.gob.ar</t>
  </si>
  <si>
    <t>Local government is a portal of the Ministry of Interior and Transport of the Nation, built collaboratively, whose main objective is to contribute to the promotion and development of the municipalities of Argentina. This is a project that is part of the Program for Improving Municipal Management (PMGM) housed in the UEC - Central Executing Unit of the Ministry (IDB loan 1855 / OC-AR).</t>
  </si>
  <si>
    <t>ACARA</t>
  </si>
  <si>
    <t>http://www.acara.edu.au/default.asp</t>
  </si>
  <si>
    <t>The Australian Curriculum, Assessment and Reporting Authority (ACARA) is an independent statutory authority that will improve the learning of all young Australians through world-class school curriculum, assessment and reporting.</t>
  </si>
  <si>
    <t>No Information on Open Data</t>
  </si>
  <si>
    <t>Afla MD (school portal)</t>
  </si>
  <si>
    <t>http://afla.md/</t>
  </si>
  <si>
    <t>Portal that provides information about schools in Moldova (budgets, location, ratings, contact info, etc)</t>
  </si>
  <si>
    <t>MDA</t>
  </si>
  <si>
    <t>Project of FusionWorks (Moldova)</t>
  </si>
  <si>
    <t>Akshara Foundation's Karnataka Learning Partnership</t>
  </si>
  <si>
    <t>http://www.akshara.org.in/program/karnataka-learning-partnership</t>
  </si>
  <si>
    <t>The Karnataka Learning Partnership (KLP) is a public technology platform of data on education. Over the last seven years, KLP has systematically built a database which is a repository of facts and figures on schools and children. The geographic, demographic and educational information gets fed in. </t>
  </si>
  <si>
    <t>Bengaluru</t>
  </si>
  <si>
    <t>Gautam John</t>
  </si>
  <si>
    <t>gautam@akshara.org.in</t>
  </si>
  <si>
    <t>No clear use of open data. </t>
  </si>
  <si>
    <t>Alltuition</t>
  </si>
  <si>
    <t>https://www.alltuition.com</t>
  </si>
  <si>
    <t>Alltuition is an online search engine for students to find suitable loan providers.
</t>
  </si>
  <si>
    <t>Education;USA;national</t>
  </si>
  <si>
    <t>BetterLesson</t>
  </si>
  <si>
    <t>http://betterlesson.com</t>
  </si>
  <si>
    <t>BetterLesson was founded by a group of public schools teachers to connect educators and help them create, organize, and share their curricula.</t>
  </si>
  <si>
    <t>Cambridge</t>
  </si>
  <si>
    <t>Cappex</t>
  </si>
  <si>
    <t>www.cappex.com</t>
  </si>
  <si>
    <t>Cappex offers solutions to colleges and universities that allow them to reach and connect with students.</t>
  </si>
  <si>
    <t>Carers Australia</t>
  </si>
  <si>
    <t>University of Sao Paolo - Research Group on Public Policies for Access to Information  (GPOPAI)</t>
  </si>
  <si>
    <t>http://www.gpopai.usp.br/cuidando/</t>
  </si>
  <si>
    <t>The GPOPAI at the University of Sao Paolo is dedicated to the investigation of the effects of new technologies for the production, distribution and consumption of cultural and educational assets, as well as research topics related to intellectual property, emphasizing its impact on access to information, culture and knowledge.</t>
  </si>
  <si>
    <t>new: An online tool visualizing budget and spending data for the city of São Paulo on an interactive map | research </t>
  </si>
  <si>
    <t>College-Board</t>
  </si>
  <si>
    <t>http://www.collegeboard.org</t>
  </si>
  <si>
    <t>The College Board seeks to ensure that every student in the US has access to a high-quality education and is prepared to succeed in college.</t>
  </si>
  <si>
    <t>Jack Buckley</t>
  </si>
  <si>
    <t>jbuckley@collegeboard.org</t>
  </si>
  <si>
    <t>ConnectEDU</t>
  </si>
  <si>
    <t>http://www.connectedu.com</t>
  </si>
  <si>
    <t>ConnectEDU’s technology solutions empower students by informing their academic and career decisions.</t>
  </si>
  <si>
    <t>CREA</t>
  </si>
  <si>
    <t>http://www.crea.org.mx/</t>
  </si>
  <si>
    <t>Social and demographics;MEX;National | Economics;MEX;National | Business;MEX;National | Finance;MEX;National | Government operations;MEX;National | Education;MEX;National</t>
  </si>
  <si>
    <t>eScholar-LLC</t>
  </si>
  <si>
    <t>http://www.escholar.com</t>
  </si>
  <si>
    <t>eScholar applies research and data to personalize education, helping agencies to more effectively manage and use data to improve quality and effectiveness of educational programs.</t>
  </si>
  <si>
    <t>White Plains</t>
  </si>
  <si>
    <t>Shawn Bay</t>
  </si>
  <si>
    <t>sbay@escholar.com</t>
  </si>
  <si>
    <t>Find My School Kenya</t>
  </si>
  <si>
    <t>http://findmyschool.co.ke/</t>
  </si>
  <si>
    <t>An online platform to help families find a school via proximity, test scores, and name search.</t>
  </si>
  <si>
    <t>project of Code4Kenya</t>
  </si>
  <si>
    <t>Follow The Money</t>
  </si>
  <si>
    <t>http://monitoringbudget.crowdmap.com</t>
  </si>
  <si>
    <t>This project tracks and visualize education funds meant for local communities. The project answers the question of who and where aid is meant for, and how it is working in communities it was meant for</t>
  </si>
  <si>
    <t>NGA</t>
  </si>
  <si>
    <t>government operations; Nigeria; local | government operations; Nigeria; national</t>
  </si>
  <si>
    <t>new: education budget tracker web app - https://monitoringbudget.crowdmap.com/</t>
  </si>
  <si>
    <t>Fondo para la ComunicaciÃ³n y EducaciÃ³n Ambiental (FCEA)</t>
  </si>
  <si>
    <t>http://eambiental.org/site/</t>
  </si>
  <si>
    <t>Science and research;MEX;National | Agriculture;MEX;National | Consumer;MEX;National | Social and demographics;MEX;National | Environment;MEX;National | Education;MEX;National | Energy;MEX;National | Weather;MEX;National</t>
  </si>
  <si>
    <t>FundaciÃ³n MetLife</t>
  </si>
  <si>
    <t>http://www.metlife.com.mx/wps/portal/seguros/Contactanos/FundacionMetLife?Menu=2&amp;tabT=1</t>
  </si>
  <si>
    <t>Social and demographics;MEX;National | Economics;MEX;National</t>
  </si>
  <si>
    <t>Fundalectura</t>
  </si>
  <si>
    <t>http://www.fundalectura.org/?module=nosotros-info</t>
  </si>
  <si>
    <t>Tienen como propósito de hacer de Colombia un país de lectores.</t>
  </si>
  <si>
    <t>Promote literacy in Colombia</t>
  </si>
  <si>
    <t>GreatSchools</t>
  </si>
  <si>
    <t>greatschools.org</t>
  </si>
  <si>
    <t>GreatSchools is the leading independent source of pre K-12 school performance information, with profiles of 200,000 public, public charter, and private schools.</t>
  </si>
  <si>
    <t>Education;USA;National | Education;USA;Regional</t>
  </si>
  <si>
    <t>Alan Simpson</t>
  </si>
  <si>
    <t>asimpson@greatschools.org</t>
  </si>
  <si>
    <t>Guardian - Education</t>
  </si>
  <si>
    <t>http://www.theguardian.com/education/gcse-schools-guide</t>
  </si>
  <si>
    <t>The Open Public Services Network and the Guardian have created a guide that uses government data to help parents find and research local schools in England.
Parents who want to choose a secondary school can use the Guardian Good GCSE Guide to research education in their area. Users can search by postcode to find which schools offer individual subjects, and compare how they have performed in GCSE exam results.
The guide uses publicly available results data from key stage exams and GCSEs, as well as pupil and school characteristics from the national pupil database and Ofsted inspection reports.</t>
  </si>
  <si>
    <t>education; GBR;  national </t>
  </si>
  <si>
    <t>Harness</t>
  </si>
  <si>
    <t>http://www.harnesstouch.com</t>
  </si>
  <si>
    <t>Harness is an education and learning company that builds and commercialises disruptive technology products which enhance teaching experiences.</t>
  </si>
  <si>
    <t>How's My Offer?</t>
  </si>
  <si>
    <t>http://hmo.launchrock.com/</t>
  </si>
  <si>
    <t>How's My Offer allows students to anonymously compare college award offer letters with others, and help other students make better decisions in the future too.</t>
  </si>
  <si>
    <t>Jonathan Marino</t>
  </si>
  <si>
    <t>http://www.mapstory.org</t>
  </si>
  <si>
    <t>With MapStory, we provide a lay-accessible platform for sharing and editing open spatio-temporal data and using it to compose spatial narratives about how places change over time (MapStories). As an open data platform, MapStory helps advance civic participation and public education and makes it easier to use data for a variety of real-world development projects. It operates world-wide and is agnostic as to the subject matter focus of the data.</t>
  </si>
  <si>
    <t>Junyo</t>
  </si>
  <si>
    <t>http://junyo.com</t>
  </si>
  <si>
    <t>Junyo leverages the power of data and analytics to improve learning processes.</t>
  </si>
  <si>
    <t>Peter Mullen</t>
  </si>
  <si>
    <t>phmullen@junyo.com</t>
  </si>
  <si>
    <t>KidAdmit, Inc.</t>
  </si>
  <si>
    <t>www.kidadmit.com</t>
  </si>
  <si>
    <t>KidAdmit is the first preschool admissions solution that directly connects parents and schools through an electronic application.</t>
  </si>
  <si>
    <t>Consumer;USA;Regional</t>
  </si>
  <si>
    <t>KLP</t>
  </si>
  <si>
    <t>https://klp.org.in</t>
  </si>
  <si>
    <t>The Karnataka Learning Partnership is a platform where primary education stakeholders can participate and contribute to the cause of ensuring better schools and education for all children in Karnataka. A network of non-profits work across multiple verticals - education, health, nutrition etc., to bring their data together to present a factual assessment and galvanize community led ownership of the public schooling system to drive change.</t>
  </si>
  <si>
    <t>Moldova Education Reform &amp; GPSA</t>
  </si>
  <si>
    <t>http://www.thegpsa.org/sa</t>
  </si>
  <si>
    <t>- Engagement of students and parents with school authorities to address budget allocation of primary, and secondary schools
- Monitor education services in 100 Moldovan schools
- Public hearings, community cards, independent budget analyses</t>
  </si>
  <si>
    <t>WB group doing research mainly collecting and using WB data</t>
  </si>
  <si>
    <t>Open Data Lab Jakarta (Web Foundation), USAID Kinerja</t>
  </si>
  <si>
    <t>http://labs.webfoundation.org/projects/opendataforeducation/</t>
  </si>
  <si>
    <t>Following the enactment of the Freedom of Information (FoI) Act in 2008, Public Service Delivery Information Offices (PPIDs) were established as a central point for citizens to request information from their government. However, the uptake of FoI is low due to citizens’ poor awareness of FoI. 
 The project supported local CSOs to identify their information needs and to build their capacities for analysing and using provided open government data. At the same time, it also helped Banda Aceh's Department of Education to understand and know the information needs of local CSOs, and capacitated their staff to proactively disclose education data in open formats.</t>
  </si>
  <si>
    <t>Eko Prasetyo</t>
  </si>
  <si>
    <t>eko@jakarta.labs.webfoundation.org</t>
  </si>
  <si>
    <t>The project helped to improve education data provision in Banda Aceh by making CSO-prioritized data available and simultaneously enabling CSOs to access and use these data for their advocacies. For example, one of the involved CSOs used the school funding data to validate their research on the lack of school facilities.</t>
  </si>
  <si>
    <t>Open Universities Australia</t>
  </si>
  <si>
    <t>Institute of Socioeconomic Studies (INESC)</t>
  </si>
  <si>
    <t>http://orcamento.inesc.org.br/2013</t>
  </si>
  <si>
    <t> The INESC operates through two main lines of action: strengthening civil society and the expansion of social participation in public policy decision spaces.</t>
  </si>
  <si>
    <t>Brasilia</t>
  </si>
  <si>
    <t>government operations;BRA; national</t>
  </si>
  <si>
    <t>new: Budget Your Reach: The project aims to visualize Brazil's federal budget in a more friendly way. It is a tool which synthesizes information, updated monthly, about the financial spending of all federal government agencies, enabling the monitoring of the performance of these agencies throughout the year, as well as comparisons between the resources available for each government area.</t>
  </si>
  <si>
    <t>Peterson's</t>
  </si>
  <si>
    <t>www.corporate.petersons.com</t>
  </si>
  <si>
    <t>Peterson's provides an integrated suite of products and services that are designed to assist students and families in the planning and preparation for college/career/military.</t>
  </si>
  <si>
    <t>Paramus</t>
  </si>
  <si>
    <t>Plus-U</t>
  </si>
  <si>
    <t>https://www.unigo.com/from-plusu.aspx</t>
  </si>
  <si>
    <t>Plus-U matches students to colleges based on education, career and financial goals.</t>
  </si>
  <si>
    <t>PossibilityU</t>
  </si>
  <si>
    <t>http://www.possibilityu.com/</t>
  </si>
  <si>
    <t>PossibilityU delivers an online blended college counseling program, designed specifically for high school students and their families, but led by your school's professional counseling staff.</t>
  </si>
  <si>
    <t>ME</t>
  </si>
  <si>
    <t>Ranku</t>
  </si>
  <si>
    <t>http://goranku.com</t>
  </si>
  <si>
    <t>Ranku helps students discover, compare and connect to the best online degrees in the United States.</t>
  </si>
  <si>
    <t>Rezolve Group</t>
  </si>
  <si>
    <t>http://www.rezolvegroup.com</t>
  </si>
  <si>
    <t>The Rezolve Group is a technologies and services company that focuses exclusively on post-secondary student financial aid.</t>
  </si>
  <si>
    <t>Sacramento</t>
  </si>
  <si>
    <t>Shule.Info</t>
  </si>
  <si>
    <t>http://www.shule.info/</t>
  </si>
  <si>
    <t>Schule presents data for national (Form 4) examination results going back to 2004* at candidate, school, subject, regional and national levels. The site is built to support families in making decisions about their children's education.</t>
  </si>
  <si>
    <t>social</t>
  </si>
  <si>
    <t>education; Tanzania; national</t>
  </si>
  <si>
    <t>SimpleTuition</t>
  </si>
  <si>
    <t>http://www.simpletuition.com/</t>
  </si>
  <si>
    <t>The goal of SimpleTuition is to make it easier for students and their families to afford a higher education.</t>
  </si>
  <si>
    <t>TuvaLabs</t>
  </si>
  <si>
    <t>https://www.tuvalabs.com/</t>
  </si>
  <si>
    <t>TuvaLabs enables students to be critical thinkers and persistent problem-solvers, and empowers them to become active members in their own community and global citizens.</t>
  </si>
  <si>
    <t>Harshil Parikh</t>
  </si>
  <si>
    <t>hsparikh@tuvalabs.com</t>
  </si>
  <si>
    <t>U.S. News Schools</t>
  </si>
  <si>
    <t>http://www.usnews.com/</t>
  </si>
  <si>
    <t>US News is a recognized provider of college and graduate school rankings.</t>
  </si>
  <si>
    <t>UAC</t>
  </si>
  <si>
    <t>Unigo LLC</t>
  </si>
  <si>
    <t>www.unigo.com</t>
  </si>
  <si>
    <t>Unigo.com is a resource for prospective college students and parents looking for authentic information about the schools they’re considering.</t>
  </si>
  <si>
    <t>Universities Australia</t>
  </si>
  <si>
    <t>Mejora tu escuela/ improve your school </t>
  </si>
  <si>
    <t>http://www.mejoratuescuela.org/</t>
  </si>
  <si>
    <t>Mejora Tu Escuela is a participation platform to transform education in Mexico</t>
  </si>
  <si>
    <t>contacto@mejoratuescuela.org </t>
  </si>
  <si>
    <t>University of North Carolina Highway Safety Research Center (HSRC)</t>
  </si>
  <si>
    <t>http://www.hsrc.unc.edu</t>
  </si>
  <si>
    <t>University of North Carolina Highway Safety Research Center conducts interdisciplinary research aimed at reducing deaths, injuries and related societal costs of roadway crashes.</t>
  </si>
  <si>
    <t>Chapel Hill</t>
  </si>
  <si>
    <t>University of Michigan TRI</t>
  </si>
  <si>
    <t>http://www.umtri.umich.edu</t>
  </si>
  <si>
    <t>The University of Michigan Transportation Research Institute is dedicated to achieving safe and sustainable transportation for a global society. UMTRI is committed to interdisciplinary research that will ultimately increase driving safety and further transportation systems knowledge.</t>
  </si>
  <si>
    <t>University of Maryland CATT Lab</t>
  </si>
  <si>
    <t>http://www.cattlab.umd.edu/</t>
  </si>
  <si>
    <t>The Center for Advanced Transportation Technology Laboratory at the University of Maryland was established as an academic applied research and development lab to support national, state, and local efforts to solve important transportation, safety, and security problems.  </t>
  </si>
  <si>
    <t>College Park</t>
  </si>
  <si>
    <t>Atlas</t>
  </si>
  <si>
    <t>Other (International Org)</t>
  </si>
  <si>
    <t>https://atlas.oxfamnovib.nl/</t>
  </si>
  <si>
    <t>At Oxfam Novib we are currently working to get our project information, which is collected and stored in SAP to a more user friendly system called Atlas, which is a data navigation/visualization tool.  We are also using this project to convert our project information into the IATI Standard.  So in the future it will be possible to import the data of other affiliates that also use IATI, for example Oxfam Great Britain, into our tool and so get a clear overview of all the projects of the Oxfam confederation.
The main success of the project is that people from the entire internal organization will be able to see and search the project information for themselves in their own time. Before this was not possible as all the data were stored in our ERP system SAP and only the program officers and a few other colleagues had access to the data. Country Offices that up till now could not access SAP directly now have direct access to the data they have put into SAP.</t>
  </si>
  <si>
    <t>Follow the Money</t>
  </si>
  <si>
    <t>http://www.followthemoneyng.org/</t>
  </si>
  <si>
    <t>Follow the Money Nigeria (http://followthemoneyng.org/) is a community action organization that leverages open budget and spending data from the Government of Nigeria and aid partners to advocate for specific issues that impact communities in the Zamfara State.</t>
  </si>
  <si>
    <t>Open Data Lab Jakarta (Web Foundation)</t>
  </si>
  <si>
    <t>http://labs.webfoundation.org/projects/jktopendatainitiative/</t>
  </si>
  <si>
    <t>The goal of the project is to unleash the potential benefits of open government data from the Jakarta city government. In line with the key priorities of the city government, the project provides support in legal policy frameworks such as the Governor Act No 181/2014 and the released Jakarta Open Data Technical Guideline, data assessment, and training to enable personnels lacking the pertinent skills and knowledge to publish data.</t>
  </si>
  <si>
    <t>Through the project, numerous government data from Jakarta are made available in open format, leading to increased transparency and fostering a better trust-oriented relationship between the government and the citizens. With this development, there is also more dialogue and productive exchange between third parties (citizens, CSOs, activists and others) and the government, allowing for better governance. The implementation of open data policies and practices in Jakarta inspired other local governments in Indonesia to adopt similar initiatives.</t>
  </si>
  <si>
    <t>Open Knowledge El Salvador</t>
  </si>
  <si>
    <t>www.datoselsalvador.org</t>
  </si>
  <si>
    <t>DatosElSalvador is the first open data portal in El Salvador, created by civil society for show that the open knowledge is value and necessary if we want more and better opportunities for our society. In a country where government does not open data we did it and now we are happy to join our initiative with many others OSC that join our events and are talking about the experience and value of open data in El Salvador. In Central America we are the only portal built by OSC and at this day we have more than 60 dataset and 250 resources in csv.</t>
  </si>
  <si>
    <t>SLV</t>
  </si>
  <si>
    <t>Iris Palma</t>
  </si>
  <si>
    <t>abriendo@datoselsalvador.org</t>
  </si>
  <si>
    <t>We opened data in a country where the information "travels" in a pdf. We were the first ones that promote and showed the value of open data in our country not just by building the portal but to keeping growing and develop the first open data apps challenge in El Salvador. Our portal and strategy is giving people the chance to create.</t>
  </si>
  <si>
    <t>EDUWEB</t>
  </si>
  <si>
    <t>http://www.eduweb.co.ke/index.php</t>
  </si>
  <si>
    <t>A platform that listed out education institutions in the nearby community</t>
  </si>
  <si>
    <t>Provide parents with better information about schools and education institutions</t>
  </si>
  <si>
    <t>http://www.greatschools.org/</t>
  </si>
  <si>
    <t>Bring parents better information and insights to help them make great decisions — about schools, learning, and helping their children succeed.</t>
  </si>
  <si>
    <t>Parents with better information can choose great schools, encourage learning at home, and inspire their kids. Together, millions of informed and inspired parents can raise expectations and support great schools in their neighborhoods and around the country.</t>
  </si>
  <si>
    <t>Free UK Map for Minecraft</t>
  </si>
  <si>
    <t>https://www.gov.uk/government/case-studies/open-data-free-map-of-great-britain-for-minecraft-game</t>
  </si>
  <si>
    <t>The UK national mapping authority Ordnance Survey has used free OS Open Data products to build a virtual version of Great Britain for the popular ‘open world’ building game Minecraft.
The new world, which is made up of more than 22 billion blocks and represents more than 224,000 square kilometres of Great Britain, is now available to download by any of Minecraft’s 33 million active users with a licence.</t>
  </si>
  <si>
    <t>Ana Pereira Roders</t>
  </si>
  <si>
    <t>http://protectedurbanplanet.net/</t>
  </si>
  <si>
    <t>Protected Urban Planet aims to keep a close watch on protected urban areas worldwide. By gathering data on their significance and condition over time, one can inform decision influencing their protection and ensure development is sustainable</t>
  </si>
  <si>
    <t>Gathering Data on Urban areas - doesn't seem to have an org</t>
  </si>
  <si>
    <t>http://protectedurbanplanet.net/about</t>
  </si>
  <si>
    <t>BudgIT</t>
  </si>
  <si>
    <t>http://www.yourbudgit.com/</t>
  </si>
  <si>
    <t>BudgIT is a creative start-up seeking to retell the Nigerian budget and public data in a finer detail. BudgIT aims to stimulate citizen interests around public data and trigger discussions towards better governance.</t>
  </si>
  <si>
    <t>Lagos</t>
  </si>
  <si>
    <t>advocacy</t>
  </si>
  <si>
    <t>Floussna.ma</t>
  </si>
  <si>
    <t>http://www.floussna.ma/</t>
  </si>
  <si>
    <t>Visualizing open budget data seeking better public participation</t>
  </si>
  <si>
    <t>MAR</t>
  </si>
  <si>
    <t>no site for org/project (just uni site)</t>
  </si>
  <si>
    <t>Open Street Map</t>
  </si>
  <si>
    <t>http://www.openstreetmap.org/</t>
  </si>
  <si>
    <t>Open Street Map is an initiative to create and provide free geographic data, such as street maps, to anyone. The OpenStreetMap Foundation is an international not-for-profit organization dedicated to encouraging the growth, development and distribution of free geospatial data and to providing geospatial data for anyone to use and share.</t>
  </si>
  <si>
    <t>Practical Answers</t>
  </si>
  <si>
    <t>http://www.practicalanswers.org</t>
  </si>
  <si>
    <t>Makes knowledge about appropriate technologies freely available through a series of webistes. All with creative commons licence. Website has existed for 20 years. Collectively the webistes service 2 million downloads per year - with the majority being the spanish sites. Not yet well connected with linked open data or apis - but we hope this is forthcoming in July 2014. In the meantime it does have standard RSS feeds</t>
  </si>
  <si>
    <t>Budget Badger</t>
  </si>
  <si>
    <t>http://www.budgetbadger.ph/</t>
  </si>
  <si>
    <t>The application allows for the creative presentation of the Philippines national budget as well as tracking where different projects are located.</t>
  </si>
  <si>
    <t>link no longer works</t>
  </si>
  <si>
    <t>Expert Grup</t>
  </si>
  <si>
    <t>http://www.expert-grup.org/ro/</t>
  </si>
  <si>
    <t>Expert-Grup is a non-profit organization specializing in economic research and policy.  As an independent organization, Expert-Grup is a reflection of the ideals shared by young intellectuals from Moldova aiming to contribute to Moldova's development. </t>
  </si>
  <si>
    <t>Chisinau</t>
  </si>
  <si>
    <t>Research and consulting</t>
  </si>
  <si>
    <t>new: e.g. A series of visualizations using available budget data in Moldova http://www.budgetstories.md/ | research | advocacy</t>
  </si>
  <si>
    <t>REGIONAL SUPPORTER. SHOULD ASK THEM TO FILL OUT SURVEY</t>
  </si>
  <si>
    <t>Illustreets</t>
  </si>
  <si>
    <t>http://illustreets.co.uk/</t>
  </si>
  <si>
    <t>The free Illustreets web app uses open data to build a dynamic, colourful visualisation of any neighbourhood in England- including average property prices and rents, schools, public transport, census data and crime rates.
The web app is particularly useful for users who want to buy or rent a home. They can search using any address, postcode or place name in England.
It is based almost entirely on open data and sources include Ordnance Survey, the Department for Education, Ofsted, Office for National Statistics, Police.uk and the Environment Agency.</t>
  </si>
  <si>
    <t>Open Nepal Apps</t>
  </si>
  <si>
    <t>http://data.opennepal.net/apps</t>
  </si>
  <si>
    <t>A number of civic applications built using data from Nepal.</t>
  </si>
  <si>
    <t>most of the apps do not seem to be active (no working URLs). the one that does doesn' list govt data as a source</t>
  </si>
  <si>
    <t>SHUJAN (Shushashoner Janya Nagorik, or Citizens for Good Governance)</t>
  </si>
  <si>
    <t>http://www.votebd.org/</t>
  </si>
  <si>
    <t>VoteBD is a web-based platform that tracks, compiles, and disseminates information about politicians and electoral candidates in Bangladesh. The website was the first in Bangladesh to make voter registration records accessible to citizens, so they could check the presence or absence of their names and any errors in the listing.</t>
  </si>
  <si>
    <t>BGD</t>
  </si>
  <si>
    <t>Muzaffar Ahmed, Badiul Alam Majumdar</t>
  </si>
  <si>
    <t>VoteBD enabled citizens to take necessary steps to ensure that their names and correct details were entered in the list, thereby making them eligible to cast their vote in the various elections.</t>
  </si>
  <si>
    <t>Association for Democratic Reforms</t>
  </si>
  <si>
    <t>http://myneta.info/</t>
  </si>
  <si>
    <t>ADR undertook a country-wide SMS and helpline campaign during Lok Sabha (lower house of the national parliament) elections in 2009. It also built an easy-to-use website, MyNeta.info, through which information on election candidates, based on self-declared affidavits, is readily made available.</t>
  </si>
  <si>
    <t>To allow citizens to make informed decision while choosing candidates, and allow citizens to monitor the election process</t>
  </si>
  <si>
    <t>Golos</t>
  </si>
  <si>
    <t>http://golos.org</t>
  </si>
  <si>
    <t>Golos is an independent election observer in Russia that offers several online tools for better election monitoring: the Transparent Elections Hotline [RU], which allows users to submit reports of electoral irregularities online and by phone, and the Fact Bank [RU], which serves as an online database of over 200 court decisions and proven electoral fraud facts, including audio and video evidence used in the court cases.</t>
  </si>
  <si>
    <t>Both projects intend to help keep track of elections abuses in Russia and hope to make it harder for more abuses to occur. This type of data can be particularly helpful considering that the Duma (Parliament) election of 1999 and the presidential election of 2000 were the last elections recognized by the Organization for Security and Co-operation in Europe (OSCE) (PDF) as “consistent with internationally recognized democratic principles.”</t>
  </si>
  <si>
    <t>Wattzon</t>
  </si>
  <si>
    <t>http://www.wattzon.com/</t>
  </si>
  <si>
    <t>EnergyCenter’s easy-to-use tools will quickly help your customers understand their energy use and offer personalized tips for trimming energy waste in their homes.</t>
  </si>
  <si>
    <t>Energy</t>
  </si>
  <si>
    <t>E-Transactions Ghana Ltd</t>
  </si>
  <si>
    <t>http://www.e-transactions.org/index.php</t>
  </si>
  <si>
    <t>e- Transactions is a unique technology provider, with an extensive experience as a electronic payment processor. We also have capacity to better understand customer requirements and emerging market trends.</t>
  </si>
  <si>
    <t>Wood Mackenzie</t>
  </si>
  <si>
    <t>http://www.woodmac.com/public/home</t>
  </si>
  <si>
    <t>Wood Mackenzie is a global leader in commercial intelligence for the energy, metals and mining industries.They provide objective analysis and advice on assets, companies and markets, giving clients the insight they need to make better strategic decisions.</t>
  </si>
  <si>
    <t>AGL Energy</t>
  </si>
  <si>
    <t>For Profit </t>
  </si>
  <si>
    <t>http://www.agl.com.au/about-agl </t>
  </si>
  <si>
    <t>AGL sells and markets natural gas, electricity and energy related products and services to more than 3.8 million residential and small business customer accounts across New South Wales, Victoria, South Australia and Queensland. AGL also invests in and operates natural gas exploration, development and production tenements, and operates natural gas storage facilities.</t>
  </si>
  <si>
    <t>Alinta Gas</t>
  </si>
  <si>
    <t>https://alintaenergy.com.au/home</t>
  </si>
  <si>
    <t>Alinta Energy supplies natural gas and electricity to 800,000 homes and businesses throughout Australia.</t>
  </si>
  <si>
    <t>No information on open data</t>
  </si>
  <si>
    <t>https://alintaenergy.com.au/misc/search?q=open+data</t>
  </si>
  <si>
    <t>Aquicore</t>
  </si>
  <si>
    <t>http://www.aquicore.com/</t>
  </si>
  <si>
    <t>Aquicore is an Energy Intelligence Solution, combining software and next-generation metering technology to cost-effectively monitor and analyze real-time energy data across commercial real estate properties.</t>
  </si>
  <si>
    <t>Energy;USA;national</t>
  </si>
  <si>
    <t>Australian Gas Light Co</t>
  </si>
  <si>
    <t>AGL is one of Australia's leading integrated energy companies and largest ASX listed owner, operator and developer of renewable energy generation in the country.</t>
  </si>
  <si>
    <t>AutoGrid Systems</t>
  </si>
  <si>
    <t>http://www.auto-grid.com</t>
  </si>
  <si>
    <t>AutoGrid Systems is organizing the world's energy data by bringing cloud-computing to process and analyze data produced from an increasingly networked and automated grid.</t>
  </si>
  <si>
    <t>Redwood Shores</t>
  </si>
  <si>
    <t>Carbon Culture</t>
  </si>
  <si>
    <t>https://platform.carbonculture.net/landing/</t>
  </si>
  <si>
    <t>Carbon Culture is a community platform designed to help people use resources more efficiently. The company uses high-tech metering to monitor carbon use in the workplace and help clients save money.
Organisations such as 10 Downing Street, Tate, Cardiff Council, the GLA and the UK Parliament are using the company’s digital tools to monitor and improve their energy consumption. CarbonCulture has also helped the Department of Energy and Climate Change reduce its gas use by 10 per cent.</t>
  </si>
  <si>
    <t>ODI company
Climate Change, Public Private Partnerships</t>
  </si>
  <si>
    <t>Clean-Power-Finance</t>
  </si>
  <si>
    <t>http://www.cleanpowerfinance.com</t>
  </si>
  <si>
    <t>Clean Power Finance is an unbranded platform that connects the residential solar industry with capital markets.</t>
  </si>
  <si>
    <t>Energy;USA;National | Science and research;USA;National</t>
  </si>
  <si>
    <t>Alison Mickey</t>
  </si>
  <si>
    <t>amickey@cleanpowerfinance.com</t>
  </si>
  <si>
    <t>Country Energy</t>
  </si>
  <si>
    <t>http://www.originenergy.com.au/</t>
  </si>
  <si>
    <t>Country Energy, an Australian energy retail subsidiary of Origin Energy, provides natural gas and electricity to retail customers in New South Wales, Victoria, Queensland, South Australia and the Australian Capital Territory</t>
  </si>
  <si>
    <t>Delta Electricity</t>
  </si>
  <si>
    <t>http://www.de.com.au/</t>
  </si>
  <si>
    <t>Delta Electricity is a leading electricity generator in the National Electricity Market. They produce electricity from coal, water and biomass. Formed in 1996, our generators produce around 4 per cent of the electricity needed by consumers in the National Electricity Market, comprising all states and territories except WA and NT. Delta Electricity participates in the National Electricity Market trading output from the power stations on the Central Coast. </t>
  </si>
  <si>
    <t>Energex</t>
  </si>
  <si>
    <t>https://www.energex.com.au/</t>
  </si>
  <si>
    <t>Energex manages sophisticated energy distribution networks and delivers world-class energy products, services and expertise to one of Australia's fastest growing communities.</t>
  </si>
  <si>
    <t>Energy-Points-Inc</t>
  </si>
  <si>
    <t>http://energypoints.com/</t>
  </si>
  <si>
    <t>Energy Points uses a unifying metric, big data and comprehensive analytics to manage enterprise energy resources, such as electricity, fuels, water, and materials.</t>
  </si>
  <si>
    <t>Seth Sheldon</t>
  </si>
  <si>
    <t>ssheldon@energypoints.com</t>
  </si>
  <si>
    <t>Energy-Solutions-Forum</t>
  </si>
  <si>
    <t>http://www.energysolforum.com</t>
  </si>
  <si>
    <t>Energy Solutions Forum provides the energy industry with U.S. energy and environmental policy information to support growth of domestic energy markets.</t>
  </si>
  <si>
    <t>Finance;USA;National | Economics;USA;National</t>
  </si>
  <si>
    <t>Vincenzo Giordano</t>
  </si>
  <si>
    <t>vg@energysolforum.com</t>
  </si>
  <si>
    <t>EnergyAustralia</t>
  </si>
  <si>
    <t>http://www.energyaustralia.com.au/</t>
  </si>
  <si>
    <t>EnergyAustralia provides Electricity &amp; Gas services to homes &amp; businesses in Australia.</t>
  </si>
  <si>
    <t>Enervee-Corporation</t>
  </si>
  <si>
    <t>http://enervee.com</t>
  </si>
  <si>
    <t>Enervee is an energy efficiency data and marketing platform, enabling consumers, businesses and governments to purchase the most energy efficient products.</t>
  </si>
  <si>
    <t>Santa Monica</t>
  </si>
  <si>
    <t>Environment;USA;National | Government operations;USA;National</t>
  </si>
  <si>
    <t>Alex Katzman</t>
  </si>
  <si>
    <t>alex@enervee.com</t>
  </si>
  <si>
    <t>Ensco</t>
  </si>
  <si>
    <t>http://www.enscoplc.com/Home/default.aspx</t>
  </si>
  <si>
    <t>Ensco is a global provider of offshore drilling services to the petroleum industry.</t>
  </si>
  <si>
    <t>EnviroMission</t>
  </si>
  <si>
    <t>http://www.enviromission.com.au/EVM/content/home.html</t>
  </si>
  <si>
    <t>EnviroMission Limited is developing Solar Tower renewable energy technology on a global scale. </t>
  </si>
  <si>
    <t>Eraring Energy</t>
  </si>
  <si>
    <t>Eraring Energy is an electricity generation company in Australia that is owned by the Government of New South Wales, and has a portfolio of generating sites using thermal coal, wind, and hydroelectric power.</t>
  </si>
  <si>
    <t>Ergon Energy</t>
  </si>
  <si>
    <t>https://www.ergon.com.au/</t>
  </si>
  <si>
    <t>Ergon Energy is an electricity retailer to homes and businesses in regional Queensland. We also maintain and manage the regional Queensland electricity network. Find out more about our organisation.</t>
  </si>
  <si>
    <t>First Fuel Software</t>
  </si>
  <si>
    <t>http://firstfuel.com</t>
  </si>
  <si>
    <t>FirstFuel Software is a commercial energy analytics company that helps utilities and government agencies deliver scalable energy efficiency across their commercial building portfolios.</t>
  </si>
  <si>
    <t>Lexington</t>
  </si>
  <si>
    <t>Geospatial/mapping;USA;National | Weather;USA;National</t>
  </si>
  <si>
    <t>Fundacion Invictus</t>
  </si>
  <si>
    <t>www.fundacioninvictus.org</t>
  </si>
  <si>
    <t>Invictus Foundation is a project aimed at providing transparency Invictus.mx information on residential electricity consumption in Mexico.</t>
  </si>
  <si>
    <t>Social and demographics;MEX;National | Geospatial/mapping;MEX;National | Environment;MEX;National | Housing;MEX;National | Energy;MEX;National | Consumer;MEX;National | Weather;MEX;National</t>
  </si>
  <si>
    <t>Genability</t>
  </si>
  <si>
    <t>http://genability.com</t>
  </si>
  <si>
    <t>Genability helps New Energy companies build energy intelligence into how their products work and are sold.</t>
  </si>
  <si>
    <t>Eric Danziger</t>
  </si>
  <si>
    <t>edanziger@genability.com</t>
  </si>
  <si>
    <t>Lucid</t>
  </si>
  <si>
    <t>http://www.luciddesigngroup.com</t>
  </si>
  <si>
    <t>Lucid's BuildingOS integrates data from systems, meters, and devices in commercial buildings into a single platform with intuitive energy management tools that everybody can use.</t>
  </si>
  <si>
    <t>Oakland</t>
  </si>
  <si>
    <t>Weather;USA;National | Environment;USA;National | Energy;USA;National</t>
  </si>
  <si>
    <t>Michael Murray</t>
  </si>
  <si>
    <t>michael@luciddg.com</t>
  </si>
  <si>
    <t>Marcos y Asociados</t>
  </si>
  <si>
    <t>http://www.marcos.com.mx/</t>
  </si>
  <si>
    <t>Marcos y Asociados is the only financial and business development consultant specializing in the Mexican infraestructure and energy industry. Founded in 1995, the firm has acted as financial advisor in transactions totaling more than two billion dollars , and its business development practice in the oil and gas service industry has resulted in contracts worth over 1500 million US dollars.</t>
  </si>
  <si>
    <t>Social and demographics;MEX;National | Economics;MEX;National | Business;MEX;National | Finance;MEX;National | Manufacturing;MEX;National | Government operations;MEX;National | Legal;MEX;National | Energy;MEX;National | International/global development;MEX;National</t>
  </si>
  <si>
    <t>Next Step Living</t>
  </si>
  <si>
    <t>http://www.nextstepliving.com</t>
  </si>
  <si>
    <t>Next Step Living helps make homes more energy-efficient to lower utility bills, increase comfort, and shrink their carbon footprint.</t>
  </si>
  <si>
    <t>Consumer;USA;National | Consumer;USA;Regional</t>
  </si>
  <si>
    <t>Noesis</t>
  </si>
  <si>
    <t>https://www.noesisenergy.com/site/</t>
  </si>
  <si>
    <t>Noesis is a web-based platform for energy efficiency projects, used by commercial and industrial energy professionals to unlock billions in energy savings.</t>
  </si>
  <si>
    <t>Origin Energy</t>
  </si>
  <si>
    <t>PEV4mecom</t>
  </si>
  <si>
    <t>http://www.pev4me.com</t>
  </si>
  <si>
    <t>PEV4me.com helps plug-in electric vehicle (PEV) owners by providing information and applications to help educate consumers on PEVs and other renewable energy products.</t>
  </si>
  <si>
    <t>John Hwang</t>
  </si>
  <si>
    <t>admin@pev4me.com</t>
  </si>
  <si>
    <t>PlanetEcosystems</t>
  </si>
  <si>
    <t>http://planetecosystems.com</t>
  </si>
  <si>
    <t>Through the P-ECOSYS technology platform, PlanetEcosystems helps utility service providers develop deep and engaging relationships with their customers by delivering increased value from their services.</t>
  </si>
  <si>
    <t>Weather;USA;National</t>
  </si>
  <si>
    <t>PlotWatt</t>
  </si>
  <si>
    <t>https://plotwatt.com</t>
  </si>
  <si>
    <t>PlotWatt shows people how to reduce their electricity bills by analyzing smart meter data to identify sources of energy waste</t>
  </si>
  <si>
    <t>Durham</t>
  </si>
  <si>
    <t>PowerAdvocate</t>
  </si>
  <si>
    <t>http://www.poweradvocate.com/index.html</t>
  </si>
  <si>
    <t>PowerAdvocate provides market and cost intelligence to energy companies to optimize financial results, combining information, innovative technology, and expert services to produce market intelligence.</t>
  </si>
  <si>
    <t>Qado-Energy-Inc</t>
  </si>
  <si>
    <t>www.qadoenergy.com</t>
  </si>
  <si>
    <t>Qado Energy provides advanced distribution grid analytics software that enables utilities to evolve and optimize their distribution grids.</t>
  </si>
  <si>
    <t>Summit</t>
  </si>
  <si>
    <t>Weather;USA;National | Environment;USA;National</t>
  </si>
  <si>
    <t>Brian Fitzsimons</t>
  </si>
  <si>
    <t>brian.fitzsimons@qadoenergy.com</t>
  </si>
  <si>
    <t>Recargo</t>
  </si>
  <si>
    <t>http://www.recargo.com</t>
  </si>
  <si>
    <t>Recargo is a software and services company that provides guidance to drivers and industry to support the adoption and growth of plug-in car technology.</t>
  </si>
  <si>
    <t>Venice</t>
  </si>
  <si>
    <t>Retroficiency</t>
  </si>
  <si>
    <t>http://www.retroficiency.com</t>
  </si>
  <si>
    <t>Retroficiency enables utilities and large energy service providers to drive deeper building energy efficiency savings in less time.</t>
  </si>
  <si>
    <t>Simple-Energy</t>
  </si>
  <si>
    <t>http://simpleenergy.com</t>
  </si>
  <si>
    <t>Simple Energy leverages energy data analytics, individualized messaging, and leading behavioral science to motivate customers to take the actions their utilities value most.</t>
  </si>
  <si>
    <t>Boulder</t>
  </si>
  <si>
    <t>Adam Block</t>
  </si>
  <si>
    <t>adam@simpleenergy.com</t>
  </si>
  <si>
    <t>Smart Utility Systems</t>
  </si>
  <si>
    <t>http://smartusys.com/</t>
  </si>
  <si>
    <t>Smart Utility Systems focusses on products, solutions and services that accelerate return on smart grid investments for the energy and utility sector.</t>
  </si>
  <si>
    <t>Chino Hills</t>
  </si>
  <si>
    <t>Snowy Hydro</t>
  </si>
  <si>
    <t>Solar Census</t>
  </si>
  <si>
    <t>http://www.solarcensus.com</t>
  </si>
  <si>
    <t>Solar Census is software company that is building the first commercial-grade online shade tool for the solar industry.</t>
  </si>
  <si>
    <t>Sebastopol</t>
  </si>
  <si>
    <t>SolarList</t>
  </si>
  <si>
    <t>solarlist.com</t>
  </si>
  <si>
    <t>SolarList helps people go solar.</t>
  </si>
  <si>
    <t>Brooklyn</t>
  </si>
  <si>
    <t>Michael Conti</t>
  </si>
  <si>
    <t>michael@solarlist.com</t>
  </si>
  <si>
    <t>Stanwell Corporation</t>
  </si>
  <si>
    <t>http://www.stanwell.com/</t>
  </si>
  <si>
    <t>Sydney Water</t>
  </si>
  <si>
    <t>http://www.sydneywater.com.au/swe/index.htm</t>
  </si>
  <si>
    <t>Sydney Water or formally, Sydney Water Corporation, is a New South Wales Government–owned statutory corporation that provides potable drinking water, wastewater and some stormwater services to Greater Metropolitan Sydney, the Illawarra and the Blue Mountains regions, in the Australian state of New South Wales.</t>
  </si>
  <si>
    <t>Water and sanitation</t>
  </si>
  <si>
    <t>Tendril</t>
  </si>
  <si>
    <t>http://www.tendrilinc.com/</t>
  </si>
  <si>
    <t>Tendril enables utilities companies to drive customer engagement via a rich and tailored experience for the home energy consumer.</t>
  </si>
  <si>
    <t>The-Schork-Report</t>
  </si>
  <si>
    <t>schorkreport.com</t>
  </si>
  <si>
    <t>The Schork Report is a daily subscription research note providing comprehensive technical and fundamental daily views of the energy cash and financial markets.</t>
  </si>
  <si>
    <t>Villanova</t>
  </si>
  <si>
    <t>Weather;USA;National | Energy;USA;National</t>
  </si>
  <si>
    <t>Dawn Winter</t>
  </si>
  <si>
    <t>dwinter@schorkreport.com</t>
  </si>
  <si>
    <t>US Green Data</t>
  </si>
  <si>
    <t>http://www.usgreendata.com/</t>
  </si>
  <si>
    <t>U.S. Green Data develops products that catalyze investment in energy development and efficiency, building innovative tools that improve how the world understands energy information.</t>
  </si>
  <si>
    <t>Demographics and social;USA;National | Energy;USA;National</t>
  </si>
  <si>
    <t>WattzOn</t>
  </si>
  <si>
    <t>WattzOn is a personal energy management platform that helps people save money, save energy and go green, combining propriety data and analytics and scientific research.</t>
  </si>
  <si>
    <t>Environment;USA;National | Energy;USA;National</t>
  </si>
  <si>
    <t>Xatori</t>
  </si>
  <si>
    <t>http://www.xatori.com/</t>
  </si>
  <si>
    <t>Xatori is a technology company focused on building innovative software for connected cars and an enlightened electricity grid.</t>
  </si>
  <si>
    <t>Out of office</t>
  </si>
  <si>
    <t>http://www.oof-app.com</t>
  </si>
  <si>
    <t>3Tier (Europe)</t>
  </si>
  <si>
    <t>http://www.3tier.com/en/europe/</t>
  </si>
  <si>
    <t>3TIER is a global environmental and industrial measurement company providing weather-driven renewable energy risk assessment and forecasting for wind, solar, and hydro power projects.</t>
  </si>
  <si>
    <t>Environment</t>
  </si>
  <si>
    <t>Gwen Bender (Product Manager), </t>
  </si>
  <si>
    <t>1 206 325 1573</t>
  </si>
  <si>
    <t>* Using Weather Data on Winds to drive their platform
Publishes free global map resources (though for-profit companies require permission for re-use)</t>
  </si>
  <si>
    <t>CoolClimate</t>
  </si>
  <si>
    <t>http://coolclimate.berkeley.edu</t>
  </si>
  <si>
    <t>CoolClimate provides a complete, highest-resolution, peer-reviewed model of carbon footprints associated with transportation, foods, goods and services for households, businesses, organizations and cities.</t>
  </si>
  <si>
    <t>Chris Jones</t>
  </si>
  <si>
    <t>cmjones@berkeley.edu</t>
  </si>
  <si>
    <t>Coperable</t>
  </si>
  <si>
    <t>http://coperable.org/</t>
  </si>
  <si>
    <t>Coperable is a collaborative space to promote participation for community purposes, providing local meeting. We seek to create tools to assist the organizers and actors of change to spread their initiatives, understand the common problems and connect with participants.
In an open, simple and affordable place to organizers and participants can post and view information about social, cultural and environmental activities taking place in their neighborhood, community or city. The map allows diffuse and connect, groups and projects through their activities, showing the dynamism and activity of each micro-region.
</t>
  </si>
  <si>
    <t>Environmental Data Resources</t>
  </si>
  <si>
    <t>http://www.edrnet.com</t>
  </si>
  <si>
    <t>Environmental Data provides customers with the solutions they need to assess, understand and manage environmental risk.</t>
  </si>
  <si>
    <t>Milford</t>
  </si>
  <si>
    <t>Environment;USA;National | Regional;USA;National</t>
  </si>
  <si>
    <t>http://www.espanaenllamas.es</t>
  </si>
  <si>
    <t>A map that shows all the forest fires (&gt;100 hectares) recorded in Spain between 2001 and 2012, along with a series of journalistic investigations about how cases against arsonists are being judged in Court, the limited budget devoted to wildfire suppression and the lack of public data.</t>
  </si>
  <si>
    <t>Marcos García Rey, Juan Elosua, Hugo Garrido</t>
  </si>
  <si>
    <t>1) After a long FoI struggle, the Ministry of Agriculture opened its wild forests database to public use in 2013. 
 2) One region (Castilla y León) has started publishing their forest fire data as open data 
 3) After the investigations was published, the Attorney's Office committed to improve the data collection process for sentences against arsonists.</t>
  </si>
  <si>
    <t>Greenpeace</t>
  </si>
  <si>
    <t>https://energydesk.cartodb.com/?utm_source=Footer_Link&amp;utm_medium=referral&amp;utm_campaign=Embed_v1&amp;utm_content=energydesk</t>
  </si>
  <si>
    <t>The Energydesk created a couple of visualizations and analyses to illustrate that UK national parks, protected water zones are licensed for fracking exploration</t>
  </si>
  <si>
    <t>Damian Kahya</t>
  </si>
  <si>
    <t>energydesk.uk@greenpeace.org</t>
  </si>
  <si>
    <t>Inform citizens about fracking in the UK</t>
  </si>
  <si>
    <t>iRecycle</t>
  </si>
  <si>
    <t>http://earth911.com/irecycle/</t>
  </si>
  <si>
    <t>iRecycle provides access to more than 1.5 million ways to recycle plus the latest in green news and ideas to match individuals' lifestyle.</t>
  </si>
  <si>
    <t>Scotsdale</t>
  </si>
  <si>
    <t>Geospatial/mapping;USA;National | Demographics and social;USA;National</t>
  </si>
  <si>
    <t>New York Times</t>
  </si>
  <si>
    <t>http://www.nytimes.com/interactive/2014/11/23/us/north-dakota-spill-database.html?_r=0</t>
  </si>
  <si>
    <t>This database is based on incident reports from the North Dakota Health Department’s spills website. It includes incidents at oil production sites as well as what the state calls “general incidents” that occurred during the transportation of oil.</t>
  </si>
  <si>
    <t>Inform citizens about oil spill incidents and which company is responsible for the environmental damage</t>
  </si>
  <si>
    <t>Paastot.fi</t>
  </si>
  <si>
    <t>Paastot.fi covers all the EU countries, Iceland, Norway, Serbia and Switzerland. The service can view Europe's biggest polluters on an interactive map interface. The service can create a general idea of what kind of emission sources in the surrounding area have, and to compare different countries' environmental space. The service helps to relate the emission orders of magnitude. The user can compare, for example, the Talvivaara mine and coal-fired central Helsinki various pollutants emission levels.</t>
  </si>
  <si>
    <t>FIN</t>
  </si>
  <si>
    <t>Petya Partanen, Communications Company Tarinatakomo</t>
  </si>
  <si>
    <t>Inform citizens about carbon dioxide, heavy metal and phosphorus emissions in all the EU countries</t>
  </si>
  <si>
    <t>Skymet Weather Services</t>
  </si>
  <si>
    <t>http://www.skymet.net/</t>
  </si>
  <si>
    <t>Skymet is India's largest weather monitoring and Agri-risk solutions company. We are the experts in measuring, predicting and limiting climate risk to agriculture. It is beyond doubt that the climate is changing and it is amply clear that we humans have changed it.</t>
  </si>
  <si>
    <t>Walk-Score</t>
  </si>
  <si>
    <t>www.walkscore.com</t>
  </si>
  <si>
    <t>Walk Score's mission is to promote walkable neighborhoods - one of the simplest and best solutions for the environment, our health, and our economy.</t>
  </si>
  <si>
    <t>Demographics and social;USA;National | Geospatial/mapping;USA;National | null;USA;Regional</t>
  </si>
  <si>
    <t>Aleisha Jacobson</t>
  </si>
  <si>
    <t>aleisha@walkscore.com</t>
  </si>
  <si>
    <t>Sunrun</t>
  </si>
  <si>
    <t>www.sunrun.com</t>
  </si>
  <si>
    <t>Sunrun allows homeowners to pay for the power. Sunrun maintains and monitors the system while homeowners pay for the electricity it produces at a low, locked-in rate–saving them money over time.</t>
  </si>
  <si>
    <t>Energy; USA; National | Environment; USA; National</t>
  </si>
  <si>
    <t>DOE
</t>
  </si>
  <si>
    <t>Is there sewage in the Chicago River? </t>
  </si>
  <si>
    <t>http://istheresewageinthechicagoriver.com/</t>
  </si>
  <si>
    <t>An Open City App, the website tracks when raw sewage is being dumped in the Chicago River by using open city data from the Metropolitan Water Reclamation District. </t>
  </si>
  <si>
    <t>Environment </t>
  </si>
  <si>
    <t>Centro de Estudios Jura­dicos y Ambientales (CEJA)</t>
  </si>
  <si>
    <t>http://www.ceja.org.mx/</t>
  </si>
  <si>
    <t>CEJA's mission is to contribute to the creation of a better informed society about the importance of implementing successful environmental management, which will allow us to advance economic and social development in a sustainable manner, promoting the balanced use of natural resources and the environment in general.</t>
  </si>
  <si>
    <t>Social and demographics;MEX;National | Geospatial/mapping;MEX;National | Environment;MEX;National | Science and research;MEX;National</t>
  </si>
  <si>
    <t>Tim Gregory (President, UK), Steve Thorn (Senior Vice President, UK Public Sector) </t>
  </si>
  <si>
    <t>@CGI_UKNEWS, http://www.cgi-group.co.uk/contact-us/uk</t>
  </si>
  <si>
    <t>* IT Service for a Wide Range of Clients</t>
  </si>
  <si>
    <t>Earth Networks</t>
  </si>
  <si>
    <t>www.earthnetworks.com</t>
  </si>
  <si>
    <t>Earth Networks gathers and analyzes atmospheric observations using the world’s largest weather observation and lightning detection networks.</t>
  </si>
  <si>
    <t>Germantown</t>
  </si>
  <si>
    <t>Institute of Public and Environmental Affairs (IPE)</t>
  </si>
  <si>
    <t>http://www.weibo.com/u/5042247906?nick=%25E6%25B1%25A1%25E6%259F%2593%25E5%259C%25B0%25E5%259B%25BE
 http://www.ipe.org.cn/pollution/index.aspx</t>
  </si>
  <si>
    <t>China pollution map aggregates governmental data and crowdsource to monitor corporate environmental performance, pinpoint geographical locations of pollution sources and to act as an informational platform on regional pollution status, such as water and air quality, and pollutant discharge rankings.</t>
  </si>
  <si>
    <t>CHN</t>
  </si>
  <si>
    <t>MA Jun</t>
  </si>
  <si>
    <t>Holding factories and corporations who emit pollutants accountable</t>
  </si>
  <si>
    <t>Shanghai QingYue</t>
  </si>
  <si>
    <t>www.epmap.org</t>
  </si>
  <si>
    <t>EP maps is an online platform that aggregates government environmental data with crowd-sourced data monitoring to reconcile what's happening across the country. It allows users to make better life decisions based on the water, air, and land quality of the area around them. And empowers them to collectively work towards positive change.</t>
  </si>
  <si>
    <t>LIU Chunlei</t>
  </si>
  <si>
    <t>xianglongit@163.com</t>
  </si>
  <si>
    <t>Inform citizen to make better life decision, exert pressure on government for cleaning up the environment</t>
  </si>
  <si>
    <t>Shanghai QingYue and Open Data China</t>
  </si>
  <si>
    <t>http://air.epmap.org/ (Air Pollution);
 http://wat.epmap.org/ (Water Pollution)</t>
  </si>
  <si>
    <t>Open Environmental Data Initiative is an ongoing project aiming to liberate water, air and silo data from government. Even though the government already released many data in public channel but they are often not in usable format and requires certain level of tech skill to get the data which NGOs and Journalists often do not have. The project currently release air quality data from all available stations across the country and surface water quality data scraped from gov website as open data (but no license yet)</t>
  </si>
  <si>
    <t>help non-tech group such as NGOs, academics and journalists to access and use environmental data to study, promote and potentially solve environmental problem in China</t>
  </si>
  <si>
    <t>Transparent World</t>
  </si>
  <si>
    <t>http://www.transparentworld.ru</t>
  </si>
  <si>
    <t>The partnership is aimed at expanding and improving access to space-based information on the state of the Earth and to promote its use for management decisions. Ongoing projects involve the use of Earth observation in nature conservation, education, tourism and local history, scientific and applied research. The mission of NGO "Transparent World" is the information support of environmental organizations using GIS technology, satellite images and the internet.</t>
  </si>
  <si>
    <t>Transparency International EU Office</t>
  </si>
  <si>
    <t>www.integritywatch.eu</t>
  </si>
  <si>
    <t>EU Integrity Watch is a user-friendly interactive database that provides
  a unique overview of the activities of members of the European 
 Parliament. By simply clicking on the graphs or the list below users can
  rank, sort and filter MEPs. Thereby the database allows to better 
 monitor potential conflicts of interests or to identify those MEPs with 
 more outside activities with the help of the External Activity Indicator
  (EAI).</t>
  </si>
  <si>
    <t>Brussels</t>
  </si>
  <si>
    <t>Daniel Freund</t>
  </si>
  <si>
    <t>dfreund@transparency.org</t>
  </si>
  <si>
    <t>Information of outside activities and incomes of members of the European Parliament become visible and overall analysis is possible. This provides a unique overview of the information and allows to discern certain trends, such as particularly high incomes in certain countries, political groups, committees...</t>
  </si>
  <si>
    <t>PWYP INDONESIA + SEATTI/HIVOS</t>
  </si>
  <si>
    <t>pwyp-indonesia.org</t>
  </si>
  <si>
    <t>Goals: 1) Raising public awareness on transparency and accountability of payment from extractive company (oil, gas, and mining), and state revenues from extractive sector. 2). Harnessing civic engagement and empowering citizen to monitor payment from extractive company (oil, gas, and mining), and state revenues from extractive sector. 
 Activities: The project analyse state of data openness in extractive sector, relation between stakeholders, as well as challenges and opportunity to promote transparency; Assist and collaborate with related government agencies to ensure availability of machine readable data in extractive sector. For instance, ensuring EITI report available in open format; Working with indigenous community in West kalimantan to monitor operation of extractive industry as well as monitor spending of revenue by local government; Partnering with School of Data in capacity building for CSOs and local community to work effectively with data and utilise open data platform in advocation</t>
  </si>
  <si>
    <t>Jensi Sartin</t>
  </si>
  <si>
    <t>jensi.sartin@gmail.com</t>
  </si>
  <si>
    <t>Improved capacity of CSOs and local community in working with data; Improved awareness in the community on their right for public data and information from activities that impacted them; Improved governance and collaboration between stakeholders in extractive sector; Efficient use of revenue from extractive sector through accountable spending by government; Policy change</t>
  </si>
  <si>
    <t>EITI</t>
  </si>
  <si>
    <t>https://eiti.org/</t>
  </si>
  <si>
    <t>The EITI (Extractive Industries Transparency Initiative) is an international standard for openness around the management of revenues from natural resources. Governments disclose how much they receive from extractive companies operating in their country and these companies disclose how much they pay.</t>
  </si>
  <si>
    <t>reducing corruption, improving financial management, building a platform for public engagement</t>
  </si>
  <si>
    <t>Abundance Generation</t>
  </si>
  <si>
    <t>https://www.abundancegeneration.com/</t>
  </si>
  <si>
    <t>Abundance Generation is a renewable energy investment company which facilitates communities and individuals investment in renewable energy projects.</t>
  </si>
  <si>
    <t>Founders: Bruce Davis, Louise Wilson, Karl Harder</t>
  </si>
  <si>
    <t>@AbundanceGen, contactus@abundancegeneration.com </t>
  </si>
  <si>
    <t>0044 020 3475 8666</t>
  </si>
  <si>
    <t>* Investment in Renewable Energy Projects</t>
  </si>
  <si>
    <t>AMP</t>
  </si>
  <si>
    <t>http://www.ampcapital.com</t>
  </si>
  <si>
    <t>AMP Capital is an investment house with a heritage and strength in real estate and infrastructure, and specialist expertise in fixed income, equities and multi-asset solutions.</t>
  </si>
  <si>
    <t>Could not find the webbsite</t>
  </si>
  <si>
    <t>AMP Limited</t>
  </si>
  <si>
    <t>ANZ</t>
  </si>
  <si>
    <t>http://www.anz.com/personal/</t>
  </si>
  <si>
    <t>Australia is ANZ’s largest market, serving approximately six million Retail and Commercial customers through a network of around 800 branches, 115 business centres, 2,700 ATMs and leading online and mobile banking applications.</t>
  </si>
  <si>
    <t>Aspiria</t>
  </si>
  <si>
    <t>https://www.aspiria.mx</t>
  </si>
  <si>
    <t>Consumer;MEX;National | Economics;MEX;National | Business;MEX;National | Geospatial/mapping;MEX;National</t>
  </si>
  <si>
    <t>Banamex</t>
  </si>
  <si>
    <t>http://www.banamex.com/</t>
  </si>
  <si>
    <t>Consumer;MEX;National | Social and demographics;MEX;National | Economics;MEX;National | Business;MEX;National | Finance;MEX;National</t>
  </si>
  <si>
    <t>Bank of Queensland</t>
  </si>
  <si>
    <t>http://www.boq.com.au/</t>
  </si>
  <si>
    <t>BOQ is one of Australia’s leading regional banks. We’re also among the few still not owned by one of the big banks. This means we are completely independent, while still offering a genuine alternative to anyone looking for a full range of personal banking services.</t>
  </si>
  <si>
    <t>Banorte-Ixe</t>
  </si>
  <si>
    <t>www.banorte.com</t>
  </si>
  <si>
    <t>Consumer;MEX;National | Social and demographics;MEX;National | Economics;MEX;National | Business;MEX;National | Finance;MEX;National | Manufacturing;MEX;National | Geospatial/mapping;MEX;National | International/global development;MEX;National | Health/healthcare;MEX;National | Public safety;MEX;National | Environment;MEX;National | Education;MEX;National | Legal;MEX;National | Transportation;MEX;National | Housing;MEX;National | Energy;MEX;National</t>
  </si>
  <si>
    <t>Banregio</t>
  </si>
  <si>
    <t>www.banregio.com</t>
  </si>
  <si>
    <t>Social and demographics;MEX;National | Economics;MEX;National | Finance;MEX;National</t>
  </si>
  <si>
    <t>BlackRock</t>
  </si>
  <si>
    <t>http://www.blackrock.com</t>
  </si>
  <si>
    <t>BlackRock is an asset management firm that works with individuals and institutions from all over the world.</t>
  </si>
  <si>
    <t>Capital Dynamics</t>
  </si>
  <si>
    <t>http://www.capdyn.com/</t>
  </si>
  <si>
    <t>Capital Dynamics is a global asset manager founded on the basis of innovation and excellence. We invest in private equity funds and clean energy infrastructure around the world through a broad array of products, including primary funds, secondary funds, direct co-investments, separate accounts and structured private equity products. </t>
  </si>
  <si>
    <t>Cbus</t>
  </si>
  <si>
    <t>http://www.cbussuper.com.au/</t>
  </si>
  <si>
    <t>Cbus is one of Australia's largest public offer Industry Superannuation funds. Established in 1984 for the construction, building and allied industries; it now has over 720,000 members.</t>
  </si>
  <si>
    <t>Commonwealth Bank</t>
  </si>
  <si>
    <t>https://www.commbank.com.au/</t>
  </si>
  <si>
    <t>Commonwealth Bank are Australia’s leading provider of integrated financial services, including retail, premium, business and institutional banking, funds management, superannuation, insurance, investment and share-broking products and services.</t>
  </si>
  <si>
    <t>Computershare</t>
  </si>
  <si>
    <t>http://www.computershare.com/us/Pages/default.aspx</t>
  </si>
  <si>
    <t>Computershare Limited, is an Australian stock transfer company that provides corporate trust, stock transfer and employee share plan services in a number of different countries.</t>
  </si>
  <si>
    <t>Esanda</t>
  </si>
  <si>
    <t>http://www.esanda.com/personal/</t>
  </si>
  <si>
    <t>Esanda Finance Corporation Limited is an Australian finance company. It deals in car and boat finance as well as insurance. It is a wholly owned subsidiary of ANZ Bank</t>
  </si>
  <si>
    <t>Fitch</t>
  </si>
  <si>
    <t>https://www.fitchratings.com/web/en/dynamic/fitch-home.jsp</t>
  </si>
  <si>
    <t>Fitch Ratings is a provider of credit ratings, commentary and research.</t>
  </si>
  <si>
    <t>Government Transaction Services</t>
  </si>
  <si>
    <t>http://www.ezgrantfiling.com</t>
  </si>
  <si>
    <t>EZGrantFiling provides a secure online environment to store and access vital grant documents and translate data into federal grant administrative reports.</t>
  </si>
  <si>
    <t>Vienna</t>
  </si>
  <si>
    <t>Insurance Australian Group (IAG)</t>
  </si>
  <si>
    <t>http://www.iag.com.au/</t>
  </si>
  <si>
    <t>Insurance Australia Group Limited (IAG) is the parent company of a general insurance group with controlled operations in Australia, New Zealand, Thailand and Vietnam, employing more than 15,000 people.</t>
  </si>
  <si>
    <t>Insurance</t>
  </si>
  <si>
    <t>IGNIA Partners</t>
  </si>
  <si>
    <t>http://www.ignia.com.mx/bop/</t>
  </si>
  <si>
    <t>IGNIA is a venture capital firm that supports high growth enterprises serving the base of the socio-economic pyramid in Mexico. IGNIA is focused on areas with high impact on the lives of low income families, such as healthcare, housing, financial services and basic services (water, energy and communications). </t>
  </si>
  <si>
    <t>Innovest Systems</t>
  </si>
  <si>
    <t>http://www.innovestsystems.com</t>
  </si>
  <si>
    <t>Innovest provides a trust accounting and reporting system product that is a secure, integrated, real-time, accrual based system (SaaS).</t>
  </si>
  <si>
    <t>Health/healthcare;USA;National | Energy;USA;National | Economics;USA;National | Finance;USA;National</t>
  </si>
  <si>
    <t>Instituto Mexicano de Ejecutivos de Finanzas (IMEF)</t>
  </si>
  <si>
    <t>www.imef.org.mx</t>
  </si>
  <si>
    <t>Economics;MEX;National | Business;MEX;National | Finance;MEX;National | Government operations;MEX;National | International/global development;MEX;National</t>
  </si>
  <si>
    <t>IOOF Funds</t>
  </si>
  <si>
    <t>J.P. Morgan</t>
  </si>
  <si>
    <t>https://www.jpmorgan.com/pages/jpmorgan/mexico/es/home</t>
  </si>
  <si>
    <t>Economics;MEX;National | Business;MEX;National | Finance;MEX;National</t>
  </si>
  <si>
    <t>KonfÃ­o</t>
  </si>
  <si>
    <t>https://konfio.mx/</t>
  </si>
  <si>
    <t>Consumer;MEX;National | Social and demographics;MEX;National | Economics;MEX;National | Business;MEX;National | Finance;MEX;National | Housing;MEX;National</t>
  </si>
  <si>
    <t>Kroll Bond Ratings Agency</t>
  </si>
  <si>
    <t>https://www.krollbondratings.com/</t>
  </si>
  <si>
    <t>KBRA provides the investment community with an alternative by delivering ratings designed to meet the highest standards for accuracy and timeliness.</t>
  </si>
  <si>
    <t>kubo.financiero</t>
  </si>
  <si>
    <t>www.kubofinanciero.com</t>
  </si>
  <si>
    <t>Consumer;MEX;National | Social and demographics;MEX;National | Finance;MEX;National | Geospatial/mapping;MEX;National | Legal;MEX;National</t>
  </si>
  <si>
    <t>Kueski</t>
  </si>
  <si>
    <t>kueski.com</t>
  </si>
  <si>
    <t>Consumer;MEX;National | Social and demographics;MEX;National | Economics;MEX;National | Finance;MEX;National | Education;MEX;National | Legal;MEX;National | Transportation;MEX;National</t>
  </si>
  <si>
    <t>Macquarie Group</t>
  </si>
  <si>
    <t>Mint</t>
  </si>
  <si>
    <t>https://www.mint.com</t>
  </si>
  <si>
    <t>Mint automatically pulls all your financial information into one place. It does all the work of organizing and categorizing your spending for you.</t>
  </si>
  <si>
    <t>Moody's Analytics</t>
  </si>
  <si>
    <t>www.moodys.com</t>
  </si>
  <si>
    <t>National Australia Bank</t>
  </si>
  <si>
    <t>http://www.nab.com.au/</t>
  </si>
  <si>
    <t>Our major financial services franchises in Australia are complemented by businesses in New Zealand, Asia, the United Kingdom and the United States. Each of our brands is uniquely positioned, but built on a common commitment to provide our customers with quality products and services, fair fees and charges, and relationships built on the principles of help, guidance and advice.</t>
  </si>
  <si>
    <t>Octaviar</t>
  </si>
  <si>
    <t>Promina Group</t>
  </si>
  <si>
    <t>S&amp;P Capital IQ</t>
  </si>
  <si>
    <t>https://www.capitaliq.com</t>
  </si>
  <si>
    <t>S&amp;P Capital IQ serves global financial clients by providing enterprise solutions and research offerings.</t>
  </si>
  <si>
    <t>St. George Bank</t>
  </si>
  <si>
    <t>Standard and Poor's</t>
  </si>
  <si>
    <t>http://www.standardandpoors.com/en_US/web/guest/home</t>
  </si>
  <si>
    <t>S&amp;P is a leading provider of global credit benchmarks and research across industries, asset classes, and geographies.</t>
  </si>
  <si>
    <t>Suncorp Group</t>
  </si>
  <si>
    <t>T. Rowe Price</t>
  </si>
  <si>
    <t>http://www.troweprice.com</t>
  </si>
  <si>
    <t>T. Rowe Price is an independent investment management firm.</t>
  </si>
  <si>
    <t>Baltimore</t>
  </si>
  <si>
    <t>Unipagos</t>
  </si>
  <si>
    <t>http://unipagos.com.mx/</t>
  </si>
  <si>
    <t>Consumer;MEX;National | Social and demographics;MEX;National | Economics;MEX;National | Business;MEX;National | Finance;MEX;National | Geospatial/mapping;MEX;National | Government operations;MEX;National | Legal;MEX;National</t>
  </si>
  <si>
    <t>Westpac</t>
  </si>
  <si>
    <t>Allianz</t>
  </si>
  <si>
    <t>http://www.allianzusa.com</t>
  </si>
  <si>
    <t>Allianz Life Insurance Company is a provider of retirement solutions, including fixed and variable annuities and life insurance for individuals.</t>
  </si>
  <si>
    <t>Asset4</t>
  </si>
  <si>
    <t>asset4.com</t>
  </si>
  <si>
    <t>Asset4 provides objective, comparable and auditable extra-financial information.</t>
  </si>
  <si>
    <t>Avalara</t>
  </si>
  <si>
    <t>http://www.avalara.com</t>
  </si>
  <si>
    <t>Avalara combines technology with available statutory content to deliver fully automated sales tax compliance solutions.</t>
  </si>
  <si>
    <t>Bainbridge Island</t>
  </si>
  <si>
    <t>Economics;USA;Regional</t>
  </si>
  <si>
    <t>Berkery Noyes MandASoft</t>
  </si>
  <si>
    <t>https://mandasoft.com/</t>
  </si>
  <si>
    <t>MandAsoft.com, created by Berkery Noyes, is a simple, powerful information service that provides mergers and acquisitions data via a hosted, graphically enhanced and searchable database.</t>
  </si>
  <si>
    <t>Business;USA;National</t>
  </si>
  <si>
    <t>Berkshire Hathaway</t>
  </si>
  <si>
    <t>http://www.berkshirehathaway.com</t>
  </si>
  <si>
    <t>Berkshire Hathaway Inc. is a multinational conglomerate holding company that oversees and manages a number of subsidiary companies.</t>
  </si>
  <si>
    <t>Omaha</t>
  </si>
  <si>
    <t>NE</t>
  </si>
  <si>
    <t>Finance;USA;National | Education;USA;National</t>
  </si>
  <si>
    <t>BillGuard</t>
  </si>
  <si>
    <t>https://www.billguard.com</t>
  </si>
  <si>
    <t>BillGuard is a personal finance security company harnessing the collective knowledge of millions of consumers to protect Americans from fraud and grey charges.</t>
  </si>
  <si>
    <t>Consumer;USA;National</t>
  </si>
  <si>
    <t>Yaron Samid</t>
  </si>
  <si>
    <t>yaron@billguard.com</t>
  </si>
  <si>
    <t>Bloomberg</t>
  </si>
  <si>
    <t>http://www.bloomberg.com</t>
  </si>
  <si>
    <t>Bloomberg is a global business and financial news information company, providing data, analytics, news and insight</t>
  </si>
  <si>
    <t>Media and communications</t>
  </si>
  <si>
    <t>Bridgewater</t>
  </si>
  <si>
    <t>http://www.bwater.com</t>
  </si>
  <si>
    <t>Bridgewater Associates, LP is a global investment management firm, and advises certain private investment funds and institutional clients.</t>
  </si>
  <si>
    <t>Westport</t>
  </si>
  <si>
    <t>Economics;USA;National | Finance;USA;National</t>
  </si>
  <si>
    <t>Brightscope</t>
  </si>
  <si>
    <t>http://www.brightscope.com/</t>
  </si>
  <si>
    <t>BrightScope is a financial information company that provides data through web-based software to drive better decision-making.</t>
  </si>
  <si>
    <t>San Diego</t>
  </si>
  <si>
    <t>Mike Alfred</t>
  </si>
  <si>
    <t>mike@brightscope.com</t>
  </si>
  <si>
    <t>Business Monitor International</t>
  </si>
  <si>
    <t>www.businessmonitor.com</t>
  </si>
  <si>
    <t>Business Monitor provides trusted, independent analysis and forecasts on countries, industries and financial markets.</t>
  </si>
  <si>
    <t>Calcbench-Inc</t>
  </si>
  <si>
    <t>calcbench.com</t>
  </si>
  <si>
    <t>With collaborative and crowd-sourced components, Calcbench allows financial analysts, accountants, lawyers and investors to instantly access, work with and share SEC filing data.</t>
  </si>
  <si>
    <t>Pranav Ghai</t>
  </si>
  <si>
    <t>pranav@calcbench.com</t>
  </si>
  <si>
    <t>Cambridge Information Group</t>
  </si>
  <si>
    <t>http://www.cig.com</t>
  </si>
  <si>
    <t>Cambridge Information Group (CIG) is a family owned management and investment firm, primarily focused on education, research and information services companies.</t>
  </si>
  <si>
    <t>CAN-Capital</t>
  </si>
  <si>
    <t>http://www.cancapital.com/</t>
  </si>
  <si>
    <t>CAN Capital has served small businesses for more than a decade by developing and delivering working capital solutions.</t>
  </si>
  <si>
    <t>Andrew Weber</t>
  </si>
  <si>
    <t>aweber@cancapital.com</t>
  </si>
  <si>
    <t>Capital-Cube</t>
  </si>
  <si>
    <t>http://www.capitalcube.com</t>
  </si>
  <si>
    <t>Developed over three years by finance and technology professionals, Capital Cube's platform converts data assets into narrative forms.</t>
  </si>
  <si>
    <t>Williamsville</t>
  </si>
  <si>
    <t>Abha Dawesar</t>
  </si>
  <si>
    <t>abha.dawesar@analytixinsight.com</t>
  </si>
  <si>
    <t>CB-Insights</t>
  </si>
  <si>
    <t>http://www.cbinsights.com/</t>
  </si>
  <si>
    <t>CB Insights helps track the world's most promising private companies, their investors, their acquirers and the industries in which they compete.</t>
  </si>
  <si>
    <t>Anand Sanwal</t>
  </si>
  <si>
    <t>asanwal@cbinsights.com</t>
  </si>
  <si>
    <t>Charles Schwab Corp.</t>
  </si>
  <si>
    <t>https://www.schwab.com</t>
  </si>
  <si>
    <t>Charles Schwab is an investment services firm that advocates for individual investors and the financial professionals who serve them.</t>
  </si>
  <si>
    <t>Citigroup</t>
  </si>
  <si>
    <t>http://www.citigroup.com/citi/</t>
  </si>
  <si>
    <t>Citi provides consumers, corporations, governments and institutions with a broad range of financial services and products.</t>
  </si>
  <si>
    <t>College-Abacus-an-ECMC-initiative</t>
  </si>
  <si>
    <t>https://collegeabacus.org</t>
  </si>
  <si>
    <t>An ECMC initiative, CollegeAbacus.org provides financial aid estimates to prospective college students.</t>
  </si>
  <si>
    <t>Abigail Seldin</t>
  </si>
  <si>
    <t>aseldin@ecmc.org</t>
  </si>
  <si>
    <t>Credit Karma</t>
  </si>
  <si>
    <t>https://www.creditkarma.com</t>
  </si>
  <si>
    <t>Credit Karma is a web-based credit and financial management service that helps more than 20 million consumers track their credit and finances for free.</t>
  </si>
  <si>
    <t>Credit-Sesame</t>
  </si>
  <si>
    <t>creditsesame.com</t>
  </si>
  <si>
    <t>Credit Sesame is a free tool that provides a free credit score, credit monitoring, and a way to save money on loans and credit.</t>
  </si>
  <si>
    <t>Jesse Levey</t>
  </si>
  <si>
    <t>jesse@creditsesame.com</t>
  </si>
  <si>
    <t>DemystData</t>
  </si>
  <si>
    <t>http://demystdata.com</t>
  </si>
  <si>
    <t>DemystData helps financial institutions tap into "Big Data" to make better credit decisions. The company’s products enable real-time analysis of consumer and small business profiles.</t>
  </si>
  <si>
    <t>Dow Jones &amp; Co.</t>
  </si>
  <si>
    <t>http://www.dowjones.com</t>
  </si>
  <si>
    <t>Dow Jones &amp; Company is a provider of news and business information, delivering content to consumers and organizations via newspapers, Web sites, apps, etc.</t>
  </si>
  <si>
    <t>eInstitutional</t>
  </si>
  <si>
    <t>einstitutional.com</t>
  </si>
  <si>
    <t>eInstitutional generates actionable intelligence from automated reviews of financial documents, where gigabytes of data are simultaneously reviewed to identify market risks and opportunities.</t>
  </si>
  <si>
    <t>Ridgefield</t>
  </si>
  <si>
    <t>Perry Beaumont</t>
  </si>
  <si>
    <t>perry.beaumont@einstitutional.com</t>
  </si>
  <si>
    <t>Equifax</t>
  </si>
  <si>
    <t>http://www.equifax.com/home/en_us</t>
  </si>
  <si>
    <t>Equifax leverages one of the largest sources of consumer and commercial data, along with advanced analytics and proprietary technology, to create customized insights for business.</t>
  </si>
  <si>
    <t>Ernst &amp; Young LLP</t>
  </si>
  <si>
    <t>http://www.ey.com</t>
  </si>
  <si>
    <t>Ernst &amp; Young is a professional services firm that provides assurance, tax, transactions and advisory services to companies.</t>
  </si>
  <si>
    <t>Experian</t>
  </si>
  <si>
    <t>http://www.experian.com</t>
  </si>
  <si>
    <t>Experian provides information, analytical tools and marketing services to organizations and consumers to help manage the risk and reward of commercial and financial decisions.</t>
  </si>
  <si>
    <t>Costa Mesa</t>
  </si>
  <si>
    <t>EzXBRL</t>
  </si>
  <si>
    <t>ez-xbrl.com</t>
  </si>
  <si>
    <t>Ez-XBRL uses innovative technologies to provide solutions for financial research, analytics and regulatory compliance.</t>
  </si>
  <si>
    <t>Srinivas Murty</t>
  </si>
  <si>
    <t>srinivas.murty@ez-xbrl.com</t>
  </si>
  <si>
    <t>Factset</t>
  </si>
  <si>
    <t>http://www.factset.com</t>
  </si>
  <si>
    <t>FactSet Research Systems provides multinational financial data and analytic software to financial institutions.</t>
  </si>
  <si>
    <t>Norwalk</t>
  </si>
  <si>
    <t>Fidelity Investments</t>
  </si>
  <si>
    <t>https://www.fidelity.com</t>
  </si>
  <si>
    <t>Fidelity Investments provides a wide range of services, including investment management, retirement planning, brokerage, and human resources and benefits outsourcing services.</t>
  </si>
  <si>
    <t>Funding Circle</t>
  </si>
  <si>
    <t>https://www.fundingcircle.com</t>
  </si>
  <si>
    <t>Funding Circle USA is an online loan marketplace that connects small businesses looking for up to $500K with investors.</t>
  </si>
  <si>
    <t>FutureAdvisor</t>
  </si>
  <si>
    <t>https://www.futureadvisor.com</t>
  </si>
  <si>
    <t>FutureAdvisor is an online investment advisor that automatically manages investments and works with existing investments 401(k) plans.</t>
  </si>
  <si>
    <t>GetRaised</t>
  </si>
  <si>
    <t>https://getraised.com</t>
  </si>
  <si>
    <t>GetRaised uses government and other data to tell users whether they are being paid fairly and to help them construct a raise request.</t>
  </si>
  <si>
    <t>HelloWallet</t>
  </si>
  <si>
    <t>http://www.hellowallet.com/</t>
  </si>
  <si>
    <t>HelloWallet improves the performance of organizations by providing independent guidance that aligns corporate spending with human capital needs.</t>
  </si>
  <si>
    <t>Elisabeth Lesser</t>
  </si>
  <si>
    <t>elisabeth@hellowallet.com</t>
  </si>
  <si>
    <t>Investormill</t>
  </si>
  <si>
    <t>www.investormill.com</t>
  </si>
  <si>
    <t>Investormill makes it simple to find and chart economic and financial data.</t>
  </si>
  <si>
    <t>Demographics and social;USA;National | Environment;USA;National | Legal;USA;National | Economics;USA;National | Finance;USA;National</t>
  </si>
  <si>
    <t>Dane Vrabac</t>
  </si>
  <si>
    <t>vrabacd@wustl.edu</t>
  </si>
  <si>
    <t>IW Financial</t>
  </si>
  <si>
    <t>http://info.iwfinancial.com</t>
  </si>
  <si>
    <t>IW Financial is a provider of environmental risk assessment, social responsibility, and corporate governance research for investors.</t>
  </si>
  <si>
    <t>J.P. Morgan Chase</t>
  </si>
  <si>
    <t>http://www.jpmorganchase.com/corporate/Home/home.htm</t>
  </si>
  <si>
    <t>J.P. Morgan Chase offers investment banking, financial services for consumers, small business and commercial banking, financial transaction processing, asset management and private equity.</t>
  </si>
  <si>
    <t>JCS Investments</t>
  </si>
  <si>
    <t>http://www.jcs.com.gh</t>
  </si>
  <si>
    <t>KLD Research</t>
  </si>
  <si>
    <t>http://www.msci.com/products/esg/#</t>
  </si>
  <si>
    <t>KLD is an independent research firm providing sustainability research and indexes: clients use KLD to integrate environmental, social and governance (ESG) criteria into investment decisions.</t>
  </si>
  <si>
    <t>Lenddo</t>
  </si>
  <si>
    <t>https://www.lenddo.com/pages/what_is_lenddo/office</t>
  </si>
  <si>
    <t>Lenddo is an online platform that helps the emerging middle class use their social connections to build their creditworthiness and access local financial services.</t>
  </si>
  <si>
    <t>Makati City</t>
  </si>
  <si>
    <t>Lending Club</t>
  </si>
  <si>
    <t>https://www.lendingclub.com</t>
  </si>
  <si>
    <t>Lending Club is an online financial community that connects creditworthy borrowers to investors so both benefit financially - providing an alternative to bank lending.</t>
  </si>
  <si>
    <t>LOGIXDATA-LLC</t>
  </si>
  <si>
    <t>www.logixdata.com</t>
  </si>
  <si>
    <t>LogixData provides actionable insight and intelligence on publicly traded companies.</t>
  </si>
  <si>
    <t>Ganesh Rajappan</t>
  </si>
  <si>
    <t>ganesh.rajappan@logixdata.com</t>
  </si>
  <si>
    <t>Marlin &amp; Associates</t>
  </si>
  <si>
    <t>http://www.marlinllc.com</t>
  </si>
  <si>
    <t>Marlin &amp; Associates is a boutique financial advisory firm and investment bank advising companies that provide technology, digital information, and healthcare-related products and services.</t>
  </si>
  <si>
    <t>McGraw Hill Financial</t>
  </si>
  <si>
    <t>http://www.mhfi.com</t>
  </si>
  <si>
    <t>McGraw Hill Financial is a content and analytics company serving the capital and commodity markets.</t>
  </si>
  <si>
    <t>Economic;USA;National | Housing;USA;Regional | Demographics and social;USA;National</t>
  </si>
  <si>
    <t>Merrill Lynch</t>
  </si>
  <si>
    <t>http://www.ml.com/index.asp?id=7695_15125</t>
  </si>
  <si>
    <t>Merrill Lynch is a provider of wealth management, securities trading and sales, corporate finance and investment banking services.</t>
  </si>
  <si>
    <t>Moody's</t>
  </si>
  <si>
    <t>https://www.moodys.com</t>
  </si>
  <si>
    <t>Moody's Investors Service is a leading provider of credit ratings, research, and risk analysis.</t>
  </si>
  <si>
    <t>Economic;USA;National | Demographics and social;USA;National</t>
  </si>
  <si>
    <t>Morgan Stanley</t>
  </si>
  <si>
    <t>http://www.morganstanley.com</t>
  </si>
  <si>
    <t>Morgan Stanley is a global financial services company that provides products and services to corporations, governments, financial institutions and individuals.</t>
  </si>
  <si>
    <t>Morningstar, Inc.</t>
  </si>
  <si>
    <t>http://www.morningstar.com</t>
  </si>
  <si>
    <t>Morningstar is a global provider of independent investment research serving individual investors, financial advisors, asset managers, and retirement plan providers and sponsors.</t>
  </si>
  <si>
    <t>NerdWallet</t>
  </si>
  <si>
    <t>http://www.nerdwallet.com</t>
  </si>
  <si>
    <t>Nerdwallet helps consumers with money questions on banking, insurance, health care, investments, education, housing, travel, and shopping.</t>
  </si>
  <si>
    <t>Health/healthcare;USA;National | Demographics and social;USA;National</t>
  </si>
  <si>
    <t>Christina LaMontagne</t>
  </si>
  <si>
    <t>christina@nerdwallet.com</t>
  </si>
  <si>
    <t>OnDeck</t>
  </si>
  <si>
    <t>www.ondeck.com</t>
  </si>
  <si>
    <t>OnDeck is a technology-powered Main Street lender that uses big data to deliver financing to small businesses.</t>
  </si>
  <si>
    <t>Tracy Rubin</t>
  </si>
  <si>
    <t>tracy@jcmg.com</t>
  </si>
  <si>
    <t>OTC-Markets</t>
  </si>
  <si>
    <t>http://www.otcmarkets.com/home</t>
  </si>
  <si>
    <t>OTC Markets Group's financial marketplaces provides investors with information to intelligently analyze, value and trade 10,000 US/global securities through the broker of their choice.</t>
  </si>
  <si>
    <t>Chris Grant</t>
  </si>
  <si>
    <t>chris@otcmarkets.com</t>
  </si>
  <si>
    <t>Pave</t>
  </si>
  <si>
    <t>http://www.pave.com</t>
  </si>
  <si>
    <t>Pave enables individuals to raise funding from individual backers safely and securely, using an income prediction model based on historical government data.</t>
  </si>
  <si>
    <t>Demographics and social;USA;National | Demographics and social;USA;Regional | Economics;USA;Regional</t>
  </si>
  <si>
    <t>Jeff Weinstein</t>
  </si>
  <si>
    <t>jeff@pave.com</t>
  </si>
  <si>
    <t>Persint</t>
  </si>
  <si>
    <t>http://www.persint.com/</t>
  </si>
  <si>
    <t>Persint is building a new way for users to gain control of their personal finances, and view personalized recommendations.</t>
  </si>
  <si>
    <t>Steve Cotton</t>
  </si>
  <si>
    <t>steve.cotton@persint.com</t>
  </si>
  <si>
    <t>PricewaterhouseCoopers (PWC)</t>
  </si>
  <si>
    <t>http://www.pwc.com/us/en/index.jhtml</t>
  </si>
  <si>
    <t>PricewaterhouseCoopers is a network of firms in 158 countries that delivers quality in assurance, tax and advisory services.</t>
  </si>
  <si>
    <t>Transportation;USA;National</t>
  </si>
  <si>
    <t>Rank and Filed</t>
  </si>
  <si>
    <t>http://rankandfiled.com/</t>
  </si>
  <si>
    <t>Rank and Filed is like the Securities and Exchange Commission's EDGAR database, but for humans. It provides free access to filings and financial data.</t>
  </si>
  <si>
    <t>Rivet Software</t>
  </si>
  <si>
    <t>http://rivetsoftware.com</t>
  </si>
  <si>
    <t>Rivet Software uses XBRL to create, exchange, present, and consume financial information for greater transparency, improved efficiencies, and reduced risk.</t>
  </si>
  <si>
    <t>Denver</t>
  </si>
  <si>
    <t>Russell Investments</t>
  </si>
  <si>
    <t>http://www.russell.com/indexes/</t>
  </si>
  <si>
    <t>Russell Investments provides tools to help investors build, track and trade investment portfolios.</t>
  </si>
  <si>
    <t>SigFig</t>
  </si>
  <si>
    <t>https://www.sigfig.com/</t>
  </si>
  <si>
    <t>SigFig tracks individuals' financial assets and provides detailed visualizations of their investments and recommendations on how to manage them.</t>
  </si>
  <si>
    <t>SmartAsset</t>
  </si>
  <si>
    <t>smartasset.com</t>
  </si>
  <si>
    <t>SmartAsset provides actionable, objective and easy-to-understand financial analytics and advice to consumers.</t>
  </si>
  <si>
    <t>Public safety;USA;National | Education;USA;National | Demographics and social;USA;National</t>
  </si>
  <si>
    <t>Michael Carvin</t>
  </si>
  <si>
    <t>mcarvin@smartasset.com</t>
  </si>
  <si>
    <t>StockSmart</t>
  </si>
  <si>
    <t>http://www.stocksmart.com/ri/home</t>
  </si>
  <si>
    <t>StockSmart helps investors understand information and make decisions with the benefit of automated guidance.</t>
  </si>
  <si>
    <t>Suzanne Cook</t>
  </si>
  <si>
    <t>cook@stocksmart.com</t>
  </si>
  <si>
    <t>TagniFi</t>
  </si>
  <si>
    <t>tagnifi.com</t>
  </si>
  <si>
    <t>TagniFi is buidling a financial database for leading investment, research and content organizations using a collection process resulting in more timely, cleaner and consistent data.</t>
  </si>
  <si>
    <t>Tampa</t>
  </si>
  <si>
    <t>Chad Sandstedt</t>
  </si>
  <si>
    <t>chads@tagnifi.com</t>
  </si>
  <si>
    <t>The Govtech Fund</t>
  </si>
  <si>
    <t>www.govtechfund.com</t>
  </si>
  <si>
    <t>The Govtech Fund is a venture fund focused on investing in startups that are transforming the trillion dollar government software / IT market.</t>
  </si>
  <si>
    <t>The Vanguard Group</t>
  </si>
  <si>
    <t>http://www.vanguard.com/</t>
  </si>
  <si>
    <t>Vanguard is an investment company that, uniquely, is owned by its clients.</t>
  </si>
  <si>
    <t>Valley Forge</t>
  </si>
  <si>
    <t>Thinknum</t>
  </si>
  <si>
    <t>http://www.thinknum.com/</t>
  </si>
  <si>
    <t>Thinknum is a web platform for financial analysis.</t>
  </si>
  <si>
    <t>Justin Zhen</t>
  </si>
  <si>
    <t>jzhen@thinknum.com</t>
  </si>
  <si>
    <t>Trintech</t>
  </si>
  <si>
    <t>http://www.trintech.com/</t>
  </si>
  <si>
    <t>Trintech provides software solutions and is a global provider of integrated financial governance, transaction risk management, and compliance solutions for commercial, financial, and healthcare markets.</t>
  </si>
  <si>
    <t>Addison</t>
  </si>
  <si>
    <t>USAA Group</t>
  </si>
  <si>
    <t>https://www.usaa.com</t>
  </si>
  <si>
    <t>USAA aims to facilitate the financial security of its members, associates, and their families through provision of a range of competitive financial products and services.</t>
  </si>
  <si>
    <t>San Antonio</t>
  </si>
  <si>
    <t>Workiva</t>
  </si>
  <si>
    <t>https://www.workiva.com/</t>
  </si>
  <si>
    <t>WebFilings is the creator of Wdesk—business reporting in real time.</t>
  </si>
  <si>
    <t>Ames</t>
  </si>
  <si>
    <t>IA</t>
  </si>
  <si>
    <t>Xignite</t>
  </si>
  <si>
    <t>http://www.xignite.com/</t>
  </si>
  <si>
    <t>Xignite provides financial web services with real-time, historical and reference data for global equities, commodities, currencies, options, fixed income, mutual funds, derivatives and over-the-counter instruments.</t>
  </si>
  <si>
    <t>Finance;USA;National | Demographics and social;USA;National</t>
  </si>
  <si>
    <t>Kreditech</t>
  </si>
  <si>
    <t>https://www.kreditech.com/</t>
  </si>
  <si>
    <t>The Kreditech Group uses big data, complex algorithms and automated workflows to serve a simple mission:“Better banking for everyone”. Based on 20,000 dynamic data points, the unique technology is capable of scoring everyone worldwide, including the 4bn individuals without credit score.</t>
  </si>
  <si>
    <t>Hamburg</t>
  </si>
  <si>
    <t>http://www.fiercebigdata.com/story/kreditech-group-uses-big-data-score-credit-risk-4-billion-people-worldwide/2014-12-03</t>
  </si>
  <si>
    <t>Nimble</t>
  </si>
  <si>
    <t>https://nimble.com.au/</t>
  </si>
  <si>
    <t>The company's line of business includes providing loans to individuals as well as financing retail sales.</t>
  </si>
  <si>
    <t>Southport</t>
  </si>
  <si>
    <t>https://nimble.com.au/about-us/privacy-policy</t>
  </si>
  <si>
    <t>Credifi</t>
  </si>
  <si>
    <t>http://www.credifi.com/</t>
  </si>
  <si>
    <t>Credifi Corp provides investment grade data for professionals with a focus on the commercial real estate market in the United States</t>
  </si>
  <si>
    <t>The Reinvestment Fund</t>
  </si>
  <si>
    <t>www.trfund.com</t>
  </si>
  <si>
    <t>The Reinvestment Fund (TRF) has invested $1.5 billion in communities since 1985. TRF finances housing, community facilities, supermarkets, commercial real estate and energy efficiency projects. </t>
  </si>
  <si>
    <t>Philadelphia</t>
  </si>
  <si>
    <t>Bill-it</t>
  </si>
  <si>
    <t>(only a Github website) https://github.com/ciudadanointeligente/bill-it </t>
  </si>
  <si>
    <t>Document management system. Based on bill tracking needs. Simple model for stages, priorities, authors, content (abstract, tags), releated docs, and full text search in the all docs and related docs. in It's part of POPLUS environment.</t>
  </si>
  <si>
    <t>Problem Solved Ltd</t>
  </si>
  <si>
    <t>https://vc4africa.biz/members/ericmutta/profile/</t>
  </si>
  <si>
    <t>Dar Es Salaam</t>
  </si>
  <si>
    <t>Zege Technologies Ltd.</t>
  </si>
  <si>
    <t>http://www.zegetech.com</t>
  </si>
  <si>
    <t>Sociohub</t>
  </si>
  <si>
    <t>http://www.sociohub.ru</t>
  </si>
  <si>
    <t>Voronezh, Russia</t>
  </si>
  <si>
    <t>Consumer</t>
  </si>
  <si>
    <t>Created by Institute for Development of Freedom of Information (IDFI) in 2010 and joined by three other Georgian NGOs in February 2014: Transparency International Georgia (TI-G), Georgian Young Lawyers Association (GYLA), Green Alternative (GI)</t>
  </si>
  <si>
    <t>http://opendata.ge/en
 https://idfi.ge/en/public-information-database-2013-2015</t>
  </si>
  <si>
    <t>The goal of the project is to support development of freedom of information by increasing level of accountability of state authorities, ensuring civic engagement in decision-making process, as well as by supporting public monitoring and control of the government. The project has three main objectives: awareness raising (stakeholders &amp; civil society), advocacy campaign (FOI changes) and watchdog activities.</t>
  </si>
  <si>
    <t>GEO</t>
  </si>
  <si>
    <t>Tamar Iakobidze</t>
  </si>
  <si>
    <t>t.iakobidze@idfi.ge 
 info@idfi.ge</t>
  </si>
  <si>
    <t>Social impact of www.opendata.ge has many dimensions: (1) regularly updating online database of public information; (2) qualitative as well as quantitative analysis of received public information, published on blog, web-site, in annual bulletins etc. (3) raising social awareness on FOI in Georgia; (4) developing case law on public information disclosure via referring certain disputes to the Court; (5) advocating policy changes based on existing practice; (6) Drawing annual ratings of Access to Public Information and awarding the most accountable and closed public institutions (7) assisting citizens in receiving public information etc.</t>
  </si>
  <si>
    <t>Ministry of Justice, others pending</t>
  </si>
  <si>
    <t>http://www.thinknpc.org/our-work/transforming-the-sector/data-labs/</t>
  </si>
  <si>
    <t>In many areas, government holds accurate outcome data that nonprofits cannot easily access. NPC's model, taken up first by the Ministry of Justice, involves the creation of an intermediary body to handle requests by nonprofits (and others), providing them in return with group outcomes data for their participants plus the outcomes of a matched control group.</t>
  </si>
  <si>
    <t>Tris Lumley</t>
  </si>
  <si>
    <t>tris.lumley@thinknpc.org</t>
  </si>
  <si>
    <t>Improving public service delivery, learning/service improvement by nonprofits</t>
  </si>
  <si>
    <t>Consejo Mexicano de la Carne</t>
  </si>
  <si>
    <t>http://www.comecarne.org/</t>
  </si>
  <si>
    <t>The COMECARNE, consists of companies engaged in activities related to the meat industry, slaughter establishments, bakeries cutting and deboning, packing of fresh and processed meat.</t>
  </si>
  <si>
    <t>Agriculture;MEX;National | Consumer;MEX;National | Social and demographics;MEX;National | Economics;MEX;National | Business;MEX;National | Finance;MEX;National | Health/healthcare;MEX;National</t>
  </si>
  <si>
    <t>Conurba</t>
  </si>
  <si>
    <t>www.conurbamx.com/</t>
  </si>
  <si>
    <t>CONURBA  is an established company in the field of consulting territorial, urban and environmental issues now, as well as those who are associated with them such as housing, infrastructure, water and agricultural development, to offer services of planning, prospecting, solutions and management and better use of land and natural resources. </t>
  </si>
  <si>
    <t>International/global development;MEX;National | Economics;MEX;National | Business;MEX;National | Geospatial/mapping;MEX;National | Government operations;MEX;National | Environment;MEX;National | Transportation;MEX;National | Housing;MEX;National</t>
  </si>
  <si>
    <t>Grupo Bimbo</t>
  </si>
  <si>
    <t>http://www.grupobimbo.com/</t>
  </si>
  <si>
    <t>Today, they are the largest company in the world by branding Bakery, volume of production and sales, we are also the undisputed leader in our industry in Mexico, Latin America and the United States.</t>
  </si>
  <si>
    <t>Agriculture;MEX;National | Social and demographics;MEX;National</t>
  </si>
  <si>
    <t>InTA Mexico</t>
  </si>
  <si>
    <t>www.centeotl.mex.tl</t>
  </si>
  <si>
    <t>Ekgaon Technologies Pvt. Ltd.</t>
  </si>
  <si>
    <t>http://www.ekgaon.com/</t>
  </si>
  <si>
    <t>ekgaon services have enriched lives of over a million rural households in India alone over the last twelve years of efforts. ekgaon is a unique 'For Profit' social enterprise focussed on providing utility services for farmers, rural businesses, under-served rural women and the large urban migrant labour population of aspiring consumer. It is the first company to provide mobile phone enabled financial services delivery platform in South Asia.</t>
  </si>
  <si>
    <t>Viterra Australia </t>
  </si>
  <si>
    <t>http://www.viterra.com.au/</t>
  </si>
  <si>
    <t>Viterra, a wholly owned subsidiary of Glencore, has extensive operations across Australia, servicing growers and both domestic and international grain markets.</t>
  </si>
  <si>
    <t>AWB Limited</t>
  </si>
  <si>
    <t>http://www.awb.com.au/growers</t>
  </si>
  <si>
    <t>Boag's Brewery</t>
  </si>
  <si>
    <t>http://www.boags.com.au/agegate</t>
  </si>
  <si>
    <t>Brown Brothers </t>
  </si>
  <si>
    <t>Bulla Dairy Foods</t>
  </si>
  <si>
    <t>http://www.bulla.com.au/</t>
  </si>
  <si>
    <t>Coca-Cola Amatil</t>
  </si>
  <si>
    <t>http://ccamatil.com/Pages/default.aspx</t>
  </si>
  <si>
    <t>CCA is one of the largest bottlers of non-alcoholic ready-to-drink beverages in the Asia-Pacific region and one of the world’s top five Coca-Cola bottlers.</t>
  </si>
  <si>
    <t>Darrell Lea</t>
  </si>
  <si>
    <t>De Bortoli Wines</t>
  </si>
  <si>
    <t>Dick Smith Foods</t>
  </si>
  <si>
    <t>Elders Limited</t>
  </si>
  <si>
    <t>Foster's Group</t>
  </si>
  <si>
    <t>Golden North</t>
  </si>
  <si>
    <t>Goodman Fielder</t>
  </si>
  <si>
    <t>Haigh's Chocolates</t>
  </si>
  <si>
    <t>Henry Jones IXL</t>
  </si>
  <si>
    <t>Lion Nathan</t>
  </si>
  <si>
    <t>Peter Lehmann Wines</t>
  </si>
  <si>
    <t>Sanitarium</t>
  </si>
  <si>
    <t>Tip Top Bakeries</t>
  </si>
  <si>
    <t>Otakar Motejl Fund</t>
  </si>
  <si>
    <t>http://www.nasstat.cz/aktualni-deni/1-prazsky-geodata-hackathon/</t>
  </si>
  <si>
    <t>Prague</t>
  </si>
  <si>
    <t>CZE</t>
  </si>
  <si>
    <t>new: We managed to bring developers and data enthusiasts, public sector representatives and companies together. The data providers, mostly public officers met the users face to face (at the launch) and discussed the benefits and potential of open government data. We also managed to initiate new apps and projects and support the best, so that they can be further improved. Another goal was to promote open data to general public via examples of practical apps. The challenge received 50 media mentions, 130 tweets and 6000+ Facebook reach.
The hackathon built a bridge between data geeks and Prague's geodata department. 6 new apps, visualisations and prototypes were built. Prague Institute of Planning and Development also gained invaluable feedback about their data solutions. And the outcomes go way beyond the event - some of the participants became long-term collaborators of the Institute (and the community has a voice in the planning process). The hackathon was also one of the factors that enabled a new open data directive. We're also finalising a case study and a how-to for organising hackathons, which will be shared freely.</t>
  </si>
  <si>
    <t>Michaela Rybičková</t>
  </si>
  <si>
    <t>michaela.rybickova@motejl.cz</t>
  </si>
  <si>
    <t>Geospheres</t>
  </si>
  <si>
    <t>http://www.geosphereservices.com</t>
  </si>
  <si>
    <t>Rabat</t>
  </si>
  <si>
    <t>Geospatial/mapping </t>
  </si>
  <si>
    <t>NavCities</t>
  </si>
  <si>
    <t>http://www.navcities.com</t>
  </si>
  <si>
    <t>Transparent Chennai</t>
  </si>
  <si>
    <t>http://www.transparentchennai.com/</t>
  </si>
  <si>
    <t>Transparent Chennai aggregates, creates and disseminates data and research about important civic issues facing Chennai, including those issues facing the poor. </t>
  </si>
  <si>
    <t>Chennai</t>
  </si>
  <si>
    <t>Tamil Nadu</t>
  </si>
  <si>
    <t>new: Transparent Chennai has created a mapping tool which allows for the visualization of civic (both official and crowdsourced) on a map.</t>
  </si>
  <si>
    <t>NextGIS</t>
  </si>
  <si>
    <t>http://nextgis.org</t>
  </si>
  <si>
    <t>Abet Soft Technologies</t>
  </si>
  <si>
    <t>http://abetsoft.in/gisservices.html</t>
  </si>
  <si>
    <t>Abet Soft offers a wide range of professional services in GIS Development and Analysis, Photogrammetry, Orthophotography, LiDAR and CAD. The services are provided using open geographical data and satellite data. It is providing solutions to the Geospatial data management and Analysis services including Urban Development, Town Planning, Drainage Pattern, Forest Cover, Utility services and Parcel mapping.  It helps these sectors take better decisions by providing unique visualizations of the region of their operations and data related to those regions.</t>
  </si>
  <si>
    <t>Hyderabad</t>
  </si>
  <si>
    <t>Thakkala Venkat Reddy, Allamkonda Venkata Ramana, Aitha Bhaskar, Jangita Kalyan Krishna</t>
  </si>
  <si>
    <t>info@abetsoft.in</t>
  </si>
  <si>
    <t>Adepto</t>
  </si>
  <si>
    <t>http://adeptogeoit.com/home/index.php</t>
  </si>
  <si>
    <t>Adepto provides a full range of Geographic Information System and scientific software solutions to the Scientific and Research Community of India in association with Strategic Global Alliances.It services include Photogrametry, GIS &amp; Remote Sensing, LiDAR, 3D City modelling, engineering services, software solutions. The company makes use of open geographical data and satellite data to provide geo spatial solutions, thereby supporting environmental and agricultural decisions.</t>
  </si>
  <si>
    <t>Hyderbad</t>
  </si>
  <si>
    <t>Srinivas Pogaku</t>
  </si>
  <si>
    <t>srinivas@adeptogeoit.com</t>
  </si>
  <si>
    <t>Datea </t>
  </si>
  <si>
    <t>http://ayuda.datea.pe/</t>
  </si>
  <si>
    <t>Datea is a platform for civic participation and collaborative mapping, to take adventage from collective intelligence and improve people's lives.</t>
  </si>
  <si>
    <t>Eventario</t>
  </si>
  <si>
    <t>http://www.eventario.mx/</t>
  </si>
  <si>
    <t>Eventario is a platform that helps locate events in the city, from the website you can find events near your location or a specific place on the map, in the mobile application determines your location and suggests the events the city promotes, you can navigate the map and search events in certain areas. </t>
  </si>
  <si>
    <t>Mexico City</t>
  </si>
  <si>
    <t>Azavea</t>
  </si>
  <si>
    <t>azavea.com</t>
  </si>
  <si>
    <t>Azavea is a geospatial analysis (GIS) software development firm specializing in creating location-based web and mobile software as well as geospatial analysis services.</t>
  </si>
  <si>
    <t>Demographics and social;USA;National | Weather;USA;National | Agriculture;USA;National | Legal;USA;National | Energy;USA;National | Government operations;USA;National | Agriculture;USA;Regional</t>
  </si>
  <si>
    <t>Robert Cheetham</t>
  </si>
  <si>
    <t>cheetham@azavea.com</t>
  </si>
  <si>
    <t>Boundless</t>
  </si>
  <si>
    <t>www.boundlessgeo.com</t>
  </si>
  <si>
    <t>We support our customers with a variety of solutions including commercial open source maintenance, spatial IT infrastructure, and data management and analysis tools.</t>
  </si>
  <si>
    <t>Anthony Denaro</t>
  </si>
  <si>
    <t>adenaro@boundlessgeo.com</t>
  </si>
  <si>
    <t>CartogrÃ¡fica</t>
  </si>
  <si>
    <t>http://cartografica.mx/</t>
  </si>
  <si>
    <t>Social and demographics;MEX;National | Economics;MEX;National | Geospatial/mapping;MEX;National | Environment;MEX;National | Education;MEX;National | Science and research;MEX;National | Energy;MEX;National</t>
  </si>
  <si>
    <t>Centro de IntegraciÃ³n Ciudadana</t>
  </si>
  <si>
    <t>http://www.cic.mx/</t>
  </si>
  <si>
    <t>Social and demographics;MEX;National | Finance;MEX;National | Geospatial/mapping;MEX;National | Transportation;MEX;National | Public safety;MEX;National</t>
  </si>
  <si>
    <t>CityScan</t>
  </si>
  <si>
    <t>www.CityScan.com</t>
  </si>
  <si>
    <t>CityScan provides cities and utilities a solution to manage their assets, ensure compliance with local ordinances, improve safety, and increase overall efficiency using mobile 3D-scanning.</t>
  </si>
  <si>
    <t>Demographics and social;USA;National | null;USA;Regional</t>
  </si>
  <si>
    <t>David Guttman</t>
  </si>
  <si>
    <t>dguttman@cityscan.com</t>
  </si>
  <si>
    <t>Cloudmade</t>
  </si>
  <si>
    <t>http://cloudmade.com</t>
  </si>
  <si>
    <t>CloudMade's platform makes geospatial data from hundreds of different sources accessible for different devices and automotive manufacturers, developers and enterprises.</t>
  </si>
  <si>
    <t>CPSISC</t>
  </si>
  <si>
    <t>CR Kennedy</t>
  </si>
  <si>
    <t>Digital Globe</t>
  </si>
  <si>
    <t>EarthObserver App</t>
  </si>
  <si>
    <t>http://www.earth-observer.org/</t>
  </si>
  <si>
    <t>EarthObserver is a mobile application that allows you to explore many other earth and environmental science topics as you travel and explore with your finger.</t>
  </si>
  <si>
    <t>Earthquake Alert!</t>
  </si>
  <si>
    <t>https://play.google.com/store/apps/details?id=com.joshclemm.android.quake&amp;hl=en</t>
  </si>
  <si>
    <t>Earthquake Alert! shows earthquakes Magnitude 3.0 and higher from all over the U.S.</t>
  </si>
  <si>
    <t>Esri</t>
  </si>
  <si>
    <t>esri.com</t>
  </si>
  <si>
    <t>Esri is the world leader in geographic information systems and has a long history of using open data.</t>
  </si>
  <si>
    <t>Redlands</t>
  </si>
  <si>
    <t>Clem Henriksen</t>
  </si>
  <si>
    <t>chenriksen@esri.com</t>
  </si>
  <si>
    <t>ESRI Australia</t>
  </si>
  <si>
    <t>Garmin</t>
  </si>
  <si>
    <t>http://www.garmin.com/en-US</t>
  </si>
  <si>
    <t>Garmin's products provide geospatial information for automotive, aviation, marine, outdoor, and sports uses.</t>
  </si>
  <si>
    <t>Olathe</t>
  </si>
  <si>
    <t>KA</t>
  </si>
  <si>
    <t>Geofeedia</t>
  </si>
  <si>
    <t>http://geofeedia.com/</t>
  </si>
  <si>
    <t>Geofeedia is a location-based, open source social media monitoring and mining, complementing traditional keyword monitoring to gather data on a wider range of social activity.</t>
  </si>
  <si>
    <t>Google Maps</t>
  </si>
  <si>
    <t>https://www.google.com/maps/about/explore/</t>
  </si>
  <si>
    <t>Google Maps is a web mapping service application and technology provided by Google, powering many map-based services.</t>
  </si>
  <si>
    <t>HERE</t>
  </si>
  <si>
    <t>http://here.com</t>
  </si>
  <si>
    <t>HERE, a Nokia business, offers the world's freshest maps and location experiences across multiple screens and operating systems.</t>
  </si>
  <si>
    <t>Environment;USA;National | Geospatial/mapping;USA;National</t>
  </si>
  <si>
    <t>Pino Bonetti</t>
  </si>
  <si>
    <t>pino.bonetti@nokia.com</t>
  </si>
  <si>
    <t>Here</t>
  </si>
  <si>
    <t>http://here.com/traffic/mexico/mexico-city</t>
  </si>
  <si>
    <t>Geospatial/mapping;MEX;National</t>
  </si>
  <si>
    <t>indoo.rs</t>
  </si>
  <si>
    <t>http://indoo.rs/</t>
  </si>
  <si>
    <t>Indoo.rs is a technology development company that creates indoor mapping, localization, and routing technology as well as SDK for application developers and device manufacturers.</t>
  </si>
  <si>
    <t>Intermap Technologies</t>
  </si>
  <si>
    <t>www.intermap.com</t>
  </si>
  <si>
    <t>Intermap provides on-demand geospatial solutions and is focused on improving the way people, businesses, and governments use location-based information.</t>
  </si>
  <si>
    <t>Englewood</t>
  </si>
  <si>
    <t>Liquid Robotics</t>
  </si>
  <si>
    <t>http://liquidr.com</t>
  </si>
  <si>
    <t>Liquid Robotics provides data services with Wave Glider, a marine robot that helps address climate change, national security, and offshore energy and resource management.</t>
  </si>
  <si>
    <t>Loqate-Inc</t>
  </si>
  <si>
    <t>www.loqate.com</t>
  </si>
  <si>
    <t>Accurately Capture, Verify, and Geocode Any Address Worldwide</t>
  </si>
  <si>
    <t>Geospatial/mapping ;USA;National</t>
  </si>
  <si>
    <t>Geoff Roach</t>
  </si>
  <si>
    <t>geoff.roach@loqate.com</t>
  </si>
  <si>
    <t>Mango Transit</t>
  </si>
  <si>
    <t>http://www.windowsphone.com/en-us/store/app/mango-transit/34083d75-dca6-4631-99be-4f9a3813dd73</t>
  </si>
  <si>
    <t>Mango Transit is an advanced public transit app for Windows Phone.</t>
  </si>
  <si>
    <t>MapBox</t>
  </si>
  <si>
    <t>mapbox.com</t>
  </si>
  <si>
    <t>Mapbox is an open source platform for designing and publishing maps and geographical data for both mobile and on the web.</t>
  </si>
  <si>
    <t>Demographics and social;USA;National | Economics;USA;National | Agriculture;USA;National | Geospatial/mapping;USA;National</t>
  </si>
  <si>
    <t>Chris Herwig</t>
  </si>
  <si>
    <t>chris@mapbox.com</t>
  </si>
  <si>
    <t>MapData</t>
  </si>
  <si>
    <t>http://mapdata.com.mx/</t>
  </si>
  <si>
    <t>Agriculture;MEX;National | Consumer;MEX;National | Social and demographics;MEX;National | Economics;MEX;National | Business;MEX;National | Finance;MEX;National | Manufacturing;MEX;National | Geospatial/mapping;MEX;National | Government operations;MEX;National | Health/healthcare;MEX;National | Public safety;MEX;National | Environment;MEX;National | Education;MEX;National | Legal;MEX;National | Transportation;MEX;National | Housing;MEX;National | Energy;MEX;National | Weather;MEX;National</t>
  </si>
  <si>
    <t>Maponics</t>
  </si>
  <si>
    <t>http://www.maponics.com/</t>
  </si>
  <si>
    <t>Maponics specializes in location-based data and information for businesses, including School, Neighborhood, Subdivision, Shopping, College Campus, City, ZIP Code, and Carrier Route Boundaries.</t>
  </si>
  <si>
    <t>White River Junction</t>
  </si>
  <si>
    <t>VT</t>
  </si>
  <si>
    <t>MapQuest</t>
  </si>
  <si>
    <t>http://www.mapquest.com</t>
  </si>
  <si>
    <t>MapQuest helps more than 40MM people per month, providing tools for Internet and mobile users, developers, and businesses.</t>
  </si>
  <si>
    <t>Geospatial/mapping;USA;National | Transportation;USA;National</t>
  </si>
  <si>
    <t>Marinexplore-Inc</t>
  </si>
  <si>
    <t>www.marinexplore.com</t>
  </si>
  <si>
    <t>Marinexplore has built the ocean's big data platform, making sense of 4-dimensional marine data at scale.</t>
  </si>
  <si>
    <t>Kalle Kägi</t>
  </si>
  <si>
    <t>kalle@marinexplore.com</t>
  </si>
  <si>
    <t>Navico</t>
  </si>
  <si>
    <t>www.navico.com</t>
  </si>
  <si>
    <t>Navico is the world’s largest marine electronics company, and is the parent company to leading marine electronics brands: Lowrance, Simrad and B&amp;G.</t>
  </si>
  <si>
    <t>Nashua</t>
  </si>
  <si>
    <t>NH</t>
  </si>
  <si>
    <t>Rus Graham</t>
  </si>
  <si>
    <t>rgraham@rushtongregory.com</t>
  </si>
  <si>
    <t>New-Media-Parents</t>
  </si>
  <si>
    <t>http://mommaps.com/</t>
  </si>
  <si>
    <t>Mom Maps helps you find kid friendly locations on the go! Search an extensive list of parks, playgrounds, restaurants, museums and indoor play areas.</t>
  </si>
  <si>
    <t>Jill Seman</t>
  </si>
  <si>
    <t>jill_seman@yahoo.com</t>
  </si>
  <si>
    <t>OnStar</t>
  </si>
  <si>
    <t>https://www.onstar.com/web/portal/home?g=1</t>
  </si>
  <si>
    <t>OnStar uses CDMA mobile voice and data communication, and location information, to enable drivers and passengers to receive emergency services, vehicle diagnostics and directions.</t>
  </si>
  <si>
    <t>Warren</t>
  </si>
  <si>
    <t>Photomapping</t>
  </si>
  <si>
    <t>Pitney Bowes</t>
  </si>
  <si>
    <t>PolicyMap</t>
  </si>
  <si>
    <t>policymap.com</t>
  </si>
  <si>
    <t>PolicyMap is a web-based GIS and mapping company that captures and visualizes data including demographics, health data, mortgage trends, school performance scores, and crime statistics.</t>
  </si>
  <si>
    <t>Demographics and social;USA;Regional | Transportation;USA;Regional</t>
  </si>
  <si>
    <t>Elizabeth Nash</t>
  </si>
  <si>
    <t>elizabeth.nash@policymap.com</t>
  </si>
  <si>
    <t>Position Partners</t>
  </si>
  <si>
    <t>Rand McNally</t>
  </si>
  <si>
    <t>http://www.randmcnally.com/</t>
  </si>
  <si>
    <t>Rand McNally specializes in maps, navigation, road travel, and trip planning; it provides products and services for consumers, the transportation market, and educators.</t>
  </si>
  <si>
    <t>Skokie</t>
  </si>
  <si>
    <t>SIBA</t>
  </si>
  <si>
    <t>Spatial Jobs online</t>
  </si>
  <si>
    <t>Spatial Source</t>
  </si>
  <si>
    <t>Stamen Design</t>
  </si>
  <si>
    <t>http://stamen.com/</t>
  </si>
  <si>
    <t>Stamen Design specializes in an emerging genre of interactive mapping and live data visualization.</t>
  </si>
  <si>
    <t>Telenav</t>
  </si>
  <si>
    <t>http://www.telenav.com/</t>
  </si>
  <si>
    <t>Telenav's navigation services help people make decisions about where to go, when to leave, how to get there, and what to do when they arrive.</t>
  </si>
  <si>
    <t>UbÃ­calas</t>
  </si>
  <si>
    <t>http://www.ubicalas.com/</t>
  </si>
  <si>
    <t>Consumer;MEX;National | Business;MEX;National | Finance;MEX;National | Manufacturing;MEX;National | Geospatial/mapping;MEX;National | Government operations;MEX;National | Health/healthcare;MEX;National | Public safety;MEX;National | Education;MEX;National | Legal;MEX;National | Tourism;MEX;National | Housing;MEX;National</t>
  </si>
  <si>
    <t>Urban-Mapping-Inc</t>
  </si>
  <si>
    <t>http://www.urbanmapping.com/</t>
  </si>
  <si>
    <t>Urban Mapping offers 'embedded geographic technology,'  offering spatial operations (create maps, generate reports, etc...) using an on-demand collection of data, which includes over 10,000 variables.</t>
  </si>
  <si>
    <t>Geospatial/mapping;USA;Regional</t>
  </si>
  <si>
    <t>Ian White</t>
  </si>
  <si>
    <t>ian@urbanmapping.com</t>
  </si>
  <si>
    <t>Vizzuality</t>
  </si>
  <si>
    <t>vizzuality.com</t>
  </si>
  <si>
    <t>Vizzuality is a mission-driven company that tries to help people communicate data to tell stories that matter.</t>
  </si>
  <si>
    <t>Andrew Hill</t>
  </si>
  <si>
    <t>andrew@vizzuality.com</t>
  </si>
  <si>
    <t>YourMapper</t>
  </si>
  <si>
    <t>http://www.yourmapper.com</t>
  </si>
  <si>
    <t>YourMapper provides curated civic open geodata for your applications on demand.</t>
  </si>
  <si>
    <t>Louisville</t>
  </si>
  <si>
    <t>KY</t>
  </si>
  <si>
    <t>Environment;USA;National | Transportation;USA;National | Public safety;USA;Regional | Education;USA;National | Agriculture;USA;National | Health/healthcare;USA;National | Transportation;USA;Regional</t>
  </si>
  <si>
    <t>Michael Schnuerle</t>
  </si>
  <si>
    <t>michael@yourmapper.com</t>
  </si>
  <si>
    <t>MapIt</t>
  </si>
  <si>
    <t>http://global.mapit.mysociety.org/</t>
  </si>
  <si>
    <t>MapIt is a service that maps geographical points to administrative areas. </t>
  </si>
  <si>
    <t>Transparencia Mexicana</t>
  </si>
  <si>
    <t>http://www.tm.org.mx/</t>
  </si>
  <si>
    <t>Social and demographics;MEX;National | Economics;MEX;National | Geospatial/mapping;MEX;National | Government operations;MEX;National</t>
  </si>
  <si>
    <t>Accela</t>
  </si>
  <si>
    <t>http://www.accela.com</t>
  </si>
  <si>
    <t>Accela improves citizen engagement by making it easier to do government business, driving civic innovation and improving transparency, accuracy and accountability. Accela provides civic engagement solutions for government.The Accela Civic Platform, which includes open APIs and mobile apps, enables and improves core processes for city, county, state and federal governments.</t>
  </si>
  <si>
    <t>San Ramon</t>
  </si>
  <si>
    <t>Health/healthcare
;USA;national | Housing;USA;national | Public safety;USA;national |  </t>
  </si>
  <si>
    <t>http://www.accela.com/</t>
  </si>
  <si>
    <t>Access to Information Programme</t>
  </si>
  <si>
    <t>http://www.aip-bg.org/en/about/</t>
  </si>
  <si>
    <t>An audit on institutional web sites to evaluate how the executive bodies fulfill their obligations for proactive publication of information online under the Access to Public Information Act (APIA) and other legal regulations and to assess their readiness to respond to electronic requests. On the base of the audit indicators, AIP has launched an annual Active Transparency Rating of Bulgarian institutions.</t>
  </si>
  <si>
    <t>BGR</t>
  </si>
  <si>
    <t>Diana Bancheva</t>
  </si>
  <si>
    <t>diana@aip-bg.org</t>
  </si>
  <si>
    <t>Accountability Initiative</t>
  </si>
  <si>
    <t>http://www.accountabilityindia.in/</t>
  </si>
  <si>
    <t>Accountability Initiative seeks to improve the quality of India’s public services by promoting informed and accountable governance. Accountability Initiative is a research initiative that works to address this challenge. 
</t>
  </si>
  <si>
    <t>Yamini Aiyar</t>
  </si>
  <si>
    <t>info@accountabilityindia.org, yaiyar@accountabilityindia.org</t>
  </si>
  <si>
    <t>http://www.accountabilityindia.in/about-us</t>
  </si>
  <si>
    <t>Aunt-Bertha-Inc</t>
  </si>
  <si>
    <t>auntbertha.com</t>
  </si>
  <si>
    <t>Aunt Bertha picks up where Uncle Sam leaves off by making it easy to find and apply for government and charitable social service programs.</t>
  </si>
  <si>
    <t>Stuart Scruggs</t>
  </si>
  <si>
    <t>stu@auntbertha.com</t>
  </si>
  <si>
    <t>BizVizz</t>
  </si>
  <si>
    <t>http://bizvizz.com</t>
  </si>
  <si>
    <t>BizVizz gives ordinary people corporate citizenship metrics by allowing them to see shareable tax data, jobs data, and other financial information hidden in regulatory documents.</t>
  </si>
  <si>
    <t>Milwaukee</t>
  </si>
  <si>
    <t>CitySourced</t>
  </si>
  <si>
    <t>http://www.citysourced.com/</t>
  </si>
  <si>
    <t>CitySourced is a real time, mobile civic engagement platform that lets residents easily interact with their government.</t>
  </si>
  <si>
    <t>Andrew Kirk</t>
  </si>
  <si>
    <t>andrew@citysourced.com</t>
  </si>
  <si>
    <t>Civic-Impulse-LLC</t>
  </si>
  <si>
    <t>https://www.govtrack.us/civicimpulse</t>
  </si>
  <si>
    <t>Civic Impulse builds tools that foster civic participation, civic education and government transparency, and works with governments on improving government data policy.</t>
  </si>
  <si>
    <t>Government operations;USA;National</t>
  </si>
  <si>
    <t>Joshua Tauberer</t>
  </si>
  <si>
    <t>tauberer@govtrack.us</t>
  </si>
  <si>
    <t>Civinomics</t>
  </si>
  <si>
    <t>civinomics.com</t>
  </si>
  <si>
    <t>Civinomics is an online platform that provides a platform where people can civically engage on issues that matter to them.</t>
  </si>
  <si>
    <t>Santa Cruz</t>
  </si>
  <si>
    <t>Manu Koenig</t>
  </si>
  <si>
    <t>manu@civinomics.com</t>
  </si>
  <si>
    <t>Cloudspyre</t>
  </si>
  <si>
    <t>http://www.cloudspyre.com</t>
  </si>
  <si>
    <t>Cloudspyre is a software development company and creator of Gender Gap, an award-winning app developed with Department of Labor data on gender inequality in compensation.</t>
  </si>
  <si>
    <t>Bristow</t>
  </si>
  <si>
    <t>Stephen Jernigan</t>
  </si>
  <si>
    <t>steve@cloudspyre.com</t>
  </si>
  <si>
    <t>Code-for-America</t>
  </si>
  <si>
    <t>http://codeforamerica.org</t>
  </si>
  <si>
    <t>Code for America helps residents and governments harness technology to solve problems; a government truly by the people, for the people, in the 21st century.</t>
  </si>
  <si>
    <t>Lauren Reid</t>
  </si>
  <si>
    <t>lr@codeforamerica.org</t>
  </si>
  <si>
    <t>DataMade</t>
  </si>
  <si>
    <t>http://datamade.us</t>
  </si>
  <si>
    <t>Datamade deploys civic apps, builds custom visualizations, and trains people to work with open data.</t>
  </si>
  <si>
    <t>Public safety;USA;Regional | Government operations;USA;Regional</t>
  </si>
  <si>
    <t>Derek Eder</t>
  </si>
  <si>
    <t>info@datamade.us</t>
  </si>
  <si>
    <t>Department-of-Better-Technology</t>
  </si>
  <si>
    <t>dobt.co</t>
  </si>
  <si>
    <t>We make great software for government.</t>
  </si>
  <si>
    <t>Sid Burgess</t>
  </si>
  <si>
    <t>sid@dobt.co</t>
  </si>
  <si>
    <t>Development-Seed</t>
  </si>
  <si>
    <t>developmentseed.org</t>
  </si>
  <si>
    <t>Development Seed helps governments, NGOs, and development agencies to solve complex issues with open data and open technologies.</t>
  </si>
  <si>
    <t>Demographics and social;USA;National | International/global development;USA;National</t>
  </si>
  <si>
    <t>Ian Schuler</t>
  </si>
  <si>
    <t>ian@developmentseed.org</t>
  </si>
  <si>
    <t>Edo State ICT Agency</t>
  </si>
  <si>
    <t>http://reboot.org/case-studies/open-data-for-public-service-delivery-nigeria/</t>
  </si>
  <si>
    <t>In September 2013, Edo State launched an open data portal, the first state government in Nigeria and first sub-national government in Africa to do so, to similar challenges. In particular, limited capacity to manage data, along with limited political support to access data across government departments hampered Edo State’s Open Data Team in fulfilling their mandate. The World Bank engaged Reboot to help this team within the ICT Agency secure political support for its initiatives within government and to grow its capabilities for working with open data.</t>
  </si>
  <si>
    <t>Zack Brisson</t>
  </si>
  <si>
    <t>zack@reboot.org</t>
  </si>
  <si>
    <t>After only a few months, the Open Data Team was already working across government agencies and with many senior state officials to gather, aggregate, and present government data to assist in decision-making. Building on these successes, the Open Data Team identified other state priorities and areas of concern where open data could prove useful. These activities led to the state governor mandating, within six months of our engagement, that all state agencies must make their data open and available. The success of the Open Data Team has also attracted additional resources from both the federal government and international donors to continue its mandate.</t>
  </si>
  <si>
    <t>eGob (Blue Ocean Technologies)</t>
  </si>
  <si>
    <t>http://www.blueoceantech.com.mx/</t>
  </si>
  <si>
    <t>Geospatial/mapping;MEX;National | Government operations;MEX;National | Housing;MEX;National</t>
  </si>
  <si>
    <t>Garoa Kultur Lab</t>
  </si>
  <si>
    <t>Osoigo.com</t>
  </si>
  <si>
    <t>8 months have passed since we launched Osoigo.com. A website where citizens formulate their political question, and politicians responds . An exercise in transparency and public communication. Osoigo.com works this way: A citizen asks a question, and Osoigo tells him the amount of supports needed to reach in 10 days. When the question gets the required amount of supports, Osoigo sends it to the politician, who is committed to answer it. When politician answers the question, the answer it sent to all the users who have supported the question.</t>
  </si>
  <si>
    <t>Eneko Agirre</t>
  </si>
  <si>
    <t>eneko@osoigo.com</t>
  </si>
  <si>
    <t>Osoigo.com works this way: A citizen asks a question, and Osoigo tells him the amount of supports needed to reach in 10 days. When the question gets the required amount of supports, Osoigo sends it to the politician, who is committed to answer it. When politician answers the question, the answer it sent to all the users who have supported the question.</t>
  </si>
  <si>
    <t>Glassy Media</t>
  </si>
  <si>
    <t>http://www.glassymedia.com/</t>
  </si>
  <si>
    <t>Glassy Media is a production company hatched out of the MIT Media Lab that makes tools to help people connect with information and facilitate transparency.</t>
  </si>
  <si>
    <t>Government Operations;USA;National</t>
  </si>
  <si>
    <t>Gobierno FÃ¡cil</t>
  </si>
  <si>
    <t>http://gobiernofacil.com/</t>
  </si>
  <si>
    <t>Social and demographics;MEX;National | Economics;MEX;National | Finance;MEX;National | Government operations;MEX;National | Public safety;MEX;National | Environment;MEX;National | Education;MEX;National | Tourism;MEX;National | Energy;MEX;National</t>
  </si>
  <si>
    <t>Govini</t>
  </si>
  <si>
    <t>http://www.govini.com</t>
  </si>
  <si>
    <t>Govini transforms big data generated by numerous federal, state, and municipal agencies into tools. analytics and benchmarks that executives need to make informed business decisions.</t>
  </si>
  <si>
    <t>Owen Munford</t>
  </si>
  <si>
    <t>owen@poplicus.com</t>
  </si>
  <si>
    <t>GovTribe</t>
  </si>
  <si>
    <t>govtribe.com</t>
  </si>
  <si>
    <t>GovTribe makes products to help people who are interested in the world of government contracting.</t>
  </si>
  <si>
    <t>Nate Nash</t>
  </si>
  <si>
    <t>nate@govtribe.com</t>
  </si>
  <si>
    <t>Govzilla-Inc</t>
  </si>
  <si>
    <t>fdazilla.com</t>
  </si>
  <si>
    <t>FDAzilla (www.fdazilla.com) provides business intelligence to professionals who work smarter with the FDA.</t>
  </si>
  <si>
    <t>Yorkville</t>
  </si>
  <si>
    <t>Tony Chen</t>
  </si>
  <si>
    <t>tony@fdazilla.com</t>
  </si>
  <si>
    <t>Granicus</t>
  </si>
  <si>
    <t>http://www.granicus.com</t>
  </si>
  <si>
    <t>Granicus provides cloud-based technologies for government transparency, legislative efficiency, and citizen engagement.</t>
  </si>
  <si>
    <t>GuideStar</t>
  </si>
  <si>
    <t>http://www.guidestar.org</t>
  </si>
  <si>
    <t>GuideStar's mission is to revolutionize philanthropy by providing information that advances transparency, enables users to make better decisions, and encourages charitable giving.</t>
  </si>
  <si>
    <t>Lindsay Nichols</t>
  </si>
  <si>
    <t>lnichols@guidestar.org</t>
  </si>
  <si>
    <t>LegCyte</t>
  </si>
  <si>
    <t>http://www.legcyte.com</t>
  </si>
  <si>
    <t>LegCyte leverages technology to make legislation easier to understand and generates legislative insight and analytics and makes information sharing simple.</t>
  </si>
  <si>
    <t>Shawn McGhie</t>
  </si>
  <si>
    <t>scmcghie@gmail.com</t>
  </si>
  <si>
    <t>LegiNation-Inc</t>
  </si>
  <si>
    <t>http://www.billtrack50.com/</t>
  </si>
  <si>
    <t>LegiNation, Inc was founded to make state level legislation more readily available to professionals who need it and, more importantly, to the public at large.</t>
  </si>
  <si>
    <t>Karen Suhaka</t>
  </si>
  <si>
    <t>Karen@LegiNation.com</t>
  </si>
  <si>
    <t>LegiStorm</t>
  </si>
  <si>
    <t>http://www.legistorm.com/</t>
  </si>
  <si>
    <t>LegiStorm is an online source for Congressional staff salaries, financial disclosures, trips, gifts and earmarks.</t>
  </si>
  <si>
    <t>Malawi Election Information Centre</t>
  </si>
  <si>
    <t>http://malawivote2014.org</t>
  </si>
  <si>
    <t>In partnerships with the Malawi Electoral Commission, GotToVote!Malawi (http://gottovote.malawivote2014.org/) would liberate government information to make it more easily accessible to the Malawi’s electorate. The initiative received assistance from Code for Africa(http://www.codeforafrica.org/), Hivos International (http://www.hivos.org/), the Open Society Initiative of Southern Africa (http://www.osisa.org/) and a consortium of Malawian civic organizations. Results - helped nearly 300,000 citizens verify their voter status ahead of the election. By using the system, another 46,000 Malawians discovered they had either not yet registered or had issues with registration details.</t>
  </si>
  <si>
    <t>Limbe</t>
  </si>
  <si>
    <t>MWI</t>
  </si>
  <si>
    <t>government operations; Malawi; national</t>
  </si>
  <si>
    <t>Munetrix</t>
  </si>
  <si>
    <t>www.munetrix.com</t>
  </si>
  <si>
    <t>Munetrix is a web-based information source designed to give easy-to-understand access financial information for municipal governments and school districts in a publicly accessible website.</t>
  </si>
  <si>
    <t>Auburn Hills</t>
  </si>
  <si>
    <t>Demographics and social;USA;National | Legal;USA;National | null;USA;Regional</t>
  </si>
  <si>
    <t>Bob Kittle</t>
  </si>
  <si>
    <t>bob@munetrix.com</t>
  </si>
  <si>
    <t>nGAP-Incorporated</t>
  </si>
  <si>
    <t>ngap.com</t>
  </si>
  <si>
    <t>nGAP develops Cloud based SaaS solutions with a focus on accountability and transparency in government procurement, including the flagship product, the Open Acquisition System (OAS).</t>
  </si>
  <si>
    <t>Bonsall</t>
  </si>
  <si>
    <t>Mark Beninger</t>
  </si>
  <si>
    <t>mark@ngap.com</t>
  </si>
  <si>
    <t>NuCivic</t>
  </si>
  <si>
    <t>http://www.nucivic.com</t>
  </si>
  <si>
    <t>NuCivic delivers a suite of open source products that help governments and non-profit organizations host and manage open data, app store, hackathon platforms.</t>
  </si>
  <si>
    <t>Housing;USA;National | null;USA;Regional</t>
  </si>
  <si>
    <t>Andrew Hoppin</t>
  </si>
  <si>
    <t>andrew@nucivic.com</t>
  </si>
  <si>
    <t>Onvia</t>
  </si>
  <si>
    <t>http://www.onvia.com</t>
  </si>
  <si>
    <t>From current and future bidding opportunities, to agency and competitive insights, Onvia gives companies the intelligence they need to win more government business.</t>
  </si>
  <si>
    <t>Kelsey Voss</t>
  </si>
  <si>
    <t>kvoss@onvia.com</t>
  </si>
  <si>
    <t>OpenCounter</t>
  </si>
  <si>
    <t>http://opencounter.us</t>
  </si>
  <si>
    <t>OpenCounter helps entrepreneurs get their businesses up and running more quickly and easily by providing an online interface to the permitting process at City Hall.</t>
  </si>
  <si>
    <t>Peter Koht</t>
  </si>
  <si>
    <t>hello@opencounter.us</t>
  </si>
  <si>
    <t>OpenGov</t>
  </si>
  <si>
    <t>http://opengov.com</t>
  </si>
  <si>
    <t>OpenGov enables officials and citizens to access government financial data so they can improve trust and dialogue between cities and citizens.</t>
  </si>
  <si>
    <t>Dev Iyer</t>
  </si>
  <si>
    <t>diyer@opengov.com</t>
  </si>
  <si>
    <t>OpenPlans</t>
  </si>
  <si>
    <t>http://openplans.org</t>
  </si>
  <si>
    <t>OpenPlans builds open source civic infrastructure, collaborating with the public sector to create technology for more efficient, responsive, and inclusive government.</t>
  </si>
  <si>
    <t>optiGov</t>
  </si>
  <si>
    <t>optigov.com</t>
  </si>
  <si>
    <t>OptiGov allows citizens to monitor local government spending and helps governments find the best vendors at the most reasonable cost.</t>
  </si>
  <si>
    <t>Yoshi Manale</t>
  </si>
  <si>
    <t>manaleo@gmail.com</t>
  </si>
  <si>
    <t>Outline</t>
  </si>
  <si>
    <t>http://outline.com</t>
  </si>
  <si>
    <t>Outline Systems is an Insurance Technology firm that helps Insurers grow by improving the efficiency and effectiveness of their distribution channels.</t>
  </si>
  <si>
    <t>Somerset</t>
  </si>
  <si>
    <t>Personal-Democracy-Media</t>
  </si>
  <si>
    <t>http://personaldemocracy.com</t>
  </si>
  <si>
    <t>Personal Democracy Media covers how technology and the Internet are changing democracy in America.</t>
  </si>
  <si>
    <t>Micah Sifry</t>
  </si>
  <si>
    <t>info@personaldemocracy.com</t>
  </si>
  <si>
    <t>Philippine Public Transparency Reporting Project</t>
  </si>
  <si>
    <t>http://www.transparencyreporting.net/</t>
  </si>
  <si>
    <t>The project publishes reports on issues surrounding transparency, accountability and corruption, and encourages Filipino citizens to use text, photos and videos to report times when they are asked for bribes. The project engages in investigative reporting based on these crowdsourced submissions and launches campaigns to promote specific legal changes or transparency practices in the Philippines, such as a making government officials’ Statements of Assets and Liabilities and Net Worth available online or preventing politicians from posting photos of themselves on billboards near new public infrastructure and public services.</t>
  </si>
  <si>
    <t>Alan Davis, Rorie Fajardo</t>
  </si>
  <si>
    <t>The goal is to “put under the public spotlight important issues such as control and management of the nation’s public wealth — and keep them there" and combat corruption.</t>
  </si>
  <si>
    <t>Politify</t>
  </si>
  <si>
    <t>http://www.politify.us</t>
  </si>
  <si>
    <t>Politify is a tool to forecast the financial impacts of political scenarios.</t>
  </si>
  <si>
    <t>POPVOX</t>
  </si>
  <si>
    <t>popvox.com</t>
  </si>
  <si>
    <t>POPVOX.com is a transformative advocacy platform that meshes legislative data with personal stories and public sentiment.</t>
  </si>
  <si>
    <t>Marci Harris</t>
  </si>
  <si>
    <t>marci@popvox.com</t>
  </si>
  <si>
    <t>ProPublica</t>
  </si>
  <si>
    <t>http://www.propublica.org/</t>
  </si>
  <si>
    <t>ProPublica is an independent, non-profit newsroom that produces investigative journalism in the public interest.</t>
  </si>
  <si>
    <t>Paul Steiger</t>
  </si>
  <si>
    <t>paul.steiger@propublica.org</t>
  </si>
  <si>
    <t>PublicEngines</t>
  </si>
  <si>
    <t>http://www.publicengines.com/</t>
  </si>
  <si>
    <t>PublicEngines' mission is to help prevent, reduce, and solve crime with easy-to-use, cloud-based solutions that facilitate crime analysis, supply actionable intelligence, and increase public engagement.</t>
  </si>
  <si>
    <t>Draper</t>
  </si>
  <si>
    <t>UT</t>
  </si>
  <si>
    <t>Remi</t>
  </si>
  <si>
    <t>www.remi.com</t>
  </si>
  <si>
    <t>Remi uses quantitative economic analysis to guide policy decisions.</t>
  </si>
  <si>
    <t>Amherst</t>
  </si>
  <si>
    <t>Revelstone</t>
  </si>
  <si>
    <t>http://www.revelstonelabs.com</t>
  </si>
  <si>
    <t>Revelstone provides a web-based performance analytics, benchmarking and open data platform to enable data driven decisions.</t>
  </si>
  <si>
    <t>Parsippany</t>
  </si>
  <si>
    <t>Mark Nelson</t>
  </si>
  <si>
    <t>mnelson@revelstonelabs.com</t>
  </si>
  <si>
    <t>SeeClickFix</t>
  </si>
  <si>
    <t>en.seeclickfix.com</t>
  </si>
  <si>
    <t>SeeClickFix allows anyone to report and track non-emergency issues anywhere via the internet, empowering citizens, community groups, media organizations and governments to improve their neighborhoods.</t>
  </si>
  <si>
    <t>New Haven</t>
  </si>
  <si>
    <t>Kam Lasater</t>
  </si>
  <si>
    <t>kam@seeclickfix.com</t>
  </si>
  <si>
    <t>Sinergantara</t>
  </si>
  <si>
    <t>http://sinergantara.or.id/</t>
  </si>
  <si>
    <t>Sinergantara is a non-government organization that works in analysis and providing knowledge on development policies and practices. Sinergantara concentrates on governance, social development, and information technology issues. Sinergantara activities focus on designing, evaluating, and learning on organization, programs and public policies. </t>
  </si>
  <si>
    <t>Jawa Barat</t>
  </si>
  <si>
    <t>new: Titled "Game My Village" this game boosts citizen engagement and government transparency by inviting citizens to develop a village using real data. The initiative will be piloted in a total of four villages and so far, the platform has been created and a pilot tested in the village of Bojenegoro with support of local government officials. Ultimately, by involving citizens in local planning and budgeting - and making them part of the design process - the project aims to secure greater citizen engagement and government responsiveness.</t>
  </si>
  <si>
    <t>Carol Morgan</t>
  </si>
  <si>
    <t>cmorgan@hivos.org</t>
  </si>
  <si>
    <t>SmartProcure</t>
  </si>
  <si>
    <t>http://smartprocure.us/</t>
  </si>
  <si>
    <t>SmartProcure improves government procurement by connecting government agencies to contractors with a database of government purchase data.</t>
  </si>
  <si>
    <t>Deerfield Beach</t>
  </si>
  <si>
    <t>Craig Calvert</t>
  </si>
  <si>
    <t>ccalvert@smartprocure.us</t>
  </si>
  <si>
    <t>SocialEffort-Inc</t>
  </si>
  <si>
    <t>http://socialeffort.co/</t>
  </si>
  <si>
    <t>SocialEffort's mission is to enable charities, non profits, and businesses to seamlessly integrate volunteering into people's lifestyles.</t>
  </si>
  <si>
    <t>Alim Williams</t>
  </si>
  <si>
    <t>alim@socialeffort.co</t>
  </si>
  <si>
    <t>SpotCrime</t>
  </si>
  <si>
    <t>www.spotcrime.com</t>
  </si>
  <si>
    <t>SpotCrime is a public facing crime mapping and alert website that utilizes open crime data to inform residents of crime in their area.</t>
  </si>
  <si>
    <t>Brittany Suszan</t>
  </si>
  <si>
    <t>Brittany@SpotCrime.com</t>
  </si>
  <si>
    <t>StreetCred-Software-Inc</t>
  </si>
  <si>
    <t>streetcredsoftware.com</t>
  </si>
  <si>
    <t>StreetCred is a software-as-a-service offering created by police officers who understand how police officers use information, data and leads.</t>
  </si>
  <si>
    <t>Southlake</t>
  </si>
  <si>
    <t>Nick Selby</t>
  </si>
  <si>
    <t>nick.selby@streetcredsoftware.com</t>
  </si>
  <si>
    <t>Commission for Prevention of Corruption</t>
  </si>
  <si>
    <t>http://supervizor.kpk-rs.si/</t>
  </si>
  <si>
    <t>Ljubjana</t>
  </si>
  <si>
    <t>SVN</t>
  </si>
  <si>
    <t>governance</t>
  </si>
  <si>
    <t>government operations; Slovenia; national</t>
  </si>
  <si>
    <t>new: A search engine created to allow for better monitoring of public expenditure in Slovenia.</t>
  </si>
  <si>
    <t>TransparaGov</t>
  </si>
  <si>
    <t>http://www.TransparaGov.com/</t>
  </si>
  <si>
    <t>TransparaGov helps state and local governments improve their management processes.</t>
  </si>
  <si>
    <t>VitalChek</t>
  </si>
  <si>
    <t>https://www.vitalchek.com/</t>
  </si>
  <si>
    <t>VitalChek provides an affordable and reliable way to obtain government-issued vital records such as birth certificates and online services government agencies.</t>
  </si>
  <si>
    <t>Votizen</t>
  </si>
  <si>
    <t>www.votizen.com</t>
  </si>
  <si>
    <t>Votizen is a web service that allows you to discover how your social networks are registered to vote.</t>
  </si>
  <si>
    <t>Xcential</t>
  </si>
  <si>
    <t>xcential.com</t>
  </si>
  <si>
    <t>Xcential is a vendor of legislative products and services to governmental bodies at all levels.</t>
  </si>
  <si>
    <t>Encinitas</t>
  </si>
  <si>
    <t>Ari Hershowitz</t>
  </si>
  <si>
    <t>arihershowitz@xcential.com</t>
  </si>
  <si>
    <t>Code for Europe</t>
  </si>
  <si>
    <t>http://codeforeurope.net/</t>
  </si>
  <si>
    <t>Code for Europe strives to solve local civic challenges, by enabling agile temporary teams of developers to create solutions that are easily reuseable in other European cities.</t>
  </si>
  <si>
    <t>EUR</t>
  </si>
  <si>
    <t>http://codeforall.org/</t>
  </si>
  <si>
    <t>info@codeforeurope.net</t>
  </si>
  <si>
    <t>Code for Germany</t>
  </si>
  <si>
    <t>http://codefor.de/</t>
  </si>
  <si>
    <t>Code for Germany is a program of the Open Knowledge Foundation Germany in partnership with Code For America . The aim of the program is to promote developments in the area of transparency, open data and Civic Tech. </t>
  </si>
  <si>
    <t>Berlin</t>
  </si>
  <si>
    <t>Julia Kloiber (Project Management)</t>
  </si>
  <si>
    <t>mail@juliakloiber.com</t>
  </si>
  <si>
    <t>Code for Ghana</t>
  </si>
  <si>
    <t>http://www.codeforghana.org/</t>
  </si>
  <si>
    <t>Code for Ghana is part of the Code for Africa initiative which aims to use open data and technology to promote responsive, innovative and effective governance.</t>
  </si>
  <si>
    <t>Madina</t>
  </si>
  <si>
    <t>Florence Toffa (Project Manager)</t>
  </si>
  <si>
    <t>florence.toffa@codeforghana.org</t>
  </si>
  <si>
    <t>233 26 7777 87</t>
  </si>
  <si>
    <t>Code for Ireland</t>
  </si>
  <si>
    <t>http://codeforireland.com/</t>
  </si>
  <si>
    <t>Code for Ireland are building interdisciplinary teams of marketers, designers, developers and OpenGov specialists and they design and create apps that will leverage open government datasets and simplify interfaces, hereby empowering citizens.</t>
  </si>
  <si>
    <t>IRL</t>
  </si>
  <si>
    <t>Code for Pakistan</t>
  </si>
  <si>
    <t>http://codeforpakistan.org/</t>
  </si>
  <si>
    <t>Our goal is to bring together civic-minded software developers to use technology to innovate in public services, by creating open source solutions to address the needs of citizens. This is an opportunity for citizens and the private sector to give back to Pakistan by engendering civic innovation.</t>
  </si>
  <si>
    <t>Islamabad</t>
  </si>
  <si>
    <t>PAK</t>
  </si>
  <si>
    <t>info@codeforpakistan.org</t>
  </si>
  <si>
    <t>Code for Poland</t>
  </si>
  <si>
    <t>http://kodujdlapolski.pl/</t>
  </si>
  <si>
    <t>Code for Poland is an interdisciplinary community seeking technological solutions to social problems.</t>
  </si>
  <si>
    <t>Warsaw</t>
  </si>
  <si>
    <t>Krzysztof Madejski (For for Poland Coordinator)</t>
  </si>
  <si>
    <t>krzysztof.madejski@epf.org.pl</t>
  </si>
  <si>
    <t>48 664 082 823</t>
  </si>
  <si>
    <t>Code for South Africa</t>
  </si>
  <si>
    <t>http://code4sa.org/</t>
  </si>
  <si>
    <t>Code for South Africa is a civic technology lab using data and technology to change lives.</t>
  </si>
  <si>
    <t>info@code4sa.org</t>
  </si>
  <si>
    <t>Code for the Caribbean</t>
  </si>
  <si>
    <t>http://www.codeforthecaribbean.org/</t>
  </si>
  <si>
    <t>Code for the Cariibbean  work to deeply understand the technology and service context and jointly brainstorm solutions, all while sharing knowledge and invigorating latent internal government innovators to explore problems and create novel solutions.</t>
  </si>
  <si>
    <t>Code for the Netherlands</t>
  </si>
  <si>
    <t>http://www.codefor.nl/</t>
  </si>
  <si>
    <t>Code for NL place innovative people with technical skills (semi) governments to work on concrete solutions to social problems</t>
  </si>
  <si>
    <t>Codeando México</t>
  </si>
  <si>
    <t>Codeando México es una plataforma digital de innovación abierta, que convoca talento a través de la publicación de retos para resolver problemas específicos de impacto social.</t>
  </si>
  <si>
    <t>CodeNamu</t>
  </si>
  <si>
    <t>http://codenamu.org/</t>
  </si>
  <si>
    <t>CodeNamu is an open community of citizens spontaneously gathered to realize open government.About the case of a foreign national, and even translate related books, and a variety of ideas and open community-oriented services it is being created.</t>
  </si>
  <si>
    <t>Seoul</t>
  </si>
  <si>
    <t>KOR</t>
  </si>
  <si>
    <t>Codigo para la Ciudad de Mexico</t>
  </si>
  <si>
    <t>http://codigo.labplc.mx/</t>
  </si>
  <si>
    <t>Code for Mexico City (Código.CDMX) is a program of nine months where a group of programmers, and volunteer brigade work closely with agencies of the Federal District to design, develop and implement digital solutions aimed at promoting open source and strengthen the interaction between citizens and government.</t>
  </si>
  <si>
    <t>g0v.tw</t>
  </si>
  <si>
    <t>http://g0v.tw/en-US/index.html</t>
  </si>
  <si>
    <t>g0v.tw is an online community that pushes information transparency, focusing on developing information platform and tools for the citizens to participate in society</t>
  </si>
  <si>
    <t>OffenerHaushalt / Openspending</t>
  </si>
  <si>
    <t>http://offenerhaushalt.de/</t>
  </si>
  <si>
    <t>OffenerHaushalt.de a voluntary project is Open Knowledge Foundation Germany eV The project is based on official data of the Ministry of Finance and other agencies, but is independent of the government.</t>
  </si>
  <si>
    <t>Constituciön.al</t>
  </si>
  <si>
    <t>http://www.constitucion.al/</t>
  </si>
  <si>
    <t>Constitucion.al is an independent project, nonprofit organization without political affiliations that seeks to facilitate access to the fundamental principles of Argentina and its provinces. Promoting dissemination through the use of new technologies.</t>
  </si>
  <si>
    <t>muchogusto@constitucion.al</t>
  </si>
  <si>
    <t>Participa.br</t>
  </si>
  <si>
    <t>http://www.participa.br/</t>
  </si>
  <si>
    <t>The Participa.br is the Portal of Social Participation. It is more a space for social participation in Brazil, listening and dialogue between the Federal Government and civil society. </t>
  </si>
  <si>
    <t>Irekia </t>
  </si>
  <si>
    <t>http://www.irekia.euskadi.eus/</t>
  </si>
  <si>
    <t>This is the Open Gov portal of the Basque Country for civic participation, with information and apps to visually show electoral outcomes and budget.</t>
  </si>
  <si>
    <t>Adhocracy</t>
  </si>
  <si>
    <t>https://adhocracy.de/</t>
  </si>
  <si>
    <t>Adhocracy.de is a free to use participation platform which enables a democratic, transparent, open, and goal-oriented dialogue.</t>
  </si>
  <si>
    <t>The State Decoded </t>
  </si>
  <si>
    <t>http://www.statedecoded.com/</t>
  </si>
  <si>
    <t>The State Decoded is a platform to display state codes, court decisions, and information from legislative tracking services to make our laws understandable by regular people. Featuring beautiful typography, embedded definitions of legal terms, and a robust API. </t>
  </si>
  <si>
    <t>La fabrique de la loi</t>
  </si>
  <si>
    <t>http://www.lafabriquedelaloi.fr/</t>
  </si>
  <si>
    <t>"The Factory of the Act" is a collaborative project involving members of Citizens Regards , an association promoting the practice of liberation and reuse of parliamentary information for democratic purposes, and teams of two research laboratories of Sciences Po Paris, the European Studies Centre and médialab.</t>
  </si>
  <si>
    <t>contact@lafabriquedelaloi.fr</t>
  </si>
  <si>
    <t>Ramo 23</t>
  </si>
  <si>
    <t>http://ramo23.com/</t>
  </si>
  <si>
    <t>Ramo 23 is a tool for budget policies that allows people to understand the obligations of the Federal Government, which resources allocations are not within the direct expense of the agencies or entities.</t>
  </si>
  <si>
    <t>howdy@gobiernofacil.com</t>
  </si>
  <si>
    <t>SigaLei</t>
  </si>
  <si>
    <t>http://sigalei.com.br/</t>
  </si>
  <si>
    <t>App that allows the citizen to search and support legislative projects being discussed in the Congress of Brazil from their phones.</t>
  </si>
  <si>
    <t>daniloa.oliveira@gmail.com</t>
  </si>
  <si>
    <t>DemocracyOS</t>
  </si>
  <si>
    <t>http://democracyos.org/</t>
  </si>
  <si>
    <t>DemocracyOS evolved to become one of the most used platforms for collaborative decision-making and it got translated into 15 languages. It has been used in Tunisia to debate its national constitution; by the Federal Government of Mexico to develops its open goverment policy; by the youngest parlamentarian in Kenya to consult his constituency or the Congress of Buenos Aires becoming the first experience on digital democracy in the American continent.</t>
  </si>
  <si>
    <t>Palo Alto </t>
  </si>
  <si>
    <t>GovTrack</t>
  </si>
  <si>
    <t>https://www.govtrack.us</t>
  </si>
  <si>
    <t>GovTrack tracks bills in Congress, your representative’s voting records, upcoming committee meetings, and get alerts by email.</t>
  </si>
  <si>
    <t> hello@govtrack.us</t>
  </si>
  <si>
    <t>Dipudatos</t>
  </si>
  <si>
    <t>http://www.dipudatos.info/</t>
  </si>
  <si>
    <t>Dipudatos sollows and analyzes legislative activity in the Congress of Argentina.</t>
  </si>
  <si>
    <t>dipudatos@universoagora.org</t>
  </si>
  <si>
    <t>Gabinete Digital / Digital Office</t>
  </si>
  <si>
    <t>http://gabinetedigital.rs.gov.br/</t>
  </si>
  <si>
    <t>Digital Office is a participation and dialogue channel between civil society and the government of Rio Grande do Sul. They seeks to get citizens to influence public management and exercise greater social control over the state through innovative mechanisms related to information and communications technology .</t>
  </si>
  <si>
    <t>gabinetedigital@sgg.rs.gov.br</t>
  </si>
  <si>
    <t>Hay Acuerdo? / Is there agreement?</t>
  </si>
  <si>
    <t>http://hayacuerdo.ciudadanointeligente.org/</t>
  </si>
  <si>
    <t>Is there agreement? It is a project of the Smart Citizen Foundation which aims to inform and transparent debate about the major reforms that are currently under way in Chile. Our aim is to encourage citizen participation and empowerment in order to bridge the information gaps. We invite you to comment and review the database of our research and our methodology.</t>
  </si>
  <si>
    <t>Sunlight Foundation</t>
  </si>
  <si>
    <t>www.sunlightfoundation.org</t>
  </si>
  <si>
    <t>The Sunlight Foundation uses cutting-edge technology and ideas to make government transparent and accountable.
</t>
  </si>
  <si>
    <t>Washington </t>
  </si>
  <si>
    <t>Code for Australia</t>
  </si>
  <si>
    <t>http://www.codeforaustralia.org/</t>
  </si>
  <si>
    <t>Code for Australia uses open source technology to make government services more effective and easier to use/access. </t>
  </si>
  <si>
    <t>Alvaro Maz, Executive Director </t>
  </si>
  <si>
    <t>alvaro.maz@codeforaustralia.org</t>
  </si>
  <si>
    <t>Code for Japan</t>
  </si>
  <si>
    <t>http://code4japan.org/</t>
  </si>
  <si>
    <t>"Citizens will mainly , and community building assistance to address the regional problem-solving. It is a non-profit organization to continue to support the activities of emergent actions that utilize the technology .And those who exceed the various positions , for a better future development We will go to " think together , both to create " activities for ."                                                                                                                                                                                         Rough idea from this translation is that Code4Japan is working with open technology to solve regional problems and continue regional development. </t>
  </si>
  <si>
    <t>Tokyo</t>
  </si>
  <si>
    <t>JPN</t>
  </si>
  <si>
    <t>Open Budget Oakland</t>
  </si>
  <si>
    <t>http://openbudgetoakland.org/</t>
  </si>
  <si>
    <t>Open Budget Oakland promotes a deeper understanding of the city budget, so that citizens, officials, and other stakeholders can engage in more informed dialogue about how the City of Oakland currently works and how it should in the future.
</t>
  </si>
  <si>
    <t>EveryPolitician</t>
  </si>
  <si>
    <t>http://everypolitician.org/</t>
  </si>
  <si>
    <t>EveryPolitician is an organization aimed at gathering and providing a publicly available, distributed, open list of all the world’s politicians, in a standardised format.</t>
  </si>
  <si>
    <t>Betri Reykjavik</t>
  </si>
  <si>
    <t>https://betrireykjavik.is/</t>
  </si>
  <si>
    <t>Betri Reykjavik (Better Reykjavik) is a platform used to crowdsource ideas about how to make the Icelandic city better. Citizens can contribute ideas such as more painting classes, expansion of parks etc. </t>
  </si>
  <si>
    <t>Reykjavik</t>
  </si>
  <si>
    <t>ISL</t>
  </si>
  <si>
    <t>Bill Watcher</t>
  </si>
  <si>
    <t>http://billwatcher.sinarproject.org/</t>
  </si>
  <si>
    <t>Malaysian Bill Watcher is a citizen media initiative which was launched to monitor the activities of the Malaysian Parliament and to inform the public about the laws enacted by the institution. It can help citizens to stay informed of bills that are being debated in Malaysian Parliament. </t>
  </si>
  <si>
    <t>MYS</t>
  </si>
  <si>
    <t>They Work For You</t>
  </si>
  <si>
    <t>http://www.theyworkforyou.com/</t>
  </si>
  <si>
    <t>They Work For You allows UK citizens to find out what their representatives (members of parliament etc) are doing. The site gives users access to information on how their representatives are voting on issues, information about debates, and allows users to see what’s coming up in Parliament. Also includes information on Scotland, Wales &amp; Northern Ireland. </t>
  </si>
  <si>
    <t>Write To Them</t>
  </si>
  <si>
    <t>https://www.writetothem.com/</t>
  </si>
  <si>
    <t>Allows UK citizens to write to their representatives, even if they don't know who they are. Essentially connects citizens with the government representatives. </t>
  </si>
  <si>
    <t>Open Congress </t>
  </si>
  <si>
    <t>http://congresoabierto.cl/</t>
  </si>
  <si>
    <t>Seems like a website to provide citizens with information about their government and the ability to contact their representatives, though there is no About section so it's not entirely clear. </t>
  </si>
  <si>
    <t>Santiago </t>
  </si>
  <si>
    <t>Easier said than done (Del Dicho Al Hecho) </t>
  </si>
  <si>
    <t>http://deldichoalhecho.cl/</t>
  </si>
  <si>
    <t>Del Dicho Al Hecho measures the fullmilment of electoral promises and government management. </t>
  </si>
  <si>
    <t>Pixel Humain </t>
  </si>
  <si>
    <t>http://www.pixelhumain.com/</t>
  </si>
  <si>
    <t>A citizen participatory democracy project rooted in the meetings supported by the Open Atlas Association.
</t>
  </si>
  <si>
    <t>contact@pixelhumain.com</t>
  </si>
  <si>
    <t>Junar Inc</t>
  </si>
  <si>
    <t>http://www.junar.com</t>
  </si>
  <si>
    <t>Junar is a global company with offices in Dallas, Silicon Valley and Latin America, Junar provides a cloud-based open data platform that enables innovative organizations worldwide to quickly, easily and affordably make their data accessible to all. In just a few weeks, your initial datasets can be published, providing greater transparency, encouraging collaboration and citizen engagement, and freeing up precious staff resources.</t>
  </si>
  <si>
    <t>Santiago</t>
  </si>
  <si>
    <t>Data/information technology</t>
  </si>
  <si>
    <t>http://www.opi.la</t>
  </si>
  <si>
    <t>OPI Centralizes millions of IPO data on social and economic trends in Mexico, which you can view and download in minutes.</t>
  </si>
  <si>
    <t>DATA Uruguay</t>
  </si>
  <si>
    <t>http://atuservicio.uy</t>
  </si>
  <si>
    <t>Every year in february around half the population in Uruguay has the option to change it’s health service provider. For the last three years key performance indicators have been published in spreadsheets but very few people actually consulted them. To promote informed decision making, DATA Uruguay proposed the creation of a visualization and comparison tool to the Ministry of Health and thus A Tu Servicio is born.</t>
  </si>
  <si>
    <t>Daniel Carranza</t>
  </si>
  <si>
    <t>chino@datauy.org</t>
  </si>
  <si>
    <t>In just four days since it’s launch, A Tu Servicio has brought in more traffic than any other project of DATA Uruguay in that timeframe, and multiplied by the hundreds the amount of people who has accessed the data compared to previous years. Public and press reception has been very positive, and several small investigations based on the data have spawned in the local papers. Also, a broader debate on the quality of the data gathered by the Ministry of Public Health emerged with the participation of local politicians, the press and government authorities. The broad accessibility of the data has made evident errors in the data, it’s reporting or the methods of collection. In the last few days health service providers have shown great concern on the quality of their data, something that had not happened in the last three years where publication was in plain spreadsheets.</t>
  </si>
  <si>
    <t>Open Source Drug Discovery</t>
  </si>
  <si>
    <t>http://www.osdd.net</t>
  </si>
  <si>
    <t>Open Source Drug Discovery (OSDD) is a CSIR led team India Consortium with global partnership with a vision to provide affordable healthcare to the developing world. OSDD envisions making drugs available at affordable prices for diseases that afflict the developing world by expanding resources for research through open collaboration.</t>
  </si>
  <si>
    <t>TipsDokter</t>
  </si>
  <si>
    <t>http://www.tipsdokter.com</t>
  </si>
  <si>
    <t>Jakarta</t>
  </si>
  <si>
    <t>Bien.io</t>
  </si>
  <si>
    <t>http://bien.io</t>
  </si>
  <si>
    <t>Data-driven health recommendations every day, before you even ask.</t>
  </si>
  <si>
    <t>Guadalajara</t>
  </si>
  <si>
    <t>Clinical Health Data</t>
  </si>
  <si>
    <t>https://clinicalstudydatarequest.com/</t>
  </si>
  <si>
    <t>Access to the underlying (patient level) data that are collected in clinical trials provides opportunities to conduct further research that can help advance medical science or improve patient care. This helps ensure the data provided by research participants are used to maximum effect in the creation of knowledge and understanding. A number of large pharmaceutical companies have shared their data- enabling data sharing agreements and research projects.</t>
  </si>
  <si>
    <t>Data Dredger</t>
  </si>
  <si>
    <t>http://internewskenya.org/dataportal/</t>
  </si>
  <si>
    <t>Data Dredger is a Kenyan site on data journalism practice. It is a space built to exhibit the best data journalism practices as well as provide content, which journalists and newsrooms can use to build and enhance data storytelling.
Here, you can mine data, try out our visualizations and other interactive products as well as download easy-to-use spread spreadsheets and ready-to-use infographics to go with your stories.
Besides, the site makes available to you diverse health information reference material and samples of completed data-driven stories, which have been published and broadcast in the Kenyan media by journalists mentored by Internews in Kenya data journalism trainers.</t>
  </si>
  <si>
    <t>part of InterNews</t>
  </si>
  <si>
    <t>Medicine Price Registry</t>
  </si>
  <si>
    <t>http://mpr.code4sa.org/</t>
  </si>
  <si>
    <t>The medicines price registry that allows anyone to quickly and easily look up what they should be paying for their medicine as well as view generic alternatives.
In partnership with the Southern African Development Community (SADC) and the The Southern Africa Regional Programme on Access to Medicines and Diagnostics (SARPAM) Code for South Africa is developing an application that allows governments to view and share information on medicine prices, suppliers and quantities.
The Tendai project, part of the The Southern Africa Regional Programme on Access to Medicines and Diagnostics (SARPAM), partners with civil society organisations in 5 countries to monitor availability of medicines.</t>
  </si>
  <si>
    <t>Temporada de Pases</t>
  </si>
  <si>
    <t>http://mutualistas.datauy.org/</t>
  </si>
  <si>
    <t>A tool for answering a few simple questions, see what suits you health care provider according to the indicators for Relief Goals published by the Ministry of Public Health.</t>
  </si>
  <si>
    <t>project of DATA URUGUAY</t>
  </si>
  <si>
    <t>District Officer of the Bahawalpur District partnered with the Technology for People Initiative based at the Lahore University of Management Sciences.</t>
  </si>
  <si>
    <t>http://www.makingallvoicescount.org/project/bahawalpur-service-delivery-unit-bsdu/</t>
  </si>
  <si>
    <t>Bahawalpu Service Delivery Unit (BSDU) uses ICT, real-time dashboards and public reviews to influence policy and drive performance. It is led by the District Coordination Officer (DCO) of Bahawalpur district in Punjab, Pakistan who manages more than 12 departments and has partnered with the Technology for People Initiative. BSDU focuses on health and education, and involves digitising public records and monitoring practice in order to note problem areas and ensure swift response. Leading DCO Imran Baloch states: 
 "We have a workforce of more than 22,000 personnel and my struggle is data analysis and dissemination. To overcome this, we have created BSDU which will systematically collect information from the field using ICT means and analyse them through modern, quantitative methods... performance."</t>
  </si>
  <si>
    <t>In Health, the initiative aims to address administrative inefficiencies such as inadequate and irregular supply of medicines, irregular disbursement of salaries, poor infrastructural management and other causes of concern. In Education, BSDU has already resulted in better teacher attendance through it's monitoring of teacher and student absence, functioning facilities and funds.</t>
  </si>
  <si>
    <t>The New York State Department of Health (NYDOH)</t>
  </si>
  <si>
    <t>https://health.data.ny.gov/</t>
  </si>
  <si>
    <t>The New York open data portal release body mass index (BMI) of students from selected grades — K, 2, 4, 7, and 10. This includes close to 600 school districts, excluding New York City, which has a separate surveillance and reporting program, and excluding all private schools. The New York open data portal includes a how-to video to guide people through the site; visitors browsing the Student Weight Status Category Reporting (SWSCR) data are offered a link to that video to help them get the information they are seeking.</t>
  </si>
  <si>
    <t>The open data platform allows people to better understand the magnitude of obesity and who is affected by it is half the battle in disease prevention and control. The platform enables users to download the data in standard formats for analysis. More than 5,000 users have used this download feature. Over 20% of the requests for SWSCR data are served automatically to developers and other applications via the application programming interface (API). School districts are using student health data to design student wellness plans, and state health officials are using these data to monitor and design program and policy interventions to curb obesity. Also, media grasped onto the data, and a lot of the stories that came out were pointing out the disparities in obesity. The media took the data and without prompting told the story.</t>
  </si>
  <si>
    <t>HDScores-Inc</t>
  </si>
  <si>
    <t>http://hdscores.com</t>
  </si>
  <si>
    <t>HDScores makes restaurant inspection data consumable for our clients in an easy to read, search and understand format.</t>
  </si>
  <si>
    <t>Health/healthcare;USA;Regional</t>
  </si>
  <si>
    <t>Matthew Eierman</t>
  </si>
  <si>
    <t>Matthew@HDScores.com</t>
  </si>
  <si>
    <t>ADInstruments</t>
  </si>
  <si>
    <t>http://www.adinstruments.com/</t>
  </si>
  <si>
    <t>Data acquisition and analysis systems for research and teaching in the life and physical sciences.</t>
  </si>
  <si>
    <t>Clear data use, but not open</t>
  </si>
  <si>
    <t>Aeon Biosystems</t>
  </si>
  <si>
    <t>https://gust.com/companies/aeon_biosystems_ltd</t>
  </si>
  <si>
    <t>Aeon Biosystems is a private/academic partnership with Cambridge University, the Genomics of Ageing Group at Liverpool University, Harvard Medical School department of Genetics and Imperial College department of Bioengineering to build health apps and a social health network to accelerate progress in ageing research, personalised medicine, and regenerative medicine</t>
  </si>
  <si>
    <t>Soren C Stirling (Director), Barry Bentley (Co Director)</t>
  </si>
  <si>
    <t>@sorenstirling, bbentley@mrc-lmb.cam.ac.uk</t>
  </si>
  <si>
    <t>^ Developers of Health Apps</t>
  </si>
  <si>
    <t>Aidin</t>
  </si>
  <si>
    <t>http://www.myAidin.com</t>
  </si>
  <si>
    <t>Aidin helps hospitals discharge their patients to the best available nursing homes, home health agencies, and other post-acute care providers.</t>
  </si>
  <si>
    <t>Health/healthcare;USA; National</t>
  </si>
  <si>
    <t>Russell Graney</t>
  </si>
  <si>
    <t>russ@myAidin.com</t>
  </si>
  <si>
    <t>Healthcare data</t>
  </si>
  <si>
    <t>AIMES Grid Services</t>
  </si>
  <si>
    <t>http://www.aimes.uk/</t>
  </si>
  <si>
    <t>AIMES is a commercial data centre providing a range of services including colocation, hosting, data backup, managed services and business continuity services.</t>
  </si>
  <si>
    <t>@AimesDataCentre, http://aimes.casengo.com/vip/?lang=en_US</t>
  </si>
  <si>
    <t>0044 0151 905 9700</t>
  </si>
  <si>
    <t>Healthcare data security
ODI Supporter: uses TransportAPI in iTRACs project</t>
  </si>
  <si>
    <t>Amida-Technology-Solutions</t>
  </si>
  <si>
    <t>http://amida-tech.com/index.html</t>
  </si>
  <si>
    <t>Amida develops patient-centered solutions based on the Blue Button personal health record (PHR), the most popular PHR in the country.</t>
  </si>
  <si>
    <t>Rachel Lunsford</t>
  </si>
  <si>
    <t>rachel@amida-tech.com</t>
  </si>
  <si>
    <t>Personal data, interoperable data, data security</t>
  </si>
  <si>
    <t>http://www.amida-tech.com/what.html</t>
  </si>
  <si>
    <t>Archimedes-Inc</t>
  </si>
  <si>
    <t>http://archimedesmodel.com/</t>
  </si>
  <si>
    <t>Archimedes creates models using evidence from clinical trials, epidemiological studies, and other sources to show healthcare decision makers how different options affect outcomes and costs.</t>
  </si>
  <si>
    <t>Aus Pharmaceutical Industries</t>
  </si>
  <si>
    <t>Ausmed</t>
  </si>
  <si>
    <t>Biopharm Australia</t>
  </si>
  <si>
    <t>Cerner</t>
  </si>
  <si>
    <t>http://www.cerner.com</t>
  </si>
  <si>
    <t>Cerner's mission is to contribute to the systemic improvement of health care delivery and the health of communities.</t>
  </si>
  <si>
    <t>North Kansas City</t>
  </si>
  <si>
    <t>Chemeq</t>
  </si>
  <si>
    <t>CliniCast</t>
  </si>
  <si>
    <t>http://clinicast.net/</t>
  </si>
  <si>
    <t>CliniCast builds comprehensive oncology solutions that enables providers to reduce the cost of managing cancer without compromising patient care.</t>
  </si>
  <si>
    <t>Millbrae</t>
  </si>
  <si>
    <t>Jack Challis</t>
  </si>
  <si>
    <t>jack@clinicast.net</t>
  </si>
  <si>
    <t>Cochlear Limited</t>
  </si>
  <si>
    <t>CSL Limited</t>
  </si>
  <si>
    <t>Dabo-Health</t>
  </si>
  <si>
    <t>https://www.dabohealth.com/#/</t>
  </si>
  <si>
    <t>Dabo is a healthcare company dedicated to saving lives through improving quality of care through metrics.</t>
  </si>
  <si>
    <t>Stephanie Bousheri</t>
  </si>
  <si>
    <t>stephanie@dabohealth.com</t>
  </si>
  <si>
    <t>DhilCare</t>
  </si>
  <si>
    <t>http://dhilcare.com/</t>
  </si>
  <si>
    <t>DhilCare is an affordable mobile phone based ECG solution, which aims to address affordability and accessibility issues in preliminary cardiac treatment in India.They developed a ECG machine which can send reports to mobile phones via Bluetooth for remote readings. 
They also offers a mobile app which allows general physicians to reach out to cardiologists to get instant diagnosis and prescriptions remotely. They make use of open and sensor data to provide elctronic medical records of the patients on the cloud and interactive viewing of ECG signals. It helps a general practitioner to administer timely intervention to the cardiac patient.</t>
  </si>
  <si>
    <t>Satish Kannan</t>
  </si>
  <si>
    <t>satish@dhilcare.com</t>
  </si>
  <si>
    <t>DVVIMSS</t>
  </si>
  <si>
    <t>http://www.dvvimss.org.mx/</t>
  </si>
  <si>
    <t>Social and demographics;MEX;National | Economics;MEX;National | Finance;MEX;National | Government operations;MEX;National | Health/healthcare;MEX;National | Education;MEX;National | Legal;MEX;National | Science and research;MEX;National</t>
  </si>
  <si>
    <t>eHealth Access</t>
  </si>
  <si>
    <t>https://www.evaidya.com/index.html</t>
  </si>
  <si>
    <t>Evidera</t>
  </si>
  <si>
    <t>http://www.evidera.com</t>
  </si>
  <si>
    <t>Evidera provides health economics, outcomes research, market access, data analytics and epidemiology services to life sciences organizations worldwide.</t>
  </si>
  <si>
    <t>Expert-Health-Data-Programming-Inc</t>
  </si>
  <si>
    <t>http://www.ehdp.com/</t>
  </si>
  <si>
    <t>EHDP provides customized desktop and web-based data query systems (Vitalnet) for analyzing large, complex data sets.</t>
  </si>
  <si>
    <t>Demographics and social;USA;National | Health/healthcare;USA;National</t>
  </si>
  <si>
    <t>Daniel Goldman</t>
  </si>
  <si>
    <t>dgoldman@ehdp.com</t>
  </si>
  <si>
    <t>Florigene</t>
  </si>
  <si>
    <t>GenoSpace</t>
  </si>
  <si>
    <t>https://www.genospace.com</t>
  </si>
  <si>
    <t>GenoSpace has developed software systems for securely storing vast amounts of genomic and health data and providing it in formats specific to diverse user communities.</t>
  </si>
  <si>
    <t>Healthgrades</t>
  </si>
  <si>
    <t>http://www.healthgrades.com/</t>
  </si>
  <si>
    <t>Healthgrades is a leading online resource for comprehensive information about physicians and hospitals.</t>
  </si>
  <si>
    <t>Evan Marks</t>
  </si>
  <si>
    <t>evan@healthgrades.com</t>
  </si>
  <si>
    <t>Healthline</t>
  </si>
  <si>
    <t>http://www.healthline.com</t>
  </si>
  <si>
    <t>Healthline offers readers and site visitors objective, trustworthy, and accurate health information, guided by the principles of responsible journalism and publishing.</t>
  </si>
  <si>
    <t>HealthMap</t>
  </si>
  <si>
    <t>http://healthmap.org/</t>
  </si>
  <si>
    <t>HealthMap brings together disparate data sources to achieve a unified view of the current state of infectious diseases and their effect on health.</t>
  </si>
  <si>
    <t>Health/healthcare;USA;National | Public safety;USA;National</t>
  </si>
  <si>
    <t>John Brownstein</t>
  </si>
  <si>
    <t>john.brownstein@childrens.harvard.edu</t>
  </si>
  <si>
    <t>HealthPocket-Inc</t>
  </si>
  <si>
    <t>http://www.healthpocket.com</t>
  </si>
  <si>
    <t>HealthPocket is a free customer advocacy website that allows consumers to compare and rank health plans in their area.</t>
  </si>
  <si>
    <t>Kev Coleman</t>
  </si>
  <si>
    <t>kevin.coleman@healthpocket.com</t>
  </si>
  <si>
    <t>Healthscope</t>
  </si>
  <si>
    <t>iMedicare</t>
  </si>
  <si>
    <t>http://imedicare.com</t>
  </si>
  <si>
    <t>iMedicare saves seniors and pharmacies money on Medicare.</t>
  </si>
  <si>
    <t>Flaviu Simihaian</t>
  </si>
  <si>
    <t>flaviu@iMedicare.com</t>
  </si>
  <si>
    <t>IMS Health</t>
  </si>
  <si>
    <t>http://www.imshealth.com/portal/site/imshealth</t>
  </si>
  <si>
    <t>IMS Health is a information, services and technology company dedicated to making healthcare perform better.</t>
  </si>
  <si>
    <t>Danbury</t>
  </si>
  <si>
    <t>Inovalon</t>
  </si>
  <si>
    <t>http://www.inovalon.com/pages/default.aspx</t>
  </si>
  <si>
    <t>Inovalon is a technology company that combines data analytics with targeted interventions to achieve meaningful impact in clinical outcomes and financial performance in healthcare.</t>
  </si>
  <si>
    <t>Bowie</t>
  </si>
  <si>
    <t>Iodine</t>
  </si>
  <si>
    <t>www.iodine.com</t>
  </si>
  <si>
    <t>Iodine combines large healthcare datasets with a user's individual needs and background to create a personalized resource for better understanding and decision-making about health.</t>
  </si>
  <si>
    <t>Health/healthcare;USA;National | Finance;USA;National | Legal;USA;National  | Economics;USA;National</t>
  </si>
  <si>
    <t>Matt Mohebbi</t>
  </si>
  <si>
    <t>matt@iodine.com</t>
  </si>
  <si>
    <t>Iqnovate</t>
  </si>
  <si>
    <t>iTriage</t>
  </si>
  <si>
    <t>itriagehealth.com</t>
  </si>
  <si>
    <t>iTriage is a free mobile app and website that helps people make better health care decisions and take charge of their health.</t>
  </si>
  <si>
    <t>Suzy Buglewicz</t>
  </si>
  <si>
    <t>sbuglewicz@itriagehealth.com</t>
  </si>
  <si>
    <t>Kaiser Permanante</t>
  </si>
  <si>
    <t>https://healthy.kaiserpermanente.org/html/kaiser/index.shtml</t>
  </si>
  <si>
    <t>Kaiser Permanente is a health care and not-for-profit health plan provider.</t>
  </si>
  <si>
    <t>karmadata</t>
  </si>
  <si>
    <t>www.karmadata.com</t>
  </si>
  <si>
    <t>karmadata is healthcare (big) data, simplified. We offer a collection of the world's healthcare data that is live, visual, and linked.</t>
  </si>
  <si>
    <t>Hingham</t>
  </si>
  <si>
    <t>Legal;USA;National | Health/healthcare;USA;National</t>
  </si>
  <si>
    <t>Sean Power</t>
  </si>
  <si>
    <t>sean.power@karmadata.com</t>
  </si>
  <si>
    <t>Kyruus</t>
  </si>
  <si>
    <t>http://kyruus.com</t>
  </si>
  <si>
    <t>Kyruus provides Patient Access &amp; Referral Management solutions enabling hospital systems to match patient demand to provider supply, engender patient retention, and maximize staff productivity.</t>
  </si>
  <si>
    <t>MedWatcher</t>
  </si>
  <si>
    <t>http://www.medwatcher.org</t>
  </si>
  <si>
    <t>MedWatcher is a user-friendly tool for tracking and reporting side effects of drugs, medical devices, and vaccines.</t>
  </si>
  <si>
    <t>Carrie Pierce</t>
  </si>
  <si>
    <t>carrie@epidemico.com</t>
  </si>
  <si>
    <t>mHealthCoach</t>
  </si>
  <si>
    <t>http://mhealthcoach.com</t>
  </si>
  <si>
    <t>mHealthCoach facilitates routine follow up visits, which are scripted as mobile and web sessions that keep providers, patients and care-givers connected in-between clinical visits. </t>
  </si>
  <si>
    <t>OptumInsight</t>
  </si>
  <si>
    <t>http://www.optuminsight.com</t>
  </si>
  <si>
    <t>OptumInsight specializes in improving the performance of the health system by providing analytics, technology and consulting services that enable better decisions and results.</t>
  </si>
  <si>
    <t>Eden Prairie</t>
  </si>
  <si>
    <t>null;USA;National | null;USA;Regional</t>
  </si>
  <si>
    <t>PatientsLikeMe</t>
  </si>
  <si>
    <t>http://www.patientslikeme.com</t>
  </si>
  <si>
    <t>PatientsLikeMe is designed to make healthcare better for everyone through sharing, support, and research.</t>
  </si>
  <si>
    <t>Sally Okun</t>
  </si>
  <si>
    <t>sokun@patientslikeme.com</t>
  </si>
  <si>
    <t>PLM LatinoamÃ©rica</t>
  </si>
  <si>
    <t>http://www.plmlatina.com</t>
  </si>
  <si>
    <t>Science and research;MEX;National | Health/healthcare;MEX;National | Education;MEX;National</t>
  </si>
  <si>
    <t>Practice Fusion</t>
  </si>
  <si>
    <t>http://www.practicefusion.com</t>
  </si>
  <si>
    <t>Practice Fusion provides a free, web-based electronic health record (EHR) system to physicians.</t>
  </si>
  <si>
    <t>Predilytics</t>
  </si>
  <si>
    <t>http://www.predilytics.com</t>
  </si>
  <si>
    <t>Predilytics is a healthcare predictive analytics company, taking machine learning techniques from financial services and consumer acquisition sectors and applying them to population health.</t>
  </si>
  <si>
    <t>Manchester</t>
  </si>
  <si>
    <t>Previta</t>
  </si>
  <si>
    <t>http://previta.com.mx/</t>
  </si>
  <si>
    <t>Science and research;MEX;National | Agriculture;MEX;National | Social and demographics;MEX;National | Business;MEX;National | Geospatial/mapping;MEX;National | Health/healthcare;MEX;National | Environment;MEX;National | Weather;MEX;National</t>
  </si>
  <si>
    <t>Propeller Health</t>
  </si>
  <si>
    <t>http://propellerhealth.com</t>
  </si>
  <si>
    <t>Propeller Health enables people with asthma to track their symptoms and triggers and better use their medication.</t>
  </si>
  <si>
    <t>Health/healthcare;USA;National | Geospatial/mapping;USA;National</t>
  </si>
  <si>
    <t>Sigma Pharmaceuticals</t>
  </si>
  <si>
    <t>Social-Health-Insights</t>
  </si>
  <si>
    <t>http://socialhealthinsights.com/</t>
  </si>
  <si>
    <t>Social Health Insights is building platforms that positively impact health.</t>
  </si>
  <si>
    <t>Fishers</t>
  </si>
  <si>
    <t>IN</t>
  </si>
  <si>
    <t>Consumer;USA;National | Health/healthcare;USA;National | Demographics and social;USA;National | Geospatial/mapping;USA;Regional | Environment;USA;National</t>
  </si>
  <si>
    <t>Mark Silverberg</t>
  </si>
  <si>
    <t>mark@socialhealthinsights.com</t>
  </si>
  <si>
    <t>SpeSo Health</t>
  </si>
  <si>
    <t>http://www.spesohealth.com/</t>
  </si>
  <si>
    <t>SpeSo Health is an online platform that connects patients with rare and orphan diseases with care providers who are experts for those complex, high-cost conditions.</t>
  </si>
  <si>
    <t>Symcat</t>
  </si>
  <si>
    <t>http://www.symcat.com/</t>
  </si>
  <si>
    <t>Symcat uses a broad array of medical data to allow users to intelligently check their symptoms against potential diagnoses and plan medical care if necessary.</t>
  </si>
  <si>
    <t>Matthew Daniels</t>
  </si>
  <si>
    <t>matt@symcat.com</t>
  </si>
  <si>
    <t>The-DocGraph-Journal</t>
  </si>
  <si>
    <t>http://docgraph.org/</t>
  </si>
  <si>
    <t>DocGraph is a data set comprised of fifty million connections that shows how healthcare providers team to provide care.</t>
  </si>
  <si>
    <t>Houston</t>
  </si>
  <si>
    <t>Fred Trotter</t>
  </si>
  <si>
    <t>fred.trotter@gmail.com</t>
  </si>
  <si>
    <t>TrialTrove</t>
  </si>
  <si>
    <t>http://www.citeline.com/products/trialtrove/</t>
  </si>
  <si>
    <t>Trialtrove is a real-time source of pharmaceutical clinical trials intelligence, using information from data sources for a reference of research in over 150 countries.</t>
  </si>
  <si>
    <t>TrialX</t>
  </si>
  <si>
    <t>http://trialx.com/</t>
  </si>
  <si>
    <t>TrialX is an online platform that utilizes novel semantic algorithms to match patients to clinical trial investigators near them.</t>
  </si>
  <si>
    <t>Sharib Khan</t>
  </si>
  <si>
    <t>sharib@trialx.com</t>
  </si>
  <si>
    <t>Vitals</t>
  </si>
  <si>
    <t>http://www.vitals.com/</t>
  </si>
  <si>
    <t>Vitals.com uses data and patient insight to help people find doctors, appointments, and procedures and help doctors and hospitals attract patients.</t>
  </si>
  <si>
    <t>Lyndhurst</t>
  </si>
  <si>
    <t>WebMD</t>
  </si>
  <si>
    <t>http://www.webmd.com/</t>
  </si>
  <si>
    <t>WebMD provides health information and services to consumers and healthcare professionals, with online healthcare information, decision-support applications and communications services.</t>
  </si>
  <si>
    <t>YEI-Healthcare</t>
  </si>
  <si>
    <t>yeihealthcare.com</t>
  </si>
  <si>
    <t>YEI Healthcare focuses on healthcare coding, billing, and claims compliance through web services, software, and data support.</t>
  </si>
  <si>
    <t>Portsmouth</t>
  </si>
  <si>
    <t>Amy Shropshire</t>
  </si>
  <si>
    <t>ashropshire@yeihealthcare.com</t>
  </si>
  <si>
    <t>ZocDoc</t>
  </si>
  <si>
    <t>http://www.zocdoc.com/</t>
  </si>
  <si>
    <t>Patients use ZocDoc to book appointments with a wide range of medical specialties in 1,900+ cities, serving more than 40% of the US population.</t>
  </si>
  <si>
    <t>Universal Hospitals Group Ltd</t>
  </si>
  <si>
    <t>http://www.uhgl-gh.com</t>
  </si>
  <si>
    <t>Healthcare </t>
  </si>
  <si>
    <t>Civic Data Alliance (CfA Louisville)</t>
  </si>
  <si>
    <t>http://www.civicdataalliance.org/forum/?place=msg%2Fcivicdataalliance%2FJDkgh-uc2so%2FFoQZuypzZZEJ</t>
  </si>
  <si>
    <t>Help the International American Printing House for the Blind get valuable data into their mobile app allowing visually impaired people to navigate their environment safely and effectively. This includes getting the buildings, address, parcel, street sign, and traffic light data released, making sure the data is accurate and has an open license, working with the Open Street Map community to import properly, and then duplicating the process for data in other cities and countries.</t>
  </si>
  <si>
    <t>mschnuerle@codeforamerica.org</t>
  </si>
  <si>
    <t>Allows visually impaired people to navigate their environment safely and effectively and at less cost.</t>
  </si>
  <si>
    <t>True Property PH</t>
  </si>
  <si>
    <t>http://www.trueproperty.ph</t>
  </si>
  <si>
    <t>Manila</t>
  </si>
  <si>
    <t>UrbanIndo</t>
  </si>
  <si>
    <t>http://www.urbanindo.com/</t>
  </si>
  <si>
    <t>Founded in May 2011, UrbanIndo.com is an Indonesian property portal to connect property agents/sellers to property buyers and vice versa.</t>
  </si>
  <si>
    <t>West Java</t>
  </si>
  <si>
    <t>India sector slides + WB pipeline research</t>
  </si>
  <si>
    <t>AtSite</t>
  </si>
  <si>
    <t>www.atsiteinc.com</t>
  </si>
  <si>
    <t>AtSite's open-source technology and building performance solutions help organizations maximize the strategic value and long-term performance of real estate assets</t>
  </si>
  <si>
    <t>BuildFax</t>
  </si>
  <si>
    <t>http://www.buildfax.com/</t>
  </si>
  <si>
    <t>BuildFax collects and organizes the data that helps companies solve critical property-related problems.</t>
  </si>
  <si>
    <t>Asheville</t>
  </si>
  <si>
    <t>Buildingeye</t>
  </si>
  <si>
    <t>http://www.buildingeye.com</t>
  </si>
  <si>
    <t>Buildingeye takes local government data on building permits in different locations and visualizes this information on its map.</t>
  </si>
  <si>
    <t>BuildZoom</t>
  </si>
  <si>
    <t>www.buildzoom.com</t>
  </si>
  <si>
    <t>BuildZoom takes the pain out of remodeling your home.</t>
  </si>
  <si>
    <t>Housing;USA;Regional</t>
  </si>
  <si>
    <t>Jiyan Wei</t>
  </si>
  <si>
    <t>jiyan@buildzoom.com</t>
  </si>
  <si>
    <t>Civic-Insight</t>
  </si>
  <si>
    <t>http://civicinsight.com</t>
  </si>
  <si>
    <t>Civic Insight makes official data about buildings easily findable and usable.</t>
  </si>
  <si>
    <t>Eddie Tejeda</t>
  </si>
  <si>
    <t>eddie@civicinsight.com</t>
  </si>
  <si>
    <t>Construction-Monitor-LLC</t>
  </si>
  <si>
    <t>www.constructionmonitor.com</t>
  </si>
  <si>
    <t>Construction Monitor provides timely, detailed and accurate building permit information, using state of the art technologies to continuously improve its work processes.</t>
  </si>
  <si>
    <t>Cedar City</t>
  </si>
  <si>
    <t>Demographics and social;USA;National | Demographics and social;USA;Regional | Housing;USA;Regional</t>
  </si>
  <si>
    <t>David Mineer Sr</t>
  </si>
  <si>
    <t>dmineersr@constructionmonitor.com</t>
  </si>
  <si>
    <t>CoreLogic</t>
  </si>
  <si>
    <t>http://www.corelogic.com</t>
  </si>
  <si>
    <t>CoreLogic maintains one of the largest and most comprehensive real estate, mortgage-finance and property location databases in the country.</t>
  </si>
  <si>
    <t>Alyson Austin</t>
  </si>
  <si>
    <t>alaustin@corelogic.com</t>
  </si>
  <si>
    <t>Doorda</t>
  </si>
  <si>
    <t>http://doorda.com</t>
  </si>
  <si>
    <t>Doorda is an open data aggregator of geo-tagged data, specialising in promoting local data within local communities and providing property, crime and food data to connect communities with data and service providers</t>
  </si>
  <si>
    <t>public safety; GBR; regional | transport; GBR; regional | health; GBR; regional | education; GBR; regional | housing ; GBR; regional </t>
  </si>
  <si>
    <t>Clifford McDowell (Founder/CEO), Dan Parker (CTO) </t>
  </si>
  <si>
    <t>@Doorda, Contact@Doorda.com</t>
  </si>
  <si>
    <t>0044 0207 183 1195</t>
  </si>
  <si>
    <t>^ Provider of Geo-tagged Open Data on Food, Crime, and Property</t>
  </si>
  <si>
    <t>Estately</t>
  </si>
  <si>
    <t>http://www.estately.com/</t>
  </si>
  <si>
    <t>Estately empowers online shoppers in most major US cities with a simple, fast path to finding the home of their dreams.</t>
  </si>
  <si>
    <t>Nate Clement</t>
  </si>
  <si>
    <t>nate@estately.com</t>
  </si>
  <si>
    <t>Honest Buildings</t>
  </si>
  <si>
    <t>https://www.honestbuildings.com</t>
  </si>
  <si>
    <t>Honest Buildings is a New York City-based startup that has created a web platform to connect professionals in the real estate construction and design space.</t>
  </si>
  <si>
    <t>Housefax</t>
  </si>
  <si>
    <t>http://housefax.com/</t>
  </si>
  <si>
    <t>Housefax aggregates a variety of public and proprietary data, gathering accurate and reliable property details from the most accredited sources into one easy-to-understand report.</t>
  </si>
  <si>
    <t>Haymarket</t>
  </si>
  <si>
    <t>Hassib Amiryar</t>
  </si>
  <si>
    <t>hassib@housefax.com</t>
  </si>
  <si>
    <t>OpportunitySpace-Inc</t>
  </si>
  <si>
    <t>opportunityspace.org</t>
  </si>
  <si>
    <t>OpportunitySpace engages communities with open data to drive smart uses for public land.</t>
  </si>
  <si>
    <t>Government operations;USA;Regional</t>
  </si>
  <si>
    <t>Alexander Kapur</t>
  </si>
  <si>
    <t>alex@opportunityspace.org</t>
  </si>
  <si>
    <t>Porch</t>
  </si>
  <si>
    <t>porch.com</t>
  </si>
  <si>
    <t>Porch has developed a data driven home improvement network – the public space of your private home.</t>
  </si>
  <si>
    <t>Brockton Gates</t>
  </si>
  <si>
    <t>Brockg@porch.com</t>
  </si>
  <si>
    <t>realtor.com</t>
  </si>
  <si>
    <t>http://www.realtor.com/</t>
  </si>
  <si>
    <t>Realtor.com has real estate listings for millions of homes for sale in regions across the United States and Canada.</t>
  </si>
  <si>
    <t>Redfin</t>
  </si>
  <si>
    <t>http://www.redfin.com</t>
  </si>
  <si>
    <t>Redfin is a company of real estate agents and software engineers on a mission to make buying or selling a home better for you.</t>
  </si>
  <si>
    <t>Geospatial/mapping;USA;National | Demographics and social;USA;National | Economics;USA;National | Government operations;USA;Regional</t>
  </si>
  <si>
    <t>Tommy Unger</t>
  </si>
  <si>
    <t>tommy.unger@redfin.com</t>
  </si>
  <si>
    <t>StreetEasy</t>
  </si>
  <si>
    <t>http://streeteasy.com/</t>
  </si>
  <si>
    <t>StreetEasy provides consumers and real estate professionals a transparent and complete view of the NYC residential real estate market.</t>
  </si>
  <si>
    <t>Synthicity</t>
  </si>
  <si>
    <t>http://www.synthicity.com/</t>
  </si>
  <si>
    <t>Synthicity builds easy-to-use tools and provides custom solutions to help answer difficult urban development questions.</t>
  </si>
  <si>
    <t>Berkely</t>
  </si>
  <si>
    <t>Fletcher Foti</t>
  </si>
  <si>
    <t>ffoti@synthicity.com</t>
  </si>
  <si>
    <t>Trulia</t>
  </si>
  <si>
    <t>trulia.com</t>
  </si>
  <si>
    <t>Trulia gives home buyers, sellers, owners and renters the inside scoop on properties, places and real estate professionals.</t>
  </si>
  <si>
    <t>Health/healthcare;USA;National | Weather;USA;National | Environment;USA;National | Geospatial/mapping;USA;National</t>
  </si>
  <si>
    <t>Jed Kolko</t>
  </si>
  <si>
    <t>ksnodgrass@trulia.com</t>
  </si>
  <si>
    <t>Zillow</t>
  </si>
  <si>
    <t>http://www.zillow.com/</t>
  </si>
  <si>
    <t>Zillow is an online real estate database.</t>
  </si>
  <si>
    <t>Economics;USA;National | Housing;USA;National | Demographics and social;USA;National</t>
  </si>
  <si>
    <t>Zonability</t>
  </si>
  <si>
    <t>http://www.zonability.com/</t>
  </si>
  <si>
    <t>Zonability is a web application that provides economic development corporations an efficient way to identify and promote their community’s real estate assets.</t>
  </si>
  <si>
    <t>Zoner</t>
  </si>
  <si>
    <t>www.Zonerapp.com</t>
  </si>
  <si>
    <t>Zoner leverages transparency over fear so a property investor can make more informed decisions hopefully benefitting the environment with better development decisions.</t>
  </si>
  <si>
    <t>Housing;USA;National | Transportation;USA;National | Public safety;USA;Regional | Transportation;USA;Regional | Finance;USA;Regional</t>
  </si>
  <si>
    <t>March Chadwick</t>
  </si>
  <si>
    <t>admin@zonerapp.com</t>
  </si>
  <si>
    <t>2nd City Zoning</t>
  </si>
  <si>
    <t>http://secondcityzoning.org/</t>
  </si>
  <si>
    <t>An Open City App, 2nd City Zoning is an interactive map that lets you: find out how your building is zoned, learn where to locate your business, explore zoning patterns throughout the city</t>
  </si>
  <si>
    <t>Housing and real estate </t>
  </si>
  <si>
    <t>Akko Group</t>
  </si>
  <si>
    <t>http://www.akko-group.com/</t>
  </si>
  <si>
    <t>Consumer;MEX;National | Social and demographics;MEX;National | Economics;MEX;National | Business;MEX;National | Geospatial/mapping;MEX;National | Environment;MEX;National | Transportation;MEX;National | </t>
  </si>
  <si>
    <t>Website Down</t>
  </si>
  <si>
    <t>Asociacion Mexicana de Profesionales Inmobiliarios (AMPI)</t>
  </si>
  <si>
    <t>http://www.ampi.org/</t>
  </si>
  <si>
    <t>Housing;MEX;National | Social and demographics;MEX;National</t>
  </si>
  <si>
    <t>Century 21</t>
  </si>
  <si>
    <t>Colliers International</t>
  </si>
  <si>
    <t>Domain</t>
  </si>
  <si>
    <t>Federation Limited</t>
  </si>
  <si>
    <t>First National</t>
  </si>
  <si>
    <t>L.J. Hooker</t>
  </si>
  <si>
    <t>Lend Lease Retirement</t>
  </si>
  <si>
    <t>LoopNet</t>
  </si>
  <si>
    <t>http://www.loopnet.com</t>
  </si>
  <si>
    <t>LoopNet enables users to search listings, research properties, and list availabilities for commercial real estate.</t>
  </si>
  <si>
    <t>MAB Corporation</t>
  </si>
  <si>
    <t>McGrath</t>
  </si>
  <si>
    <t>Meriton</t>
  </si>
  <si>
    <t>Propiedades.com</t>
  </si>
  <si>
    <t>http://propiedades.com/</t>
  </si>
  <si>
    <t>Housing;MEX;National</t>
  </si>
  <si>
    <t>Zoopla</t>
  </si>
  <si>
    <t>OD500 (other countries)</t>
  </si>
  <si>
    <t>United Nations Office for the Coordination of Humanitarian Affairs</t>
  </si>
  <si>
    <t>https://data.hdx.rwlabs.org/</t>
  </si>
  <si>
    <t>The goal of the Humanitarian Data Exchange (HDX) is to make humanitarian data easy to find and use for analysis. We are working on three elements that will eventually combine into an integrated data platform.</t>
  </si>
  <si>
    <t>Sarah Telford</t>
  </si>
  <si>
    <t>telford@un.org</t>
  </si>
  <si>
    <t>Opening and aggregating thousands of datasets on humanitarian crises around the world.</t>
  </si>
  <si>
    <t>Mobile Content.Com Ltd.</t>
  </si>
  <si>
    <t>http://www.mobilecontent.com.gh</t>
  </si>
  <si>
    <t>MC.C connects mobile users with affordable and innovative access to reliable, exciting and up-to-the-minute information though their handsets, utilizing SMS, MMS, IVR and WAP to deliver products with real value to local subscribers</t>
  </si>
  <si>
    <t>RLG GHANA</t>
  </si>
  <si>
    <t>http://www.rlgglobal.com</t>
  </si>
  <si>
    <t>Rlg Group of Companies Limited started in Ghana with the incorporation of ROGAMS LINK now Rlg Communications (Ghana) Limited, as the leading Ghanaian computer and handset manufacturing company. Rlg seeks to develop best quality technology in the electronic products they assemble in Ghana and elsewhere, and to deliver quality and value to their customers, clients and other stakeholders. </t>
  </si>
  <si>
    <t>Aspect Foundry</t>
  </si>
  <si>
    <t>http://www.aspectfoundry.com</t>
  </si>
  <si>
    <t>Aspect Foundry is a collaborative exchange for developers, businesses, non-profits and public sector organizations to discover and use API's to orchestrate apps and information for clients.</t>
  </si>
  <si>
    <t>BIZNEX</t>
  </si>
  <si>
    <t>http://www.biznex.co</t>
  </si>
  <si>
    <t>BIZNEX purpose is to increase transparency and trust in business with the help of companies’ data. And it’s just for the start. Our mission is to spread companies’ data across the world, to make it available for small and medium businesses.</t>
  </si>
  <si>
    <t>Eventos</t>
  </si>
  <si>
    <t>http://my-eventos.com/</t>
  </si>
  <si>
    <t>AAMI</t>
  </si>
  <si>
    <t>http://www.aami.com.au/</t>
  </si>
  <si>
    <t>AAMI is a leading Car Insurance and Home Insurance provider. AAMI offers House Insurance, Car Insurance, Motorcycle Insurance, NSW CTP Insurance, Travel Insurance, Life Insurance, Income Protection and Business Insurance quotes online.</t>
  </si>
  <si>
    <t>AllState Insurance Group</t>
  </si>
  <si>
    <t>http://www.allstate.com</t>
  </si>
  <si>
    <t>The Allstate Corporation is the largest publicly held personal, property and casualty insurer in America.</t>
  </si>
  <si>
    <t>Northbrook</t>
  </si>
  <si>
    <t>AXA</t>
  </si>
  <si>
    <t>http://www.axa.com/en/</t>
  </si>
  <si>
    <t>Bingle</t>
  </si>
  <si>
    <t>Budget Direct</t>
  </si>
  <si>
    <t>CGU Insurance</t>
  </si>
  <si>
    <t>Chubb</t>
  </si>
  <si>
    <t>http://www.chubb.com</t>
  </si>
  <si>
    <t>The Chubb Corporation, through its subsidiaries, provides property and casualty insurance to businesses and individuals.</t>
  </si>
  <si>
    <t>ClearHealthCosts</t>
  </si>
  <si>
    <t>clearhealthcosts.com</t>
  </si>
  <si>
    <t>We're bringing transparency to the health-care marketplace by telling people what stuff costs.</t>
  </si>
  <si>
    <t>New York </t>
  </si>
  <si>
    <t>Jeanne Pinder</t>
  </si>
  <si>
    <t>jeanne@clearhealthcosts.com</t>
  </si>
  <si>
    <t>Colonial Mutual</t>
  </si>
  <si>
    <t>Combined Insurance</t>
  </si>
  <si>
    <t>Farmers</t>
  </si>
  <si>
    <t>http://www.farmers.com</t>
  </si>
  <si>
    <t>Farmers Insurance Group insures vehicles, homes and small businesses and provides a wide range of other insurance and financial services products.</t>
  </si>
  <si>
    <t>Environment;USA;National | Weather;USA;National</t>
  </si>
  <si>
    <t>GIO Australia</t>
  </si>
  <si>
    <t>GMHBA Ltd</t>
  </si>
  <si>
    <t>HBF Health Fund</t>
  </si>
  <si>
    <t>HCF Health Insurance</t>
  </si>
  <si>
    <t>IAG</t>
  </si>
  <si>
    <t>Impact Forecasting (Aon)</t>
  </si>
  <si>
    <t>http://www.aon.com/impactforecasting/impact-forecasting.jsp</t>
  </si>
  <si>
    <t>Impact Forecasting develops models that help analyze the financial implications of catastrophic events so that our clients achieve a greater understanding of their risks.</t>
  </si>
  <si>
    <t>Liberty Mutual Insurance Cos.</t>
  </si>
  <si>
    <t>http://www.libertymutual.com</t>
  </si>
  <si>
    <t>Liberty Mutual Insurance Company provides insurance products and services for restaurants, hotels, manufacturing businesses, and individuals and their families.</t>
  </si>
  <si>
    <t>MetLife</t>
  </si>
  <si>
    <t>http://www.metlife.com.mx/</t>
  </si>
  <si>
    <t>Social and demographics;MEX;National | Health/healthcare;MEX;National</t>
  </si>
  <si>
    <t>https://www.metlife.com</t>
  </si>
  <si>
    <t>MetLife, Inc. is a provider of insurance, annuities and employee benefit programs, serving 90 million customers.</t>
  </si>
  <si>
    <t>Nationwide Mutual Insurance Company</t>
  </si>
  <si>
    <t>http://www.nationwide.com</t>
  </si>
  <si>
    <t>Nationwide provides a full range of personalized insurance and financial services.</t>
  </si>
  <si>
    <t>Columbus</t>
  </si>
  <si>
    <t>NIB Health Fund</t>
  </si>
  <si>
    <t>NRMA</t>
  </si>
  <si>
    <t>Progressive Corporation</t>
  </si>
  <si>
    <t>Progressive Insurance Group</t>
  </si>
  <si>
    <t>http://www.progressive.com</t>
  </si>
  <si>
    <t>Progressive is an American auto insurance group that sells insurance directly to customers online, by phone, and through local independent agents.</t>
  </si>
  <si>
    <t>Mayfield Village</t>
  </si>
  <si>
    <t>QBE Insurance</t>
  </si>
  <si>
    <t>RACV</t>
  </si>
  <si>
    <t>Real Insurance</t>
  </si>
  <si>
    <t>SGIC</t>
  </si>
  <si>
    <t>SGIO</t>
  </si>
  <si>
    <t>State Farm Insurance</t>
  </si>
  <si>
    <t>http://www.statefarm.com/</t>
  </si>
  <si>
    <t>State Farm is a group of insurance and financial services companies in the United States.</t>
  </si>
  <si>
    <t>Bloomington</t>
  </si>
  <si>
    <t>Vimo</t>
  </si>
  <si>
    <t>www.vimo.com</t>
  </si>
  <si>
    <t>Vimo offers short term, group/small business, individual, and family health insurance.</t>
  </si>
  <si>
    <t>Zurich Insurance (Risk Room)</t>
  </si>
  <si>
    <t>http://www.zurichna.com/</t>
  </si>
  <si>
    <t>The Zurich Risk Room is a proprietary global risk analysis tool designed to help illustrate the impact of multivariate risks on individual countries and regions.</t>
  </si>
  <si>
    <t>Schaumburg</t>
  </si>
  <si>
    <t>Nielsen IBOPE</t>
  </si>
  <si>
    <t>www.nielsenibope.com.mx</t>
  </si>
  <si>
    <t>Besides the wide culture media audience research behind it, today IBOPE Nielsen has the most complete map of the consumer in the world, ability to constantly innovate in technology and research, studies and aligned with international quality standards processes and comprehensive security measures to ensure both the secrecy of sensitive data such as transparency and impartiality of the useful information to the industry. Nielsen IBOPE built today the future of consumer research in the media.</t>
  </si>
  <si>
    <t>Social and demographics;MEX;National | Geospatial/mapping;MEX;National | Education;MEX;National | Transportation;MEX;National | Housing;MEX;National</t>
  </si>
  <si>
    <t>Digital Society Laboratory</t>
  </si>
  <si>
    <t>http://www.digsolab.ru</t>
  </si>
  <si>
    <t>Digital Society Lab (DSL) is Russian technology internet company deals with development of advertising and analytical internet applications of next generation, carrying out of social and marketing research in Internet.  The basic specification of DSL is innovative searching methods, personalization and data cleaning in social networks.</t>
  </si>
  <si>
    <t>Scientific research</t>
  </si>
  <si>
    <t>JSC Gosbook</t>
  </si>
  <si>
    <t>http://gblab.ru</t>
  </si>
  <si>
    <t>We - the young IT-company, established in 2010 by a team of associates who have worked together for many years. We are implementing large-scale complex online projects for organizations in the public and commercial sector.</t>
  </si>
  <si>
    <t>B&amp;Tech intelligence</t>
  </si>
  <si>
    <t>http://www.b-techs.org</t>
  </si>
  <si>
    <t>Casablanca</t>
  </si>
  <si>
    <t>B3G Technologies</t>
  </si>
  <si>
    <t>http://www.b3gtech.com</t>
  </si>
  <si>
    <t>Caciopee</t>
  </si>
  <si>
    <t>http://www.caciopee.biz</t>
  </si>
  <si>
    <t>CST</t>
  </si>
  <si>
    <t>http://www.cst.ma</t>
  </si>
  <si>
    <t>Matekap</t>
  </si>
  <si>
    <t>http://www.matekap.com</t>
  </si>
  <si>
    <t>Korwe Software</t>
  </si>
  <si>
    <t>http://www.korwe.com</t>
  </si>
  <si>
    <t>Edu Live</t>
  </si>
  <si>
    <t>http://elearn-africa.org</t>
  </si>
  <si>
    <t>Etransport</t>
  </si>
  <si>
    <t>http://et-app.ru</t>
  </si>
  <si>
    <t>Ekaterinburg</t>
  </si>
  <si>
    <t>Transportation and logistics</t>
  </si>
  <si>
    <t>Chhattisgarh Net Voice</t>
  </si>
  <si>
    <t>http://cgnetswara.org/</t>
  </si>
  <si>
    <t>CGNet Swara (Chhattisgarh Net Voice) gives voice to the tribal population of Chattisgarh, India, by providing them with a voice-based portal where they can report local issues using a landline or mobile phone. The reported content is reviewed by moderators and appropriate submissions are published for playback on the audio channel. Subscribers are alerted via SMS that new content is ready. To listen to the content, listeners send a missed call to the system, which then calls back and leads the caller through a simple interactive voice response system, allowing them to listen to the latest news and stories. The audio content can also be found on the CGNet Swara website for web browsers.</t>
  </si>
  <si>
    <t>Shubhranshu Choudhary</t>
  </si>
  <si>
    <t>Many of the estimated 80 million members of India's tribal communities lack access to any mainstream media outlets. This often poses serious barriers to their socio-economic development, as their grievances about government neglect and economic exploitation remain unvoiced. In addition, certain factions (such as the Maoist insurgency) can exploit their frustration and isolation to violent ends. CGNet Swara provided people with a platform to solve the abovementioned problems.</t>
  </si>
  <si>
    <t>http://www.elindultometro.es/index.html</t>
  </si>
  <si>
    <t>A site which compiles, analyzes and classifies all the information about governmental pardons granted in Spain since 1996. Users can search by the type of offense, compare the annual data and analyse, for example, the political use by different governments.</t>
  </si>
  <si>
    <t>Eva Belmonte y Juan Elosua</t>
  </si>
  <si>
    <t>1) For two consecutive years, sources from the Ministry of Justice conceded that the information contained in this initiative is more precise that the official records for governmental pardons.
 2) The concession-rate has decreased (from an average of 500 pardons/year in the 1996-2012 period, to 204 in 2013 and 87 in 2014 [yet to be announced]). We can't prove that this is due to increased awareness by public opinion, and better data availability, but there's certainly a strong correlation.
 3) An statement from the Minister of Justice claiming that his office had never pardoned anyone convicted for corruption could be refuted immediately thanks to our data, and this refutation was covered by national media. 
 4) It is the de facto primary source for journalists and investigators.</t>
  </si>
  <si>
    <t>Land Portal</t>
  </si>
  <si>
    <t>http://www.landportal.info</t>
  </si>
  <si>
    <t>The Portal allows for the collection, sourcing, and searching of otherwise fragmented and inaccessible data and information on land governance and land use from diverse sources, produced by governments, academia, international organizations, indigenous peoples and NGOs. Besides documenting land rights, the Portal also encourages social information exchange, debate and networking. By combining public data, published information, and first hand knowledge, the portal has built strong foundations as the online destination for land information.</t>
  </si>
  <si>
    <t>MDG</t>
  </si>
  <si>
    <t>uses other data from int'l orgs (wb, undp, fao, etc)</t>
  </si>
  <si>
    <t>Rostnadzor</t>
  </si>
  <si>
    <t>http://www.rostnadzor.ru/</t>
  </si>
  <si>
    <t>Russian Justice</t>
  </si>
  <si>
    <t>http://rospravosudie.com</t>
  </si>
  <si>
    <t>Open North Inc.</t>
  </si>
  <si>
    <t>http://represent.opennorth.ca/</t>
  </si>
  <si>
    <t>Represent is a web service to lookup the electoral districts matching an address or postal code, and to lookup the contact information of elected officials at all levels of government in Canada.</t>
  </si>
  <si>
    <t>James McKinney</t>
  </si>
  <si>
    <t>james@opennorth.ca</t>
  </si>
  <si>
    <t>Represent is used by Canadian labour unions and nonprofits - especially environmental nonprofits - to run email campaigns, map their members/supporters to electoral districts for organizing purposes, and to provide relevant information based on electoral district. It is also used by media and companies.</t>
  </si>
  <si>
    <t>Asociación Civil Guatecambia</t>
  </si>
  <si>
    <t>www.congresotransparente.org</t>
  </si>
  <si>
    <t>Congreso Transparente is a Guatemalan organization that aims to create a communication bridge between the members of Congress and the citizens of Guatemala through the release of information and the promotion of debate in subjects such as representation, legislative action and the legislative process.</t>
  </si>
  <si>
    <t>GTM</t>
  </si>
  <si>
    <t>Angel Ramírez</t>
  </si>
  <si>
    <t>aramirez@congresotransparente.org</t>
  </si>
  <si>
    <t>Our objective has been to support the debate and discussion of the actions of the members of Congress through open, transparent and reliable data through the the principles of open government (participation, transparency and collaboration). In that context, we are working on promoting the importance of citizen participation and supporting the citizens’ task of monitoring the Congress by providing them with the relevant information they need.</t>
  </si>
  <si>
    <t>AfroChic Limited </t>
  </si>
  <si>
    <t>http://www.afrochiconline.com</t>
  </si>
  <si>
    <t>Alarm.com</t>
  </si>
  <si>
    <t>www.alarm.com</t>
  </si>
  <si>
    <t>Alarm.com is a technology provider of connected home services, powering well over one million residential and commercial installations.</t>
  </si>
  <si>
    <t>Leesburg Pike Vienna</t>
  </si>
  <si>
    <t>Angus &amp; Robertson</t>
  </si>
  <si>
    <t>http://www.angusrobertson.com.au/</t>
  </si>
  <si>
    <t>From the beginning Angus &amp; Robertson has always been proud to support Australian authors and publishers, a tradition which continues in this online store some 120+ years after the first bricks and mortar store was opened in Sydney.</t>
  </si>
  <si>
    <t>Appliances Online</t>
  </si>
  <si>
    <t>https://www.appliancesonline.com.au</t>
  </si>
  <si>
    <t>Bakers Delight</t>
  </si>
  <si>
    <t>Beaurepaires</t>
  </si>
  <si>
    <t>Bing Lee</t>
  </si>
  <si>
    <t>Boost Juice Bars</t>
  </si>
  <si>
    <t>Bunnings Warehouse</t>
  </si>
  <si>
    <t>Coles</t>
  </si>
  <si>
    <t>Consejo Nacional Empresarial Turistico</t>
  </si>
  <si>
    <t>http://www.cnet.org.mx/</t>
  </si>
  <si>
    <t>Tourism</t>
  </si>
  <si>
    <t>Agriculture;MEX;National | Consumer;MEX;National | Social and demographics;MEX;National | Economics;MEX;National | Business;MEX;National | Geospatial/mapping;MEX;National | Tourism;MEX;National | Transportation;MEX;National</t>
  </si>
  <si>
    <t>Consumidor, DemografÃ­a y PoblaciÃ³n, EconomÃ­a, Empresas, Mapeo/Geoespacial, Transporte, Turismo</t>
  </si>
  <si>
    <t>Crazy John's</t>
  </si>
  <si>
    <t>David Jones</t>
  </si>
  <si>
    <t>David Jones Limited</t>
  </si>
  <si>
    <t>Dick Smith Electronics</t>
  </si>
  <si>
    <t>Dymocks Booksellers</t>
  </si>
  <si>
    <t>Eagle Boys</t>
  </si>
  <si>
    <t>Foodland Supermarkets</t>
  </si>
  <si>
    <t>Harvey Norman</t>
  </si>
  <si>
    <t>IGA</t>
  </si>
  <si>
    <t>Kleenmaid</t>
  </si>
  <si>
    <t>Leading Edge Group</t>
  </si>
  <si>
    <t>LoseIt.com</t>
  </si>
  <si>
    <t>http://loseit.com</t>
  </si>
  <si>
    <t>Lose It! uses proven principles of weight loss (tracking and peer support) to help people manage their weight and improve their health.</t>
  </si>
  <si>
    <t>Lowes Menswear</t>
  </si>
  <si>
    <t>Myer</t>
  </si>
  <si>
    <t>Officeworks</t>
  </si>
  <si>
    <t>RedBubble</t>
  </si>
  <si>
    <t>Target Australia</t>
  </si>
  <si>
    <t>Toy Kingdom</t>
  </si>
  <si>
    <t>Wesfarmers</t>
  </si>
  <si>
    <t>Westfield Group</t>
  </si>
  <si>
    <t>Woolworths Limited</t>
  </si>
  <si>
    <t>Open State Foundation</t>
  </si>
  <si>
    <t>http://openspending.nl</t>
  </si>
  <si>
    <t>In 2013, Open State Foundation started with unlocking local spending data in Amsterdam. It build a tool in which raw local and regional spending data (both budget and quarterly expenses) could be uploaded. By beginning of 2014 it collected all budget and spending data of the past four years of all boroughs of Amsterdam and made a tool to compare both budgets with expenses as well as compare data between boroughs based on households, population and area. It then started approaching all 403 municipalities in the Netherlands, 12 provinces and 24 waterboards and by the end of 2014 it got data of one-third of all municipalities, all provinces and 3/4 of the waterboards which showed enough local support for the government to press the Central Bureau of Statistics to unlock all data automatically.</t>
  </si>
  <si>
    <t>Arjan El Fassed</t>
  </si>
  <si>
    <t>arjan@openstate.eu</t>
  </si>
  <si>
    <t>By the second quarter of 2015 this data will be automatically be unlocked. Open State Foundation will then use this raw open data to have the automated tool running. It will save a lot of time and with that public expenses for municipalities on the one hand and citizens, journalists and civil servants on the other hand. It helps council members in their task to hold municipality to account and it helps data journalists to keep a tap on local spending, in a time, when capacity for local journalism is declining. Already, some companies use this data to advise municipalities to optimize their procurement.</t>
  </si>
  <si>
    <t>http://labs.webfoundation.org/projects/opendatafortransparency/</t>
  </si>
  <si>
    <t>Our Open Data for Transparency (OD4T) project supports several CSOs working on local fiscal transparency issues in Indonesia and the Philippines. The four CSOs receive assistance (i.e. training, technical support, and mentoring) that enable them to make more effective use of financial data leading to improved transparency, citizen-government understanding and governance.</t>
  </si>
  <si>
    <t>Michael Canares</t>
  </si>
  <si>
    <t>michael@jakarta.labs.webfoundation.org</t>
  </si>
  <si>
    <t>Open Data for Transparency (OD4T) consists of four sub-projects, each differing in particular purpose but the underlying intended impact of 'better and more transparent use of government funds'.</t>
  </si>
  <si>
    <t>Sinar Project</t>
  </si>
  <si>
    <t>http://mapit.sinarproject.org</t>
  </si>
  <si>
    <t>Local council boundaries made available for public use via MapIt (Poplus) service enables this localized version of FixMyStreet for Malaysia service as well as others to build geolocation based local council applications.</t>
  </si>
  <si>
    <t>Khairil Yusof</t>
  </si>
  <si>
    <t>khairil.yusof@sinarproject.org</t>
  </si>
  <si>
    <t>Makes it easy for public to file local council issues and made available transparently without having to know which local council is responsible.</t>
  </si>
  <si>
    <t>Empower Consultancy</t>
  </si>
  <si>
    <t>http://www.empowerconsultancy.com/</t>
  </si>
  <si>
    <t>Environmental and Geospatial Solutions</t>
  </si>
  <si>
    <t>http://www.egssindia.com/</t>
  </si>
  <si>
    <t>Excel Geomatics pvt. ltd</t>
  </si>
  <si>
    <t>http://www.excelgeomatics.com/</t>
  </si>
  <si>
    <t>Ace Radio</t>
  </si>
  <si>
    <t>http://www.aceradio.com.au/ </t>
  </si>
  <si>
    <t>Ace Radio is an Australian company that owns radio stations and a newspaper. </t>
  </si>
  <si>
    <t>South Melbourne</t>
  </si>
  <si>
    <t>Austar</t>
  </si>
  <si>
    <t>Austereo Radio Network</t>
  </si>
  <si>
    <t>Becker Entertainment</t>
  </si>
  <si>
    <t>Foxtel</t>
  </si>
  <si>
    <t>Freehand Group</t>
  </si>
  <si>
    <t>John Fairfax Holdings</t>
  </si>
  <si>
    <t>KataData</t>
  </si>
  <si>
    <t>http://www.katadata.co.id</t>
  </si>
  <si>
    <t>News Corporation</t>
  </si>
  <si>
    <t>Pacific Star Network</t>
  </si>
  <si>
    <t>Village Roadshow</t>
  </si>
  <si>
    <t>Visual Obsession</t>
  </si>
  <si>
    <t>Asociacion Mexicana de Internet, A.C.</t>
  </si>
  <si>
    <t>www.amipci.org.mx</t>
  </si>
  <si>
    <t>Their mission is to accelerate the development and competitiveness of Mexico via the Internet. They study the annual events that allow us to know more about online trends and user perceptions on key issues around internet. We work directly with partner organizations, authorities, regulators, government officials, legislators, members of academia, industry and civil society for due use and responsible and productive use of the Internet and ICT.
</t>
  </si>
  <si>
    <t>Telecommunications/internet service providers (ISPs)</t>
  </si>
  <si>
    <t>Consumer;MEX;National | Social and demographics;MEX;National | Economics;MEX;National | Business;MEX;National | Finance;MEX;National | Geospatial/mapping;MEX;National | Government operations;MEX;National | Education;MEX;National | Legal;MEX;National | Science and research;MEX;National | International/global development;MEX;National</t>
  </si>
  <si>
    <t>El Universal</t>
  </si>
  <si>
    <t>http://www.eluniversal.com.mx</t>
  </si>
  <si>
    <t>Agriculture;MEX;National | Consumer;MEX;National | Social and demographics;MEX;National | Economics;MEX;National | Business;MEX;National | Finance;MEX;National | Geospatial/mapping;MEX;National | Government operations;MEX;National | Health/healthcare;MEX;National | Public safety;MEX;National | Environment;MEX;National | Education;MEX;National | Science and research;MEX;National | Tourism;MEX;National | Transportation;MEX;National | Housing;MEX;National | Energy;MEX;National | International/global development;MEX;National</t>
  </si>
  <si>
    <t>Telefonica</t>
  </si>
  <si>
    <t>http://www.telefonica.com.mx/</t>
  </si>
  <si>
    <t>Consumer;MEX;National | Social and demographics;MEX;National | Economics;MEX;National | Geospatial/mapping;MEX;National |  Energy;MEX;National | Other(Telecommunications);MEX;National</t>
  </si>
  <si>
    <t>Thomson Reuters</t>
  </si>
  <si>
    <t>http://mx.reuters.com/</t>
  </si>
  <si>
    <t>Consumer;MEX;National | Economics;MEX;National | Business;MEX;National | Finance;MEX;National | Manufacturing;MEX;National | Government operations;MEX;National | Energy;MEX;National</t>
  </si>
  <si>
    <t>African Laughter</t>
  </si>
  <si>
    <t>http://www.africanlaughter.com</t>
  </si>
  <si>
    <t>African  Laughter  was  founded  in  2007,  by  international  business  journalist  Jenny Luesby,  as  an  independent  producer  of  editorial  content.  It has grown to be a prominent supplier to the Kenyan and international media industry, with over 1000 by-lines in NMG publications, Standard Group newspapers, and many magazines and foreign news services.</t>
  </si>
  <si>
    <t>Food+Tech Connect</t>
  </si>
  <si>
    <t>http://www.foodtechconnect.com</t>
  </si>
  <si>
    <t>Food+Tech Connect is a media and research company building a network for innovators transforming the business of food, through news, analysis and research, and events.</t>
  </si>
  <si>
    <t>Oeco</t>
  </si>
  <si>
    <t>http://www.oeco.org.br/amazonia</t>
  </si>
  <si>
    <t>((O)) eco is a website dedicated to environmental journalism nonprofit. It gives voice to animals and plants, to the people who protect and good debates about conservation.</t>
  </si>
  <si>
    <t>Environment;BRA; national | Economics;BRA; national | Manufacturing;BRA; national</t>
  </si>
  <si>
    <t>advocacy: InfoAmazonia provides timely news and reports of the endangered Amazon region. A network of organizations and journalists deliver updates from the nine countries of the forest. The data used will always be freely available for download and will be renewed frequently. The comparison between stories and data aims to improve public’s perception of issues in the Amazon region. http://infoamazonia.org/</t>
  </si>
  <si>
    <t>MIT Center for Civic Media</t>
  </si>
  <si>
    <t>http://datamurals.org</t>
  </si>
  <si>
    <t>The Data Murals process brings together community organizations and community members to analyze their data about an issue they care about, find a story they want to tell in that data, collaboratively design a mural that tells the story in a visual way, and then paint the mural together.</t>
  </si>
  <si>
    <t>Rahul Bhargava</t>
  </si>
  <si>
    <t>rahulb@mit.edu</t>
  </si>
  <si>
    <t>Bringing people together around the data has had numerous impact already. First off, existing partnerships are reinforced and new collaborations are created as people look at the data together and find ideas for new data that should be added. Secondly, participants walk away with greater data literacy, translating into an ability to use data effectively for advocacy in their own work. Thirdly, the mural created is used as an data-driven advocacy piece to bring attention and action to the story it tells about the issue participants care about. Fourthly (is that a word?), it is a community mural, so it brings greater ownership of the space, beautifies it, and serves as a public memory of the data about the issue.</t>
  </si>
  <si>
    <t>http://thomsonreuters.com/</t>
  </si>
  <si>
    <t>Thomson Reuters Corporation is a multinational media and information firm based in New York City.</t>
  </si>
  <si>
    <t>Newsware</t>
  </si>
  <si>
    <t>http://www.newsware.com</t>
  </si>
  <si>
    <t>NewsWatch is a fully customizable, real-time streaming news filtering system. NewsWatch offers hundreds of national and international news sources, including general newswires, financial newswires (such as Dow Jones), press release wires, SEC filings, and newspapers, as well as easy, one-click links to thousands of web sites.</t>
  </si>
  <si>
    <t>Ubimo</t>
  </si>
  <si>
    <t>www.ubimo.com</t>
  </si>
  <si>
    <t>ubimo provides location-based data and programmatic buying technologies for moblie advertising</t>
  </si>
  <si>
    <t>Tel Aviv</t>
  </si>
  <si>
    <t>https://www.ourcrowd.com/ubimo</t>
  </si>
  <si>
    <t>Factly</t>
  </si>
  <si>
    <t>https://factly.in/</t>
  </si>
  <si>
    <t>FACTLY is a platform that brings you various aspects of life that directly or indirectly affects the common man but with ONE difference. Each news story on FACTLY is backed by factual evidence/data that is either available in the public domain or that is collated/gathered/collected using tools such as the Right to Information (RTI).</t>
  </si>
  <si>
    <t>Governance(transparency)</t>
  </si>
  <si>
    <t>new | optimization | research | advocacy</t>
  </si>
  <si>
    <t>The Gleaner</t>
  </si>
  <si>
    <t>http://jamaica-gleaner.com</t>
  </si>
  <si>
    <t>The Gleaner Company Limited is a Jamaica-based newspaper company.</t>
  </si>
  <si>
    <t>Alpine Interactive</t>
  </si>
  <si>
    <t>http://www.alpineinteractive.co.uk/</t>
  </si>
  <si>
    <t>Alpine Interactive is a technology services company providing IT support, website design and software development services</t>
  </si>
  <si>
    <t>info@alpineinteractive.co.uk</t>
  </si>
  <si>
    <t>44 (0)203 772 8966</t>
  </si>
  <si>
    <t>Developed COINS database of open government spending data</t>
  </si>
  <si>
    <t>Textizen</t>
  </si>
  <si>
    <t>https://www.textizen.com/</t>
  </si>
  <si>
    <t>Textizen’s web platform sends, receives, and analyzes text messages so you can reach the people you serve with the technology already in their pocket, 24/7.</t>
  </si>
  <si>
    <t>38 Degrees</t>
  </si>
  <si>
    <t>http://www.38degrees.org.uk/</t>
  </si>
  <si>
    <t>38 Degrees is a political campaigning community which facilitates grassroots campaigning across a wide range of issues.</t>
  </si>
  <si>
    <t>David Babbs (Executive Director), Madeline Carroll (Campaign Director)  </t>
  </si>
  <si>
    <t>@38_degrees, emailtheteam@38degrees.org.uk</t>
  </si>
  <si>
    <t>0044 0207 970 6023</t>
  </si>
  <si>
    <t>Several campaigns have involved usage or lobbying around open data</t>
  </si>
  <si>
    <t>24/7 well Log digitizing services company</t>
  </si>
  <si>
    <t>http://www.24x7welllogdigitizingservices.in/</t>
  </si>
  <si>
    <t>24x7 Well Log Digitizing Services Company was created to better serve the oil and gas exploration industry, by using the latest technology and services to generate the highest dollar returns for the client’s assets. The organization provides integrated geological, Geophysical, and Petro physical Services to the petroleum and exploration fields worldwide. They use open geographical data and satellite data to create a virtual map that guides oil and gas exploration.</t>
  </si>
  <si>
    <t>Mr. Megha Singh</t>
  </si>
  <si>
    <t>megha@24x7welllogdigitizingservices.in, info@24x7welllogdigitizingservices.in</t>
  </si>
  <si>
    <t>ABC Technolabs India Pvt. Ltd.</t>
  </si>
  <si>
    <t>http://abctechnolab.com/</t>
  </si>
  <si>
    <t>ABC Techno Labs India Private Limited (formerly ABC Environ Solutions Private Ltd.) is a Environmental Engineering and Consultancy Organisation constantly striving towards newer heights since its inception in 2006. The Company is dedicated to provide strategic services in the areas of environment, infrastructure and energy, engineering and multilab. They use open geographical data and satellite data to consult decision makers regarding the environment, infrastructure development and mineral exploration by providing unique visualizations of relavant data and geographic regions.</t>
  </si>
  <si>
    <t>Mr. Shrikant</t>
  </si>
  <si>
    <t>Mining / Legal services </t>
  </si>
  <si>
    <t>http://abctechnolab.com/readmore/</t>
  </si>
  <si>
    <t>Adani Mining</t>
  </si>
  <si>
    <t>http://www.adanimining.com/</t>
  </si>
  <si>
    <t>The Adani Group’s venture into Australia commenced in 2010 with the purchase of the Greenfield Carmichael Coal Mine in the Galilee Basin, Central Queensland, and the Port of Abbot Point near Bowen in North Queensland. </t>
  </si>
  <si>
    <t>Mining/manufacturing</t>
  </si>
  <si>
    <t>Mining - No information on open data</t>
  </si>
  <si>
    <t>Anglo American Australia</t>
  </si>
  <si>
    <t>http://australia.angloamerican.com/</t>
  </si>
  <si>
    <t>Anglo American mine the materials that make modern life possible, in ways that are safer, smarter and more responsible. Anglo American has operated in Australia since 2000 and our portfolio includes thermal and metallurgical coal across six mines and two states</t>
  </si>
  <si>
    <t>Mining company</t>
  </si>
  <si>
    <t>Atlas Copco</t>
  </si>
  <si>
    <t>Bechtel Corporation</t>
  </si>
  <si>
    <t>BHP Billiton</t>
  </si>
  <si>
    <t>Cuesta Coal</t>
  </si>
  <si>
    <t>Fortescue Metals Group</t>
  </si>
  <si>
    <t>Glencore Xstrata</t>
  </si>
  <si>
    <t>GVK</t>
  </si>
  <si>
    <t>Hancock Prospecting</t>
  </si>
  <si>
    <t>International Coal</t>
  </si>
  <si>
    <t>Newmont</t>
  </si>
  <si>
    <t>Ozminerals</t>
  </si>
  <si>
    <t>Rio Tinto</t>
  </si>
  <si>
    <t>Yancoal</t>
  </si>
  <si>
    <t>http://www.yancoal.com.au/</t>
  </si>
  <si>
    <t>Yancoal is one of the largest export coal miners in Australia, producing both thermal and metallurgical coals from its portfolio of mines located in Queensland and New South Wales.</t>
  </si>
  <si>
    <t>Hyperboloid</t>
  </si>
  <si>
    <t>http://www.boloid.com</t>
  </si>
  <si>
    <t>Etranzact Ghana LTD</t>
  </si>
  <si>
    <t>http://www.etranzactgh.com</t>
  </si>
  <si>
    <t>Confiscati Bene</t>
  </si>
  <si>
    <t>http://www.confiscatibene.it/</t>
  </si>
  <si>
    <t>The project scrapes and shares information held by a government agency tasked with reallocating assets confiscated to Mafia bosses and other assorted mobsters.</t>
  </si>
  <si>
    <t>project of Monithon</t>
  </si>
  <si>
    <t>Buenos Aires Apps</t>
  </si>
  <si>
    <t>http://concursos.buenosaires.gob.ar/2013/</t>
  </si>
  <si>
    <t>Civil society actors have created 49 applications in Argentina, some  through competitions and events organized by the Director of Information and Open Government). These applications are based on data from a variety of topics, such as education, transit, culture, and security, among others.</t>
  </si>
  <si>
    <t>This is a group of apps. We should check them out</t>
  </si>
  <si>
    <t>dato seguro.gob.ec</t>
  </si>
  <si>
    <t>http://www.datoseguro.gob.ec</t>
  </si>
  <si>
    <t>Que los ciudadanos ecuatorianos tengan acceso a sus datos que están en los registros públicos del país</t>
  </si>
  <si>
    <t>ECU</t>
  </si>
  <si>
    <t>el portal del gobierno de Misiones Argentina</t>
  </si>
  <si>
    <t>http://www.misiones.gov.ar/index.php</t>
  </si>
  <si>
    <t>All agencies of the Provincial Public Administration, share information and this is reutilizable.</t>
  </si>
  <si>
    <t>Land Quest</t>
  </si>
  <si>
    <t>http://landquest.internewskenya.org</t>
  </si>
  <si>
    <t>This experiment in cross-border investigative journalism by two European, two Kenyan and one American journalist seeks to redefine both the focus and the audience of development reporting.  This data reveals Kenya as the battlefield between two competing financial interests: the flow of aid money from Europe to Kenya and multinational profits from Kenya to the Europe Union, Kenya’s second largest trading partner after China. Aid money flows into Kenya to help strengthen institutions and private companies, from agro-industrialists to oil barons, seek to profit from unregulated resources through land grabs.  Mapping development and private sector stories and data help people visualize the interplay between capitalism and altruism and its impact on wealth and inequality. </t>
  </si>
  <si>
    <t>Code for Africa project</t>
  </si>
  <si>
    <t>Naija Connect Store</t>
  </si>
  <si>
    <t>http://www.naijaconnectstore.com.ng</t>
  </si>
  <si>
    <t>NAIJA CONNECT STORE IS AN  online Procurement CENTRE for wholesale and retail products, Serving small, medium sized businesses, organisations and individuals.</t>
  </si>
  <si>
    <t>Kaduna</t>
  </si>
  <si>
    <t>Information Culture</t>
  </si>
  <si>
    <t>MamaInspector (Mamnadzor)</t>
  </si>
  <si>
    <t>http://www.mamnadzor.ru</t>
  </si>
  <si>
    <t>Movimiento Congruencia</t>
  </si>
  <si>
    <t>www.congruencia.org.mx</t>
  </si>
  <si>
    <t>Social and demographics;MEX;National | Education;MEX;National</t>
  </si>
  <si>
    <t>Barrios Activos</t>
  </si>
  <si>
    <t>http://barriosactivos.com/</t>
  </si>
  <si>
    <t>Barrios Activos is a platform for citizen participation that allows the government administration to identify the main social problems, identify those involved in these incidents and communicate solutions directly.</t>
  </si>
  <si>
    <t>Code for Kenya</t>
  </si>
  <si>
    <t>Code4Kenya (C4K) is a Pilot program and a global first. Jointly funded by the World Bank’s Innovation Fund and Governance Partnership Facility, together with the Africa Media Initiative, through their Digital Projects Division, C4K they embed 4 fellows in Media and Civil Society Organizations, backed by external software development team that are housed at an incubation facility.</t>
  </si>
  <si>
    <t>info@code4kenya.org</t>
  </si>
  <si>
    <t>Syria Deaths Dashboard</t>
  </si>
  <si>
    <t>https://spotfire.cloud.tibco.com/public/ViewAnalysis.aspx?file=/users/dmosenkis/Public/SyriaTracker5&amp;waid=ba6def77cf63b5f4f04d4-08053427bfdfc5</t>
  </si>
  <si>
    <t>Interactive dashboard that tracks and analyzes deaths in Syria based on crowdsourced data on every casualty.</t>
  </si>
  <si>
    <t>SYR</t>
  </si>
  <si>
    <t>a project of SumAll, seems to use crowdsourced data</t>
  </si>
  <si>
    <t>4Bells</t>
  </si>
  <si>
    <t>http://www.caravanstudios.org/#!4bells-homecopy/colq</t>
  </si>
  <si>
    <t>Mobile app that matches volunteers with time-sensitive tasks, like delivering important documents, picking up a dog from the pound, or deploying volunteers after a disaster. </t>
  </si>
  <si>
    <t>unclear open data use</t>
  </si>
  <si>
    <t>BuildingEye</t>
  </si>
  <si>
    <t>https://buildingeye.com/</t>
  </si>
  <si>
    <t>Provides  an  easy-to-use  interface  for  citizens  to  access  building  permits,  Planning  Applications,  Business  Licenses,  Capital  Projects,  Engineering  Works  and  Public  Events,  24hrs  a  day.  Thereby  reducing  costly  and  time-‐consuming  visits  to agency offices</t>
  </si>
  <si>
    <t>Sozialhelden e.V.</t>
  </si>
  <si>
    <t>www.sozialhelden.de</t>
  </si>
  <si>
    <t>The aim of the association is to make social action attractive and visible.</t>
  </si>
  <si>
    <t>Other(Social justice)</t>
  </si>
  <si>
    <t>Developed BrokenLifts. BrokenLifts publishes all out-of-order elevators at public transit stations in the metropolitan region of Berlin. Berlin-Brandenburg transit data on elevator malfunctions or failures is collected, bundled, and analyzed every 15 minutes. BrokenLifts is currently planning to expand to the broader Brandenburg region.</t>
  </si>
  <si>
    <t>http://brokenlifts.org/about</t>
  </si>
  <si>
    <t>Openkratio</t>
  </si>
  <si>
    <t>proyectocolibri.es</t>
  </si>
  <si>
    <t>Our goal was to collect all data from congreso.es (spanish parliament webpage) and organize them for publishing those data in a REST API. The final objective was to generate an technical ecosystem that allows civic hackers building parliamentary monitoring apps.</t>
  </si>
  <si>
    <t>Pablo Martín</t>
  </si>
  <si>
    <t>edipotrebol@gmail.com</t>
  </si>
  <si>
    <t>For IDEA and Pattiro Surakarta in Indonesia, both projects intend to make budget information available and transparent, enabling citizens to participate in the budgeting process and have their priority needs known, understood and considered by local governments.</t>
  </si>
  <si>
    <t>Qué hacen Association</t>
  </si>
  <si>
    <t>http://quehacenlosdiputados.net</t>
  </si>
  <si>
    <t>QueHacenLosDiputados.net is a monitoring Spanish Parliament's activity website with an open source API. Anyone can follow parliamentary initiatives, speeches, votes (with an interactive chamber), commission's composition and agenda and MP's working and parliamentary activity and salary. On the blog we explain the making decision process and how the Parliament works.</t>
  </si>
  <si>
    <t>Vicky Bolaños</t>
  </si>
  <si>
    <t>vicky@quehacenlosdiputados.net</t>
  </si>
  <si>
    <t>Website users look up every day MP's sheets (average 200 users per day). Journalists from online media, radio and TV programs have used data from our website to report. Some developers in Spain and in Colombia have used our API to replicate the project.</t>
  </si>
  <si>
    <t>https://sinar-malaysia.popit.mysociety.org/</t>
  </si>
  <si>
    <t>To build an open database of people and organizations with open API and based on standards (popolo) which would would not only make it easier to build transparency applications but also be able to easily merge datasets due to use of common data standard and identifiers.</t>
  </si>
  <si>
    <t>Improve transparency and accountability of politicians, and reduce corruption by putting together information from various sources.</t>
  </si>
  <si>
    <t>https://www.muenchen-transparent.de/</t>
  </si>
  <si>
    <t>Code for Germany’s Transparent Munich project enables its citizens to quickly and easily locate information about their local government. The portal hosts a number of customizable, user-friendly features: A calendar compatible RSS feed to inform citizens when the next city council or committee meetings are taking place, an e-mail alert system to notify subscribers when new documents matching their search criteria become available, information on elected councilmembers, committee members, hearing agendas, meeting minutes, among other information all easy retrievable online. </t>
  </si>
  <si>
    <t>Transparent Munich strengthens local democratic participation by informing citizens on legislative concepts on the local law-making process, thus helping individuals navigate complex bureaucratic processes.</t>
  </si>
  <si>
    <t>Egora</t>
  </si>
  <si>
    <t>Agadir</t>
  </si>
  <si>
    <t>Openpolis</t>
  </si>
  <si>
    <t>www.openmunicipio.it</t>
  </si>
  <si>
    <t>Local municipalities can decide to take part in this project by “opening” their public data, and by making the doings of the town council more transparent and accessible. Each presented act, bill and motion is immediately published online to allow an open discussion with citizens. for this purpose, each document is analyzed, categorized and geo-localized.</t>
  </si>
  <si>
    <t>Vincenzo Smaldore</t>
  </si>
  <si>
    <t>vincenzo@openpolis.it</t>
  </si>
  <si>
    <t>Improve knowledge of what happens in the town by citizens, media and civil society.</t>
  </si>
  <si>
    <t>www.openbilanci.it</t>
  </si>
  <si>
    <t>We published the budgets of the past 10 years of over 8000 municipalities. Besides specific details for each local administration, comparisons, rankings and indicators allow users to have a better understanding of data and numbers at times complicated to understand.</t>
  </si>
  <si>
    <t>Improve knowledge of how public money is spent by the municipalities</t>
  </si>
  <si>
    <t>OpenCorporates</t>
  </si>
  <si>
    <t>https://opencorporates.com/viz/financial/index.html#goldman/</t>
  </si>
  <si>
    <t>The project visualizes the large network of interconnected companies spread around the world.</t>
  </si>
  <si>
    <t>Illustrate subsidiaries of major banks and corporates in tax havens</t>
  </si>
  <si>
    <t>University of Cambridge, Hungarian Academy of Sciences (HAS), Corruption Research Center Budapest</t>
  </si>
  <si>
    <t>http://papers.ssrn.com/sol3/papers.cfm?abstract_id=2531701</t>
  </si>
  <si>
    <t>The project develops algorithms to automatically flag cases of potential corruption using open data. It develops a new conceptual and analytical framework for gauging state capture based on micro-level contractual networks in public procurement.</t>
  </si>
  <si>
    <t>HUN</t>
  </si>
  <si>
    <t>Mihály Fazekas, University of Cambridge and Corruption Research Center Budapest</t>
  </si>
  <si>
    <t>mihaly.fazekas@crcb.eu</t>
  </si>
  <si>
    <t>Improve understanding of the network structure of corruption and state capture opens new avenues of research and policy advice on anti-corruption efforts, budget deficit, market competition, and democratic contestation.</t>
  </si>
  <si>
    <t>zNašichDaní</t>
  </si>
  <si>
    <t>http://znasichdani.sk/l/?l=en</t>
  </si>
  <si>
    <t>Znasichdani.sk aims to show the public which entrepreneurs and companies are successful in securing contracts with the state in public procurements.</t>
  </si>
  <si>
    <t>SVK</t>
  </si>
  <si>
    <t>public procurement
Znasichdani.sk is based on the assumption that if people get access to this kind of detailed information, management of public money in Slovakia will become more transparent. Procurement of overpriced goods and services will get a new dimension if citizens are able to connect the benefits from these procurements with specific names and faces.</t>
  </si>
  <si>
    <t>Corporate Europe Observatory, LobbyControl, Friends of the Earth Europe</t>
  </si>
  <si>
    <t>http://lobbyfacts.eu/</t>
  </si>
  <si>
    <t>LobbyFacts make it easier to understand and use the existing data on EU lobbying; make it possible to compare, order and analyse data; help anyone who wants to track lobbyists and their influence at the EU level (journalists, activists, decision-makers and citizens); and expose the inaccuracies and lack of information in the current register.</t>
  </si>
  <si>
    <t>Create lobby transparency that reveals the lobby pressures on decision-makers and can help to ensure that they listen to a variety of views when making policy; transparency can illustrate lobbying imbalances in terms of staff numbers and spending power; and it can substantially reduce unethical or unscrupulous lobbying. Ultimately, lobby transparency should lead to better public policy-making.</t>
  </si>
  <si>
    <t>OpenSecret.org</t>
  </si>
  <si>
    <t>https://www.opensecrets.org/lobby/</t>
  </si>
  <si>
    <t>OpenSecrets.org is the nation's premier website tracking the influence of money on U.S. politics, and how that money affects policy and citizens' lives.</t>
  </si>
  <si>
    <t>Inform citizens about how money in politics affects their lives; Empower voters and activists by providing unbiased information; And advocate for a transparent and responsive government</t>
  </si>
  <si>
    <t>Public Mapping Project</t>
  </si>
  <si>
    <t>http://www.districtbuilder.org/</t>
  </si>
  <si>
    <t>DistrictBuilder is web-based, open source software for collaborative redistricting. It has been designed to provide you with affordable, easy-to-use, customizable redistricting tools that make the redistricting process more open and collaborative across agencies and with the public.</t>
  </si>
  <si>
    <t>To combat the problem of gerrymandering in election.</t>
  </si>
  <si>
    <t>Poderopedia</t>
  </si>
  <si>
    <t>To reveals links among business and political leaders.</t>
  </si>
  <si>
    <t>Miguel Paz</t>
  </si>
  <si>
    <t>miguel@poderopedia.com</t>
  </si>
  <si>
    <t>Poderopedia.org is a data journalism platform which has promoted transparency and detection of conflicts of interest, has generated a number of impact news stories; and has built alliances with other Latin American organizations, among other achievements.</t>
  </si>
  <si>
    <t>Open Data City</t>
  </si>
  <si>
    <t>http://lobbyplag.eu/</t>
  </si>
  <si>
    <t>Currently the European Parliament is about to adopt a new General Data Protection Regulation (GDPR). Over 3000 amendments were submitted in the committees involved with the regulation, hundreds of pages in proposals by lobby organisations had their impact on this highly volatile process. LobbyPlag aims to make this whole process transparent and comprehensible. You can compare the lobbyists requests and the committee members proposals and learn which impact the changes would have on the protection of your data.</t>
  </si>
  <si>
    <t>Involving citizens in law-making for GDPR, by keeping them better informed for the whole process</t>
  </si>
  <si>
    <t>Mars Group Kenya</t>
  </si>
  <si>
    <t>http://marsgroupkenya.org</t>
  </si>
  <si>
    <t>Mars Group Kenya operates one of the largest databases of governance information in Kenya, focusing on corruption in the executive, legislative and judiciary branches of government, as well as on accountability and civic education. Their mission is to create the largest digital database of governance information in Kenya for archiving and indexing. The system has over two terabytes of governance information on its websites, about 8,000 registered subscribers, and has achieved over 20 million hits since launch.</t>
  </si>
  <si>
    <t>Jayne Mati, Mwalimu Mati</t>
  </si>
  <si>
    <t>Mars Group was critical in raising awareness about an unjustified increase in remuneration in Kenya’s ninth parliament in 2007, which was confirmed by an independent parliamentary investigation. They are also an important part of the Kenyan civil society initiative that has been helping expose extrajudicial assassinations by the Kenyan police since 2007.</t>
  </si>
  <si>
    <t>mySociety (UK Citizens Online Democracy)</t>
  </si>
  <si>
    <t>TheyWorkForYou lets you find out what your MP, MSP or MLA is doing in your name, read debates, written answers, see what’s coming up in Parliament, and sign up for email alerts when there’s past or future activity on someone or something you're interested in.</t>
  </si>
  <si>
    <t>Civic engagement in law-making and parliamentary process</t>
  </si>
  <si>
    <t>Parltrack</t>
  </si>
  <si>
    <t>http://parltrack.euwiki.org/</t>
  </si>
  <si>
    <t>Parltrack is a European initiative to improve the transparency of legislative processes. It combines information on dossiers, representatives, vote results and committee agendas into a unique database and allows the tracking of dossiers using email and RSS. Most of the data presented is also available for further processing in JSON format. Using Parltrack it's easy to see at a glance which dossiers are being handled by committees and MEPs.</t>
  </si>
  <si>
    <t>Regards Citoyens, Sciences Po’s médialab and Density Design</t>
  </si>
  <si>
    <t>Parliamentary monitoring website which gives an unprecedented view of more than 40,000 amendments to some 300 French legal texts.</t>
  </si>
  <si>
    <t>https://www.opencongress.org/</t>
  </si>
  <si>
    <t>OpenCongress allows anyone to follow legislation in Congress, from bill introduction to floor vote. Learn more about issues you care about and connect with others who share similar views.</t>
  </si>
  <si>
    <t>http://www.openpolis.it/</t>
  </si>
  <si>
    <t>The biggest and most up to date database on italian politicians. over 250.000 personalized pages with biography, political career, and timeline of past institutional postings for each elected representative for each institutional level: local municipalities, Regions, National and European Parliament.</t>
  </si>
  <si>
    <t>Every citizen has the Italian representatives in every institutional level of the Italian Republic, which means hundreds of politicians.
 Openpolitici allows you to know who they are, their political careers in political parties and institutions. It is an indispensable tool for active citizenship.</t>
  </si>
  <si>
    <t>Archipelago AreaC</t>
  </si>
  <si>
    <t>http://arcipelagoareac.it
</t>
  </si>
  <si>
    <t>Air monitoring data scraping since 2005, creation of data plottings, analysis of traffic ban effects on pollution</t>
  </si>
  <si>
    <t>Andrea Trentini</t>
  </si>
  <si>
    <t>andrea.trentini@unimi.it</t>
  </si>
  <si>
    <t>
http://arcipelagoareac.it/CSV
http://arcipelagoareac.it/Grafici
social and political push for ARPA to modify their "method" to download data that should be openly available (they oblige users to fill a CAPTCHA protected form for every small subset of data, i.e. to get all the historical data about 10000 forms must be manually filled)</t>
  </si>
  <si>
    <t>Pricecheck</t>
  </si>
  <si>
    <t>http://www.pricecheck.co.za/</t>
  </si>
  <si>
    <t>GEM Project</t>
  </si>
  <si>
    <t>http://www.gemproject.org/</t>
  </si>
  <si>
    <t>GEM is a mobile reward system aimed at incentivising citizen engagement with community development efforts in South Africa. The project consists of a website, mobile app, and USSD system to ensure users of non-smart phones can also access GEMs.</t>
  </si>
  <si>
    <t>GEM has undergone two trials, and demonstrated the ability to mobilise a large groups of volunteers to do social deeds, such as waste management, community clean-ups and vaccinations in exchange for GEMS (1 GEM = 1 Rand). Currently, the initiative is exploring ways in which it can partner with government and be used to improve service delivery.</t>
  </si>
  <si>
    <t>Korbitec</t>
  </si>
  <si>
    <t>http://www.korbitec.com</t>
  </si>
  <si>
    <t>4sl Consulting</t>
  </si>
  <si>
    <t>http://www.4sl.com/</t>
  </si>
  <si>
    <t>4sl Consulting is a technology company offering service management consulting and product-agnostic backup and recovery services</t>
  </si>
  <si>
    <t>Stuart Tarrant (Co-Founder), Richard Simpkins (Sales Director)</t>
  </si>
  <si>
    <t>@4slGroup, sales@4sl.com</t>
  </si>
  <si>
    <t>44 (0) 203 307 1030</t>
  </si>
  <si>
    <t>* Accessment of Big Data, and Data Storage</t>
  </si>
  <si>
    <t>Abison Burke</t>
  </si>
  <si>
    <t>www.abisonburke.com</t>
  </si>
  <si>
    <t>At AbisonBurke we have more than 12 years of experience in putting together talented marketing &amp; research teams. The most valuable contribution we bring to our clients is a disruptive technology in analytical modeling that aids to decision making.</t>
  </si>
  <si>
    <t>Consumer;MEX;National | Social and demographics;MEX;National | Economics;MEX;National | Business;MEX;National | Finance;MEX;National | Manufacturing;MEX;National | Geospatial/mapping;MEX;National | Government operations;MEX;National | </t>
  </si>
  <si>
    <t>Abt Associates, Inc</t>
  </si>
  <si>
    <t>http://www.abtmexico.net</t>
  </si>
  <si>
    <t>Abt Associates is a mission-driven, global leader in research and program implementation in the fields of climate change, health, social and environmental policy, and international development. For nearly 50 years, they have been a critical resource to governments, international organizations, academia, and foundations around the world.</t>
  </si>
  <si>
    <t>Business;MEX;National | Economics;MEX;National | Government operations;MEX;National</t>
  </si>
  <si>
    <t>Government Transparency</t>
  </si>
  <si>
    <t>http://www.abtmexico.net/</t>
  </si>
  <si>
    <t>Abt-Associates</t>
  </si>
  <si>
    <t>abtassoc.com</t>
  </si>
  <si>
    <t>Abt Associates is a mission-driven, global leader in research and program implementation in the fields of health, social and environmental policy, and international development.</t>
  </si>
  <si>
    <t>Environment;USA;National | Demographics and social;USA;National | Transportation;USA;National | Health/healthcare;USA;National | Government operations;USA;National</t>
  </si>
  <si>
    <t>Andrew Stoeckle</t>
  </si>
  <si>
    <t>Andrew_Stoeckle@abtassoc.com</t>
  </si>
  <si>
    <t>Accendo Associates</t>
  </si>
  <si>
    <t>http://www.accendoassociates.com/</t>
  </si>
  <si>
    <t>Accendo Associates is a digital financial services consultancy providing advice to corporates, donors and governments on implementing services such as payments, savings, lending and insurance using digital means (mobile phones, cards and point-of-sale devices)</t>
  </si>
  <si>
    <t>Prateek Shrivastava (Director), Gregory Ubigen (Seneior Associate) </t>
  </si>
  <si>
    <t>pshrivastava@accendoassociates.com, gubigen@accendoassociates.com </t>
  </si>
  <si>
    <t>* Digital Financial Services</t>
  </si>
  <si>
    <t>Accenture</t>
  </si>
  <si>
    <t>http://www.accenture.com/</t>
  </si>
  <si>
    <t>Accenture is one of the world’s leading organizations providing management consulting, technology and outsourcing services, with more than 323,000 employees; offices and operations in more than 200 cities in 56 countries; and net revenues of $30.0 billion for fiscal 2014.</t>
  </si>
  <si>
    <t>Agriculture;MEX;National | Consumer;MEX;National | Social and demographics;MEX;National | Economics;MEX;National | Business;MEX;National | Finance;MEX;National | Manufacturing;MEX;National | Geospatial/mapping;MEX;National | Government operations;MEX;National | Health/healthcare;MEX;National | Public safety;MEX;National | Environment;MEX;National | Education;MEX;National | Legal;MEX;National | Science and research;MEX;National | Tourism;MEX;National | Transportation;MEX;National</t>
  </si>
  <si>
    <t>Africa Research</t>
  </si>
  <si>
    <t>http://www.africaresearch.co.za</t>
  </si>
  <si>
    <t>Africa Research is an international research agency, with extensive research expertise in Africa. We provide comprehensive research solutions through Company and Market Research, Project Management, Field work, Data collection &amp; Analysis, and Academic Research. </t>
  </si>
  <si>
    <t>Website not up yet</t>
  </si>
  <si>
    <t>Agencia de Estada­stica de Mercados S.C. (AEM Research)</t>
  </si>
  <si>
    <t>http://www.aemresearch.com/</t>
  </si>
  <si>
    <t>Agriculture;MEX;National | Consumer;MEX;National | Social and demographics;MEX;National | Economics;MEX;National | Business;MEX;National | Finance;MEX;National | Manufacturing;MEX;National | Geospatial/mapping;MEX;National | Government operations;MEX;National | </t>
  </si>
  <si>
    <t>AMAI</t>
  </si>
  <si>
    <t>www.amai.org</t>
  </si>
  <si>
    <t>The Amai is the only professional association in Latin America focused on industry intelligence applied to business and social issues. Founded in 1992, the Amai originally emerged to be the institutional center of the Mexican community market research, opinion and communication; now encompasses the entire generation industry and processing of data for decision-making.</t>
  </si>
  <si>
    <t>Consumer;MEX;National | Social and demographics;MEX;National | Economics;MEX;National | Business;MEX;National | Finance;MEX;National | Geospatial/mapping;MEX;National | Government operations;MEX;National | Public safety;MEX;National | Legal;MEX;National | Tourism;MEX;National | Housing;MEX;National</t>
  </si>
  <si>
    <t>Industry intelligence applied to business and social issues'</t>
  </si>
  <si>
    <t>http://www.amai.org/quienes_somos/quienes.php</t>
  </si>
  <si>
    <t>Asociacion Mexicana de la Industria Automotra­z (AMIA)</t>
  </si>
  <si>
    <t>www.amia.com.mx/</t>
  </si>
  <si>
    <t>Consumer;MEX;National | Economics;MEX;National | Finance;MEX;National | Manufacturing;MEX;National | Geospatial/mapping;MEX;National | Health/healthcare;MEX;National | Transportation;MEX;National</t>
  </si>
  <si>
    <t>AT Kearney</t>
  </si>
  <si>
    <t>Avanade</t>
  </si>
  <si>
    <t>Bain &amp; Company</t>
  </si>
  <si>
    <t>BCG</t>
  </si>
  <si>
    <t>Booz &amp; Company</t>
  </si>
  <si>
    <t>Booz Allen Hamilton</t>
  </si>
  <si>
    <t>http://www.boozallen.com</t>
  </si>
  <si>
    <t>Booz Allen Hamilton provides management consulting, technology, and engineering services.</t>
  </si>
  <si>
    <t>Other (Defense); USA; National</t>
  </si>
  <si>
    <t>Boston Consulting Group</t>
  </si>
  <si>
    <t>http://www.bcg.com</t>
  </si>
  <si>
    <t>BCG is a global management consulting firm that identifies opportunities and challenges for clients from the private, public, and nonprofit sectors.</t>
  </si>
  <si>
    <t>BuendÃ­a &amp; Laredo</t>
  </si>
  <si>
    <t>http://www.buendiaylaredo.com/</t>
  </si>
  <si>
    <t>Consumer;MEX;National | Social and demographics;MEX;National | Economics;MEX;National | Business;MEX;National | Geospatial/mapping;MEX;National</t>
  </si>
  <si>
    <t>C230 Consultores</t>
  </si>
  <si>
    <t>http://c-230.com/</t>
  </si>
  <si>
    <t>Agriculture;MEX;National | Consumer;MEX;National | Social and demographics;MEX;National | Economics;MEX;National | Business;MEX;National | Finance;MEX;National | Geospatial/mapping;MEX;National | Health/healthcare;MEX;National | Education;MEX;National | Legal;MEX;National | Science and research;MEX;National | Housing;MEX;National | Energy;MEX;National</t>
  </si>
  <si>
    <t>CapGemini</t>
  </si>
  <si>
    <t>Center for Responsive Politics</t>
  </si>
  <si>
    <t>www.opensecrets.org</t>
  </si>
  <si>
    <t>The Center for Responsive Politics is a research institution tracking money in U.S. politics and its effect on elections and public policy.</t>
  </si>
  <si>
    <t>Centro de InvestigaciÃ³n para el Desarrollo (CIDAC)</t>
  </si>
  <si>
    <t>http://www.cidac.org/esp/index.php</t>
  </si>
  <si>
    <t>Charles River Associates</t>
  </si>
  <si>
    <t>http://crai.com/</t>
  </si>
  <si>
    <t>Charles River Associates is a global consulting firm that offers economic, financial, and strategy expertise to major law firms, corporations, accounting firms, and governments.</t>
  </si>
  <si>
    <t>Computer Associates</t>
  </si>
  <si>
    <t>Computer Sciences Corp</t>
  </si>
  <si>
    <t>Cuadra Urbanismo</t>
  </si>
  <si>
    <t>http://www.cuadraurbanismo.com/</t>
  </si>
  <si>
    <t>Social and demographics;MEX;National | Economics;MEX;National | Geospatial/mapping;MEX;National | Government operations;MEX;National | Public safety;MEX;National | Environment;MEX;National | Education;MEX;National | Transportation;MEX;National | Housing;MEX;National</t>
  </si>
  <si>
    <t>Data Science Network</t>
  </si>
  <si>
    <t>http://dsnetwork.ru</t>
  </si>
  <si>
    <t>DATA. </t>
  </si>
  <si>
    <t>http://datauy.org</t>
  </si>
  <si>
    <t>Montevideo</t>
  </si>
  <si>
    <t>Deloitte</t>
  </si>
  <si>
    <t>http://www2.deloitte.com/mx/es.html</t>
  </si>
  <si>
    <t>http://www.deloitte.com</t>
  </si>
  <si>
    <t>Deloitte works in four areas — audit, financial advisory, tax and consulting — and combines the talents of those groups to address clients’ needs.</t>
  </si>
  <si>
    <t>Vijay Sharma (Strategy and Innovation), </t>
  </si>
  <si>
    <t>@deloitteuk, https://www2.deloitte.com/uk/en/footerlinks/contact-us.html?icid=bottom_contact-us</t>
  </si>
  <si>
    <t>0044 (0)20 7936 3000</t>
  </si>
  <si>
    <t>- No Data usage mentioned</t>
  </si>
  <si>
    <t>Descifra</t>
  </si>
  <si>
    <t>http://www.descifra.mx/</t>
  </si>
  <si>
    <t>Social and demographics;MEX;National | Economics;MEX;National | Business;MEX;National | Geospatial/mapping;MEX;National | Housing;MEX;National</t>
  </si>
  <si>
    <t>El Instituto Mexicano para la Competitividad A.C. (IMCO)</t>
  </si>
  <si>
    <t>http://imco.org.mx</t>
  </si>
  <si>
    <t>El Narval Mundial</t>
  </si>
  <si>
    <t>www.elnarval.org</t>
  </si>
  <si>
    <t>Agriculture;MEX;National | Consumer;MEX;National | Social and demographics;MEX;National | Geospatial/mapping;MEX;National | Health/healthcare;MEX;National | Public safety;MEX;National | Environment;MEX;National | Education;MEX;National | Transportation;MEX;National | Housing;MEX;National | Weather;MEX;National</t>
  </si>
  <si>
    <t>Ernst &amp; Young</t>
  </si>
  <si>
    <t>Exponential Knowledge</t>
  </si>
  <si>
    <t>http://www.exponentialknowledge.com/</t>
  </si>
  <si>
    <t>Consumer;MEX;National | Social and demographics;MEX;National | Economics;MEX;National | Business;MEX;National | Finance;MEX;National | Geospatial/mapping;MEX;National | Public safety;MEX;National | Education;MEX;National | Science and research;MEX;National | Energy;MEX;National</t>
  </si>
  <si>
    <t>Forrester Research</t>
  </si>
  <si>
    <t>http://www.forrester.com</t>
  </si>
  <si>
    <t>Forrester is a research and advisory firm serving three client segments by providing proprietary research, consumer and business data, custom consulting, events and online communities.</t>
  </si>
  <si>
    <t>Frost &amp; Sullivan</t>
  </si>
  <si>
    <t>Fundar Centro de AnÃ¡lisis e InvestigaciÃ³n</t>
  </si>
  <si>
    <t>http://fundar.org.mx/</t>
  </si>
  <si>
    <t>Public safety;MEX;National</t>
  </si>
  <si>
    <t>Gallup</t>
  </si>
  <si>
    <t>http://www.gallup.com</t>
  </si>
  <si>
    <t>Gallup consultants help private and public sector organizations boost organic growth through measurement tools, strategic advice, and education. </t>
  </si>
  <si>
    <t>Gallup Consulting</t>
  </si>
  <si>
    <t>Geoscape</t>
  </si>
  <si>
    <t>www.geoscape.com</t>
  </si>
  <si>
    <t>Geoscape provides consumer intelligence via strategic business consulting, database-driven analytics and automated systems.</t>
  </si>
  <si>
    <t>iFactor Consulting</t>
  </si>
  <si>
    <t>http://www.ifactorconsulting.com</t>
  </si>
  <si>
    <t>iFactor Consulting develops software products and offers professional services for the utility industry.</t>
  </si>
  <si>
    <t>Tempe</t>
  </si>
  <si>
    <t>Impaq International</t>
  </si>
  <si>
    <t>http://www.impaqint.com</t>
  </si>
  <si>
    <t>Impaq applies quantitative and qualitative research to conduct impact evaluations and research studies on workforce development, health, and education programs and policies.</t>
  </si>
  <si>
    <t>Columbia</t>
  </si>
  <si>
    <t>InfoCommerce-Group</t>
  </si>
  <si>
    <t>http://infocommercegroup.com</t>
  </si>
  <si>
    <t>The InfoCommerce Group helps clients identify, design and launch new data products; improve existing products and develop market-aware business strategies.</t>
  </si>
  <si>
    <t>Bala Cynwyd</t>
  </si>
  <si>
    <t>Russell Perkins</t>
  </si>
  <si>
    <t>rperkins@infocommercegroup.com</t>
  </si>
  <si>
    <t>Infosys Consulting</t>
  </si>
  <si>
    <t>Integralia Consultores</t>
  </si>
  <si>
    <t>http://integralia.com.mx/</t>
  </si>
  <si>
    <t>Social and demographics;MEX;National | Economics;MEX;National | Geospatial/mapping;MEX;National | Government operations;MEX;National | Health/healthcare;MEX;National | Public safety;MEX;National | Education;MEX;National | Legal;MEX;National | International/global development;MEX;National | Other(Infrastructure);MEX;National</t>
  </si>
  <si>
    <t>InvestigaciÃ³n de Mercado Grupo IDM</t>
  </si>
  <si>
    <t>http://www.idm.com.mx/</t>
  </si>
  <si>
    <t>Social and demographics;MEX;National | Economics;MEX;National | Geospatial/mapping;MEX;National</t>
  </si>
  <si>
    <t>Knowledge Agency</t>
  </si>
  <si>
    <t>http://www.knowledgeagency.com/</t>
  </si>
  <si>
    <t>The Knowledge Agency employs research and analytics to help our clients identify, measure, and manage opportunities for, and threats to, their competitiveness and value-production.</t>
  </si>
  <si>
    <t>Korda Mentha</t>
  </si>
  <si>
    <t>MÃ©xico Evalua</t>
  </si>
  <si>
    <t>http://mexicoevalua.org/</t>
  </si>
  <si>
    <t>Social and demographics;MEX;National | Health/healthcare;MEX;National | Public safety;MEX;National</t>
  </si>
  <si>
    <t>McKinsey</t>
  </si>
  <si>
    <t>http://www.mckinsey.com</t>
  </si>
  <si>
    <t>McKinsey &amp; Company is a global management consulting firm that advises the world's leading businesses, governments, and institutions.</t>
  </si>
  <si>
    <t>McKinsey &amp; Co</t>
  </si>
  <si>
    <t>McKinsey &amp; Company</t>
  </si>
  <si>
    <t>http://www.mckinsey.com/</t>
  </si>
  <si>
    <t>Consumer;MEX;National | Social and demographics;MEX;National | Economics;MEX;National | Business;MEX;National | Finance;MEX;National | Health/healthcare;MEX;National | Education;MEX;National | Legal;MEX;National | Housing;MEX;National | Energy;MEX;National</t>
  </si>
  <si>
    <t>Miracle Software Systems</t>
  </si>
  <si>
    <t>NERA Economic Consulting</t>
  </si>
  <si>
    <t>http://www.nera.com/</t>
  </si>
  <si>
    <t>NERA Economic Consulting is a global firm dedicated to applying economic, finance, and quantitative principles to complex business and legal challenges.</t>
  </si>
  <si>
    <t>Nielsen</t>
  </si>
  <si>
    <t>http://www.nielsen.com/us/en.html</t>
  </si>
  <si>
    <t>Nielsen Holdings is a global information and measurement company with positions in marketing and consumer information, television and other media measurement.</t>
  </si>
  <si>
    <t>Noorcus Innovation</t>
  </si>
  <si>
    <t>www.noorcus.mx/</t>
  </si>
  <si>
    <t>Science and research;MEX;National | Economics;MEX;National | Business;MEX;National | Finance;MEX;National | Legal;MEX;National</t>
  </si>
  <si>
    <t>Oliver Wyman</t>
  </si>
  <si>
    <t>http://www.oliverwyman.com/index.html</t>
  </si>
  <si>
    <t>Oliver Wyman is a global management consulting firm. We combine industry knowledge with expertise in strategy, operations, risk management, and organization transformation.</t>
  </si>
  <si>
    <t>Transportation;USA;National | Health/healthcare;USA;National</t>
  </si>
  <si>
    <t>Oxford Research Academy</t>
  </si>
  <si>
    <t>http://www.oxfordresearchacademy.com</t>
  </si>
  <si>
    <t>Parsons-Brinckerhoff</t>
  </si>
  <si>
    <t>www.pbworld.com</t>
  </si>
  <si>
    <t>Parsons Brinckerhoff is a multinational engineering and design firm that operates in the fields of strategic consulting, planning, engineering, construction management, and infrastructure/community planning.</t>
  </si>
  <si>
    <t>geospatial/mapping; USA; national</t>
  </si>
  <si>
    <t>optimization | research</t>
  </si>
  <si>
    <t>Charles Hixon</t>
  </si>
  <si>
    <t>hixoncl@pbworld.com</t>
  </si>
  <si>
    <t>http://www.poderopedia.org</t>
  </si>
  <si>
    <t>Politweet Enterprise</t>
  </si>
  <si>
    <t>http://www.politweet.org</t>
  </si>
  <si>
    <t>Selangor</t>
  </si>
  <si>
    <t>PricewaterhouseCoopers</t>
  </si>
  <si>
    <t>RAND Corporation</t>
  </si>
  <si>
    <t>http://www.rand.org</t>
  </si>
  <si>
    <t>The RAND Corporation is a think tank that helps improve policy and decision-making through research and analysis.</t>
  </si>
  <si>
    <t>Robinson--Yu</t>
  </si>
  <si>
    <t>http://www.robinsonyu.com</t>
  </si>
  <si>
    <t>Robinson + Yu helps leaders build public policy that unlocks the Internet's potential while managing its risks.</t>
  </si>
  <si>
    <t>David Robinson</t>
  </si>
  <si>
    <t>david@robinsonyu.com</t>
  </si>
  <si>
    <t>SAP Consulting </t>
  </si>
  <si>
    <t>Spectron Desarrollo</t>
  </si>
  <si>
    <t>www.spectron.com.mx/</t>
  </si>
  <si>
    <t>Science and research;MEX;National | Consumer;MEX;National | Social and demographics;MEX;National | Economics;MEX;National | Business;MEX;National | Finance;MEX;National | Government operations;MEX;National | Housing;MEX;National | Energy;MEX;National | International/global development;MEX;National</t>
  </si>
  <si>
    <t>Tata Consultancy Services</t>
  </si>
  <si>
    <t>Telus</t>
  </si>
  <si>
    <t>telus.mx</t>
  </si>
  <si>
    <t>Social and demographics;MEX;National | Economics;MEX;National | Geospatial/mapping;MEX;National | Government operations;MEX;National | Health/healthcare;MEX;National | Public safety;MEX;National | Education;MEX;National</t>
  </si>
  <si>
    <t>The Advisory Board Company</t>
  </si>
  <si>
    <t>http://www.advisory.com/</t>
  </si>
  <si>
    <t>The Advisory Board Company is a global research, technology, and consulting firm advising organizations across health care and higher education.</t>
  </si>
  <si>
    <t>The Bridgespan Group</t>
  </si>
  <si>
    <t>http://www.bridgespan.org/</t>
  </si>
  <si>
    <t>The Bridgespan Group is a nonprofit advisor and resource for mission-driven organizations and philanthropists.</t>
  </si>
  <si>
    <t>Health/healthcare;USA;National | Environment;USA;National | Education;USA;National | Demographics and social;USA;National</t>
  </si>
  <si>
    <t>TIS Consulting Group</t>
  </si>
  <si>
    <t>http://tisconsulting.org/</t>
  </si>
  <si>
    <t>Agriculture;MEX;National | Consumer;MEX;National | Social and demographics;MEX;National | Economics;MEX;National | Geospatial/mapping;MEX;National | Health/healthcare;MEX;National | Education;MEX;National | Tourism;MEX;National | Transportation;MEX;National</t>
  </si>
  <si>
    <t>TMS Research</t>
  </si>
  <si>
    <t>http://www.tmsresearch.co.za</t>
  </si>
  <si>
    <t>Sandton</t>
  </si>
  <si>
    <t>VPapps Inc - Villages Without Borders</t>
  </si>
  <si>
    <t>http://www.villageswithoutborders.com/</t>
  </si>
  <si>
    <t>Free, online knowledge repository for cities</t>
  </si>
  <si>
    <t>John Spencer</t>
  </si>
  <si>
    <t>john@villgeswithoutborders.com</t>
  </si>
  <si>
    <t>Transportation Research Board</t>
  </si>
  <si>
    <t>Nonprofit
</t>
  </si>
  <si>
    <t>http://www.trb.org</t>
  </si>
  <si>
    <t>The mission of the Transportation Research Board (TRB) is to promote innovation and progress in transportation through research.</t>
  </si>
  <si>
    <t>Social </t>
  </si>
  <si>
    <t>research | advocacy</t>
  </si>
  <si>
    <t>US DOT</t>
  </si>
  <si>
    <t>The Patent Board</t>
  </si>
  <si>
    <t>www.patentboard.com
</t>
  </si>
  <si>
    <t>The Patent Board is a business-based patent advisor to Fortune 500 companies, emerging technology companies, law firms, 
investment banks, governments and universities. 
</t>
  </si>
  <si>
    <t>Legal; USA; National</t>
  </si>
  <si>
    <t>George Washington University Office of Military and Veteran Student Services</t>
  </si>
  <si>
    <t>Other (Academic Institution)</t>
  </si>
  <si>
    <t>http://services.military.gwu.edu</t>
  </si>
  <si>
    <t>The George Washington University Office of Military and Veteran Student Services is committed to providing our student veterans, dependents, and military personnel with both student support services and student administrative services.</t>
  </si>
  <si>
    <t>Education; USA; National | Health/healthcare; USA; National | Other: Veterans Affairs; USA; National</t>
  </si>
  <si>
    <t>Buckingham Research Group</t>
  </si>
  <si>
    <t>www.buckresearch.com/</t>
  </si>
  <si>
    <t>The Buckingham Research Group Incorporated is dedicated to providing high-quality “value-add” equity research based on thorough and unique analysis distributed exclusively to our institutional client base. </t>
  </si>
  <si>
    <t>USDOT</t>
  </si>
  <si>
    <t>Atlantic Council</t>
  </si>
  <si>
    <t>www.atlanticcouncil.org</t>
  </si>
  <si>
    <t>The Atlantic Council promotes constructive leadership and engagement in international affairs based on the central role of the Atlantic Community in meeting global challenges.</t>
  </si>
  <si>
    <t>Other: Veterans Affairs; USA; National</t>
  </si>
  <si>
    <t>Texas Transportation Institute</t>
  </si>
  <si>
    <t>www.tti.tamu.edu</t>
  </si>
  <si>
    <t>Dedicated to enhancing the economic competitiveness of the state and improving the quality of life for Texans, the Texas A&amp;M Transportation Institute (TTI) is the largest university-affiliated transportation research agency in the United States.</t>
  </si>
  <si>
    <t>College Station</t>
  </si>
  <si>
    <t>AHRC</t>
  </si>
  <si>
    <t>http://www.ahrc.ac.uk/Pages/Home.aspx</t>
  </si>
  <si>
    <t>The Arts and Humanities Research Council (AHRC) is a British research council that provides support to research and postgraduate study in the arts and humanities.</t>
  </si>
  <si>
    <t>enquiries@ahrc.ac.uk</t>
  </si>
  <si>
    <t>0044 01793 41 6000</t>
  </si>
  <si>
    <t>Advocate Open Access academic publishing, fund open data projects</t>
  </si>
  <si>
    <t>Altmetric</t>
  </si>
  <si>
    <t>http://altmetric.com</t>
  </si>
  <si>
    <t>Altmetric is an online platform that seeks to make article level metrics easy and track and analyse the online activity around scholarly literature</t>
  </si>
  <si>
    <t>Scientific Research</t>
  </si>
  <si>
    <t>Euan Adie (Founder), Cat Chimes (Head of Marketing)</t>
  </si>
  <si>
    <t>@altmetric, info@altmetric.com</t>
  </si>
  <si>
    <t>Not formally open data, but data licence is essentially CC-BY</t>
  </si>
  <si>
    <t>Asociacio Nacional de la Industria Qua­mica (ANIQ)</t>
  </si>
  <si>
    <t>www.aniq.org.mx/</t>
  </si>
  <si>
    <t>DF</t>
  </si>
  <si>
    <t>Economics;MEX;National | Business;MEX;National | Manufacturing;MEX;National | Geospatial/mapping;MEX;National | Energy;MEX;National | Science and research;MEX;National</t>
  </si>
  <si>
    <t>Aureus Sciences (*Now part of Elsevier)</t>
  </si>
  <si>
    <t>http://www.aureus-sciences.com</t>
  </si>
  <si>
    <t>Aureus Sciences provides databases and information tools for pharmaceutical and biotech companies.</t>
  </si>
  <si>
    <t>Biovia</t>
  </si>
  <si>
    <t>http://accelrys.com</t>
  </si>
  <si>
    <t>Accelrys is a provider of scientific innovation lifecycle management software and services.</t>
  </si>
  <si>
    <t>Castle Biosciences</t>
  </si>
  <si>
    <t>http://www.castlebiosciences.com</t>
  </si>
  <si>
    <t>Castle Biosciences works with cancer institutions to license proprietary technologies and complete development and validation, making tests available to individuals afflicted with a rare cancer.</t>
  </si>
  <si>
    <t>Friendswood</t>
  </si>
  <si>
    <t>Ceiba Solutions</t>
  </si>
  <si>
    <t>http://www.ceibasolutions.com</t>
  </si>
  <si>
    <t>Ceiba is a products and service company dedicated to unleashing the value of life science and healthcare data while reducing the cost to manage it.</t>
  </si>
  <si>
    <t>Certara</t>
  </si>
  <si>
    <t>http://www.certara.com</t>
  </si>
  <si>
    <t>Certara provides guidance spanning drug discovery and development – with modeling and analysis that include molecular modeling, prediction of drug-drug interactions, and clinical trial simulation.</t>
  </si>
  <si>
    <t>Chemical Abstracts Service</t>
  </si>
  <si>
    <t>https://www.cas.org</t>
  </si>
  <si>
    <t>Chemical Abstracts Service, a division of the American Chemical Society, finds, collects and organizes all publicly disclosed chemical substance information.</t>
  </si>
  <si>
    <t>Health/healthcare;USA;National | Science and research;USA;National</t>
  </si>
  <si>
    <t>Compendia-Bioscience-Life-Technologies</t>
  </si>
  <si>
    <t>http://www.lifetechnologies.com/us/en/home/life-science/cancer-research/cancer-genomics/compendia-bioscience-life-technologies.html</t>
  </si>
  <si>
    <t>Compendia Bioscience provides data, products, and solutions to support pharma, diagnostics, and personalized medicine business applications in oncology.</t>
  </si>
  <si>
    <t>Becky Steck</t>
  </si>
  <si>
    <t>becky.steck@lifetech.com</t>
  </si>
  <si>
    <t>Golden Helix</t>
  </si>
  <si>
    <t>http://www.goldenhelix.com/</t>
  </si>
  <si>
    <t>Golden Helix helps genetic research groups working with large DNA-sequences or microarray data to overcome the frustration &amp; challenges of bioinformatic roadblocks.</t>
  </si>
  <si>
    <t>Bozeman</t>
  </si>
  <si>
    <t>MT</t>
  </si>
  <si>
    <t>gRadiant-Research-LLC</t>
  </si>
  <si>
    <t>gradiant-research.com</t>
  </si>
  <si>
    <t>gRadiant Research LLC is in the business of developing  thermal therapy as a replacement for traditional excisional surgery.</t>
  </si>
  <si>
    <t>Concord</t>
  </si>
  <si>
    <t>Kathleen McMillan</t>
  </si>
  <si>
    <t>kathleen@gradiant-research.com</t>
  </si>
  <si>
    <t>H3-Biomedicine</t>
  </si>
  <si>
    <t>http://www.h3biomedicine.com</t>
  </si>
  <si>
    <t>H3 Biomedicine is an oncology drug discovery company.</t>
  </si>
  <si>
    <t>Lihua Yu</t>
  </si>
  <si>
    <t>Lihua_Yu@H3biomedicine.com</t>
  </si>
  <si>
    <t>InnoCentive</t>
  </si>
  <si>
    <t>http://www.innocentive.com</t>
  </si>
  <si>
    <t>InnoCentive crowdsources innovation problems to people who compete to provide ideas and solutions to important business, social, policy, scientific, and technical challenges.</t>
  </si>
  <si>
    <t>Waltham</t>
  </si>
  <si>
    <t>Lilly Open Innovation Drug Discovery</t>
  </si>
  <si>
    <t>https://openinnovation.lilly.com/dd/</t>
  </si>
  <si>
    <t>By providing a platform for idea-sharing, Lilly Open Innovation Drug Discovery lowers the barrier for collaborations between investigators working inside and outside an organization.</t>
  </si>
  <si>
    <t>Indianapolis</t>
  </si>
  <si>
    <t>Numedii</t>
  </si>
  <si>
    <t>http://numedii.com</t>
  </si>
  <si>
    <t>NuMedii creates new drugs for specific patient subgroups by translating life sciences Big Data into therapies with a higher probability of therapeutic success.</t>
  </si>
  <si>
    <t>Gini Deshpande</t>
  </si>
  <si>
    <t>info@numedii.com</t>
  </si>
  <si>
    <t>PeerJ</t>
  </si>
  <si>
    <t>https://peerj.com</t>
  </si>
  <si>
    <t>PeerJ is an innovative Open Access academic publisher with the mission to help the world efficiently publish its knowledge.</t>
  </si>
  <si>
    <t>Corte Madera</t>
  </si>
  <si>
    <t>Peter Binfield</t>
  </si>
  <si>
    <t>pete@peerj.com</t>
  </si>
  <si>
    <t>Personalis</t>
  </si>
  <si>
    <t>http://www.personalis.com</t>
  </si>
  <si>
    <t>Personalis is a contract research organization and genome-scale diagnostics services company pioneering genome guided medicine.</t>
  </si>
  <si>
    <t>Reed Elsevier</t>
  </si>
  <si>
    <t>http://www.reedelsevier.com/Pages/Home.aspx</t>
  </si>
  <si>
    <t>Reed Elsevier is a global provider of professional information solutions that serves professional customers across industries, helping them make better decisions and be more productive.</t>
  </si>
  <si>
    <t>Sage-Bionetworks</t>
  </si>
  <si>
    <t>http://sagebase.org</t>
  </si>
  <si>
    <t>Sage Bionetworks works to redefine how complex open biological data is gathered, shared and used, </t>
  </si>
  <si>
    <t>John Wilbanks</t>
  </si>
  <si>
    <t>john.wilbanks@sagebase.org</t>
  </si>
  <si>
    <t>Science-Exchange</t>
  </si>
  <si>
    <t>scienceexchange.com</t>
  </si>
  <si>
    <t>Science Exchange is a marketplace for scientific collaboration, where researchers can order experiments from the world's best labs.</t>
  </si>
  <si>
    <t>Elizabeth Iorns</t>
  </si>
  <si>
    <t>elizabeth@scienceexchange.com</t>
  </si>
  <si>
    <t>Sophic Systems Alliance</t>
  </si>
  <si>
    <t>http://www.sophicalliance.com</t>
  </si>
  <si>
    <t>Sophic provides innovative software to help accelerate the process of drug discovery.</t>
  </si>
  <si>
    <t>East Falmouth</t>
  </si>
  <si>
    <t>CrimeBot</t>
  </si>
  <si>
    <t>http://crimebot.net/</t>
  </si>
  <si>
    <t>CrimeBot alerts users by using crime reports, giving users a live view of what's happening around them by the minute.Crime bot uses notifications, crime hot-spot illustrations and even allows the submission of completely anonymous crime reports. Users can view the history of crimes around their current location and elsewhere which provides crime report details such as time, location and media (pictures, videos, audio) associated with that report.
In addition, CrimeBot provides bulletins from trusted sources to notify users of other reports such as wanted and missing persons which also allows users to aid in anonymously solving these reports. CrimeBot can therefore be seen as a crime fighting tool to keep users aware of their surroundings to protect themselves, friends and family while capturing re crime reports that usually go unreported and unsolved.  winners of the Digital Jam 3 grand prize, aim to address crime via anonymous citizen reporting. </t>
  </si>
  <si>
    <t>Developed by ThinkBrite which is already in list</t>
  </si>
  <si>
    <t>Northstar</t>
  </si>
  <si>
    <t>http://www.northstar.ws/</t>
  </si>
  <si>
    <t>NorthStar aims to help parents get peace of mind about their children on school buses and manage their time better and help school authorities run safer, more efficient and cheaper transport services for their children. It is available in most of the top schools in cities across India.</t>
  </si>
  <si>
    <t>transport; IND; local | education; IND; null </t>
  </si>
  <si>
    <t>part of Magnasoft </t>
  </si>
  <si>
    <t>http://spotcrime.com/</t>
  </si>
  <si>
    <t>Founded in 2007, SpotCrime is a public facing crime mapping and alert website that informs residents about crime in their area. Our goal is to open up crime data across the world. SpotCrime collects open crime data from town, city, and county level police jurisdictions, geolocates it on a Google map, and sends out alerts to residents, all free of charge to residents and police agencies. We advocate for open, equal, and fair access to public crime data. Current;y, we're the most visited crime mapping site in the US with over 1 million monthly visits and sending out over 8.5 million alerts monthly. We've also created free software, SpotCrime Catapult, that allows police agencies to pull a public crime data file from the RMS and have published an open crime data standard - SOCS (SpotCrime Open Crime Standard).</t>
  </si>
  <si>
    <t>VisualDoD-LLC</t>
  </si>
  <si>
    <t>www.visualdod.com</t>
  </si>
  <si>
    <t>VisualDoD is a web-based integrated platform for rapid discovery, visualization, analysis and forecasting of spending in the US defense market and selected adjacent markets.</t>
  </si>
  <si>
    <t>Other (Defense); USA; national</t>
  </si>
  <si>
    <t>Chris Daehnick</t>
  </si>
  <si>
    <t>cdaehnick@visualdod.com</t>
  </si>
  <si>
    <t>WeMakeItSafer</t>
  </si>
  <si>
    <t>http://wemakeitsafer.com/</t>
  </si>
  <si>
    <t>WeMakeItSafer's mission is to dramatically reduce the number of product-related injuries, illnesses and deaths that occur each year worldwide.</t>
  </si>
  <si>
    <t>CapSure</t>
  </si>
  <si>
    <t>http://capsure.opencityapps.org/ </t>
  </si>
  <si>
    <t>An Open City App, Alternative Strategy Meetings Chicago Police are recurring events with residents of the Chicago Police Department and Chicago that encourage members of the community and the police to work together to reduce crime. CapSure lets you know when and where your next meeting.</t>
  </si>
  <si>
    <t>part of Open City Apps</t>
  </si>
  <si>
    <t>Crime in Chicago </t>
  </si>
  <si>
    <t>http://www.crimeinchicago.org/ </t>
  </si>
  <si>
    <t>Crime in Chicago is a data visualization by Open City that lets users explore crime trends in Chicago's 50 wards. With this website, users can compare crime levels over the years and across city wards. Additionally, users can further explore each ward’s crime profile, which shows daily crime volumes going back to 2002, crime types and subcategories, and contact info for each Ward Alderman.</t>
  </si>
  <si>
    <t>Cuántas más</t>
  </si>
  <si>
    <t>http://cuantasmas.lapublica.org.bo/ </t>
  </si>
  <si>
    <t>We started with Cochabamba department with the highest rates  of this type of violence, and continue with the rest of the country. The aim is to bring a change in our society since the display of the seriousness of the problem. To do this, information is our tool and the reader is called upon to provide more data for the map does not leave out any victim of the case and the process is followed.</t>
  </si>
  <si>
    <t>does not seem to use open data but rather collects testimonies</t>
  </si>
  <si>
    <t>Team Rubicon</t>
  </si>
  <si>
    <t>www.teamrubiconusa.org</t>
  </si>
  <si>
    <t>Team Rubicon unites the skills and experiences of military veterans with first responders to rapidly deploy emergency response teams.
</t>
  </si>
  <si>
    <t>Other (Veterans Affairs); USA; National</t>
  </si>
  <si>
    <t>Allphones</t>
  </si>
  <si>
    <t>http://www.allphones.com.au/</t>
  </si>
  <si>
    <t>Allphones is the largest independent telecommunications retailer consisting of company owned, licensed and franchised stores.</t>
  </si>
  <si>
    <t>Phone retail store</t>
  </si>
  <si>
    <t>Eftel</t>
  </si>
  <si>
    <t>more info needed</t>
  </si>
  <si>
    <t>Engin</t>
  </si>
  <si>
    <t>http://www.engin.com.au/</t>
  </si>
  <si>
    <t>iiNet</t>
  </si>
  <si>
    <t>http://www.iinet.net.au/home/</t>
  </si>
  <si>
    <t>Internode Systems</t>
  </si>
  <si>
    <t>http://www.internode.on.net/</t>
  </si>
  <si>
    <t>Netbox Blue</t>
  </si>
  <si>
    <t>http://netboxblue.com/</t>
  </si>
  <si>
    <t>social media analytics. more info needed</t>
  </si>
  <si>
    <t>Optus</t>
  </si>
  <si>
    <t>http://www.optus.com.au/</t>
  </si>
  <si>
    <t>People Telecom</t>
  </si>
  <si>
    <t>http://www.peoplestelecom.net/</t>
  </si>
  <si>
    <t>PIPE Networks</t>
  </si>
  <si>
    <t>http://www.pipenetworks.com/</t>
  </si>
  <si>
    <t>SkyAlert</t>
  </si>
  <si>
    <t>http://skyalert.com.mx/</t>
  </si>
  <si>
    <t>It is a comprehensive system of alerts for earthquakes, volcanoes and weather soon</t>
  </si>
  <si>
    <t>Huixquilucan</t>
  </si>
  <si>
    <t>Science and research;MEX;National | Geospatial/mapping;MEX;National</t>
  </si>
  <si>
    <t>Telstra</t>
  </si>
  <si>
    <t>Total Peripherals Group</t>
  </si>
  <si>
    <t>Vodafone</t>
  </si>
  <si>
    <t>Westnet</t>
  </si>
  <si>
    <t>Volunteer Cornwall</t>
  </si>
  <si>
    <t>http://www.volunteercornwall.org.uk/bude-cleaner-seas-project/</t>
  </si>
  <si>
    <t>Volunteer Cornwall, in partnership with the UK Environment Agency, is working to deliver the Bude Cleaner Seas Project. This aims to raise the bathing water status of Summerleaze Beach from ‘good’ to ‘excellent’ by 2015, which will benefit the tourism industry as well as the local community.
As part of this project, visitors to Summerleaze beach can instantly get up-to-date information about how clean the water is from an interactive touch-screen display at the entrance.
The screen is the first of its kind in England, and gives users a range of information about the water, including the size of the waves and the weekly e-coli and intestinal enterococci results. It also shows the MET office Bude weather forecast, Bude surf reports, Twitter feeds for organisations operating in the area and useful contact numbers.</t>
  </si>
  <si>
    <t>unclear data use. revisit at some point</t>
  </si>
  <si>
    <t>Allied Van Lines</t>
  </si>
  <si>
    <t>http://www.allied.com</t>
  </si>
  <si>
    <t>As part of Allied's moving services, the company offers customized solutions for  local, interstate and international moves.</t>
  </si>
  <si>
    <t>Oakbrook Terrace</t>
  </si>
  <si>
    <t>geospatial/mapping;USA;national</t>
  </si>
  <si>
    <t>zipcode lookup</t>
  </si>
  <si>
    <t>American Red Ball Movers</t>
  </si>
  <si>
    <t>http://www.redball.com</t>
  </si>
  <si>
    <t>American Red Ball Movers is a long distance relocation moving company that serves families and businesses.</t>
  </si>
  <si>
    <t>Arpin Van Lines</t>
  </si>
  <si>
    <t>http://www.arpin.com</t>
  </si>
  <si>
    <t>Arpin Van Lines, headquartered in West Warwick, Rhode Island, provides household goods moving and storage services for corporate, government, military, and residential customers.</t>
  </si>
  <si>
    <t>West Warwick</t>
  </si>
  <si>
    <t>RI</t>
  </si>
  <si>
    <t>geospatial/mapping;USA;National</t>
  </si>
  <si>
    <t>Arrive Labs</t>
  </si>
  <si>
    <t>http://home.downloadarrive.com</t>
  </si>
  <si>
    <t>Arrive Labs builds software solutions for urban transit challenges.</t>
  </si>
  <si>
    <t>Transportation;USA;Regional</t>
  </si>
  <si>
    <t>no longer active</t>
  </si>
  <si>
    <t>Atlas-Van-Lines</t>
  </si>
  <si>
    <t>http://www.atlasvanlines.com</t>
  </si>
  <si>
    <t>Atlas World Group, Inc. is a family of companies delivering transportation and related services globally through a network of quality agents and select service partners.</t>
  </si>
  <si>
    <t>Evansville</t>
  </si>
  <si>
    <t>Bob Ewing</t>
  </si>
  <si>
    <t>bobewin@atlasworldgroup.com</t>
  </si>
  <si>
    <t>Australian National Line</t>
  </si>
  <si>
    <t>https://www.anl.com.au/</t>
  </si>
  <si>
    <t>Likely, but insufficient evidence to display</t>
  </si>
  <si>
    <t>Auto Chilango Inc.</t>
  </si>
  <si>
    <t>http://autochilango.com/</t>
  </si>
  <si>
    <t>An application for drivers in Mexico city.</t>
  </si>
  <si>
    <t>Transportation; MEX; Local</t>
  </si>
  <si>
    <t>Display as WB research</t>
  </si>
  <si>
    <t>Bekins</t>
  </si>
  <si>
    <t>http://www.bekins.com</t>
  </si>
  <si>
    <t>Bekins offers private and corporate domestic and international household goods relocation services as well as special commodities and logistic services.</t>
  </si>
  <si>
    <t>BHP Shipping</t>
  </si>
  <si>
    <t>CARFAX</t>
  </si>
  <si>
    <t>http://www.carfax.com</t>
  </si>
  <si>
    <t>CARFAX provides vehicle history information on used cars and maintains a vehicle history database available in North America.</t>
  </si>
  <si>
    <t>Centreville</t>
  </si>
  <si>
    <t>Carrot Mexico</t>
  </si>
  <si>
    <t>http://www.carrot.mx/site/</t>
  </si>
  <si>
    <t>Carrot Mexico is a tool for changing our transportation habits. It is a car sharing service that provides an alternative to the costs and inconvenience car ownership.</t>
  </si>
  <si>
    <t>geospatial/mapping;MEX;National | Geospatial/mapping;MEX;National</t>
  </si>
  <si>
    <t>Codeando México, Federal Institute for Information Access and Personal Data Protection (IFAI), SocialTIC, IMCO</t>
  </si>
  <si>
    <t>ifai.codeandomexico.org</t>
  </si>
  <si>
    <t>The Challenge Transparent Travel Expenses had the goal of visualizing data of public workers that travel inside their work at the Federal Institute for Information Access and Personal Data Protection (IFAI). The IFAI open up the data using datamx (the Civic Open Data Platform in Mexico) and mentored the teams participating in the challenge to create the desired output. Viajes Claros was the platform launched after the challenge: http://viajestransparentes.node.spaceshiplabs.com/ and it was announced in multiple media, like The Universal newspaper: http://www.eluniversal.com.mx/periodismo-datos/2014/anuncian-ganador-reto-viajes-transparentes-96911.html</t>
  </si>
  <si>
    <t>Paulina Bustos Arellano</t>
  </si>
  <si>
    <t>paulina@codeandomexico.org</t>
  </si>
  <si>
    <t>part of codeando mexico 
It made transparent how public travel budget is used</t>
  </si>
  <si>
    <t>Deluxe Coachlines</t>
  </si>
  <si>
    <t>http://www.deluxe-coachlines.com/</t>
  </si>
  <si>
    <t>Insufficient evidence</t>
  </si>
  <si>
    <t>Dromos</t>
  </si>
  <si>
    <t>http://bumultimedia.com/dromos/</t>
  </si>
  <si>
    <t>Dromos founders were inspired by the concept of walkable cities, hypothesizing that if you facilitate walking, people will walk. They also recognized that open data and big data could boost city planners' ability to understand where to invest in infrastructure to stimulate walkability. The app helps users looking for the most economical routes to move from point a to point b. As with the examples from Nigeria, the Dromos team is creating opportunities in open data by collecting and opening the data themselves.</t>
  </si>
  <si>
    <t>app doesn't seem to exist anymore</t>
  </si>
  <si>
    <t>Embark</t>
  </si>
  <si>
    <t>http://letsembark.com</t>
  </si>
  <si>
    <t>Embark makes mass transit simple, providing an accurate, reliable, and interactive transit experience that helps you get where you want to go.</t>
  </si>
  <si>
    <t>Cupertino</t>
  </si>
  <si>
    <t>new </t>
  </si>
  <si>
    <t>Firefly Express</t>
  </si>
  <si>
    <t>https://www.fireflyexpress.com.au/</t>
  </si>
  <si>
    <t>FlightAware</t>
  </si>
  <si>
    <t>http://www.flightaware.com/</t>
  </si>
  <si>
    <t>FlightAware offers free flight tracking services for both private and commercial air traffic.</t>
  </si>
  <si>
    <t>ADD: 45 countries!!</t>
  </si>
  <si>
    <t>http://flightaware.com/about/faq#howlive</t>
  </si>
  <si>
    <t>FlightStats</t>
  </si>
  <si>
    <t>http://www.flightstats.com/</t>
  </si>
  <si>
    <t>FlightStats provides a set of web services that provide global travel information.</t>
  </si>
  <si>
    <t>David White</t>
  </si>
  <si>
    <t>davidw@flightstats.com</t>
  </si>
  <si>
    <t>FlightView</t>
  </si>
  <si>
    <t>http://www.flightview.com/</t>
  </si>
  <si>
    <t>FlightView Inc. is a developer and provider of real-time flight information software solutions for the aviation and travel industry.</t>
  </si>
  <si>
    <t>Newton</t>
  </si>
  <si>
    <t>Transportation;USA;National | Weather;USA;National | geospatial/mapping; CAN; national</t>
  </si>
  <si>
    <t>other sources probably as well</t>
  </si>
  <si>
    <t>FreightLink</t>
  </si>
  <si>
    <t>https://www.freightlink.net/</t>
  </si>
  <si>
    <t>Graebel Van Lines</t>
  </si>
  <si>
    <t>http://www.graebelmoving.com</t>
  </si>
  <si>
    <t>Graebel is a large, independently owned and operated, fully integrated corporate and residential relocation company.</t>
  </si>
  <si>
    <t>Aurora</t>
  </si>
  <si>
    <t>Great Southern Rail</t>
  </si>
  <si>
    <t>http://www.greatsouthernrail.com.au/</t>
  </si>
  <si>
    <t>Greyhound Australia</t>
  </si>
  <si>
    <t>http://www.greyhound.com.au/service-info/freight</t>
  </si>
  <si>
    <t>HeavyLift Cargo Airlines</t>
  </si>
  <si>
    <t>now part of Air Australia</t>
  </si>
  <si>
    <t>HopStop</t>
  </si>
  <si>
    <t>https://www.hopstop.com/</t>
  </si>
  <si>
    <t>HopStop provides door-to-door mass transit directions and maps within several large metropolitan markets.</t>
  </si>
  <si>
    <t>IDEAM Colombia</t>
  </si>
  <si>
    <t>http://cdkn.org/2013/04/climate-change-and-transport-sector-in-colombia-interview-to-michael-sanovis/</t>
  </si>
  <si>
    <t>Con la ayuda del Instituto de Hidrología, Meteorología, y Estudios Ambientales (IDEAM) de Colombia, nuestro equipo – el grupo de cambio climático de la Consultoria ICF, con sede en Washington DC – pudo adquirir datos meteorológicos para así crear pronósticos para los años 2050, 2075 y 2100. Aunque al comienzo IDEAM nos quería cobrar un precio fijo por estación (para recibir datos de precipitación y temperatura diarias), al final no hubo precio. Pero, nos han limitado el número de estaciones de cuales pudimos solicitar. De unas 200 estaciones, nos limitaron a 30 - desafortunadamente. La información nos ha permitido crear los pronósticos y aplicarlo a un asesoramiento del riesgo climático en las áreas donde se planea expandir la red de carreteras nacionales. Aunque IDEAM nos ha entregado cierta información, el proceso fue demasiado largo.</t>
  </si>
  <si>
    <t>Project of ICF International</t>
  </si>
  <si>
    <t>Inrix Traffic</t>
  </si>
  <si>
    <t>http://www.inrixtraffic.com</t>
  </si>
  <si>
    <t>INRIX develops and operates a traffic intelligence platform, delivering smart data and analytics to solve transportation issues worldwide.</t>
  </si>
  <si>
    <t>Kirkland</t>
  </si>
  <si>
    <t>Geospatial/mapping;USA; National | Demographics and social;USA;National | transport; USA; national</t>
  </si>
  <si>
    <t>Jetstar Airways</t>
  </si>
  <si>
    <t>Keychain Logistics Corp</t>
  </si>
  <si>
    <t>www.keychainlogistics.com</t>
  </si>
  <si>
    <t>Keychain Logistics is an online marketplace to create efficiency and safety in the truck-based logistics brokerage business.</t>
  </si>
  <si>
    <t>Bryan Beshore</t>
  </si>
  <si>
    <t>bryan@keychainlogistics.com</t>
  </si>
  <si>
    <t>LewatMana</t>
  </si>
  <si>
    <t>http://www.lewatmana.com</t>
  </si>
  <si>
    <t> This traffic monitoring service provides users with live CCTV feeds and traffic reports to help commuters choose the best road possible and avoid traffic. </t>
  </si>
  <si>
    <t>geospatial/mapping; IDN ; regional</t>
  </si>
  <si>
    <t>Uses other data, unclear if app uses government data as well</t>
  </si>
  <si>
    <t>https://www.techinasia.com/lewatmana-helps-indonesian-commuters-dodge-traffic-live-cctv-feeds-travel-season-2/</t>
  </si>
  <si>
    <t>Linfox</t>
  </si>
  <si>
    <t>http://www.linfox.com//</t>
  </si>
  <si>
    <t>MA3Route</t>
  </si>
  <si>
    <t>http://www.ma3route.com</t>
  </si>
  <si>
    <t>Ma3Route is a mobile web and SMS platform that helps citizens to share and access information about transport and current traffic conditions for their city. Ma3Route aims to make traveling easier in developing countries by democratizing timely transport information.</t>
  </si>
  <si>
    <t>transportation; KEN; regional</t>
  </si>
  <si>
    <t>Uses crowdsourced data, unclear if app uses governent data as well</t>
  </si>
  <si>
    <t>Madrigal Shipping Lines</t>
  </si>
  <si>
    <t>no longer seems active</t>
  </si>
  <si>
    <t>Metro Trains Melbourne</t>
  </si>
  <si>
    <t>govt service</t>
  </si>
  <si>
    <t>Mozio</t>
  </si>
  <si>
    <t>http://www.mozio.com/</t>
  </si>
  <si>
    <t>Mozio is an airport ground transportation search and booking engine and API.</t>
  </si>
  <si>
    <t>San Francisco </t>
  </si>
  <si>
    <t>Transportation;USA;Regional | geospatial/mapping; USA; national</t>
  </si>
  <si>
    <t>Murrays Bus</t>
  </si>
  <si>
    <t>http://www.murrays.com.au/default.aspx</t>
  </si>
  <si>
    <t>National Van Lines</t>
  </si>
  <si>
    <t>http://www.nationalvanlines.com</t>
  </si>
  <si>
    <t>National Van Lines provides moving services for households, corporate relocation, government and the military.</t>
  </si>
  <si>
    <t>Broadview</t>
  </si>
  <si>
    <t>NextBus</t>
  </si>
  <si>
    <t>http://www.nextbus.com</t>
  </si>
  <si>
    <t>NextBus is dedicated to providing cost effective, high quality, reliable, real-time transportation information to the passengers and managers of public transit.</t>
  </si>
  <si>
    <t>Emeryville</t>
  </si>
  <si>
    <t>transport/mapping;USA;National</t>
  </si>
  <si>
    <t>North American Van Lines</t>
  </si>
  <si>
    <t>http://northamericanvanlines.com</t>
  </si>
  <si>
    <t>North American Van Lines is a licensed, bonded and insured mover with physical locations throughout North America.</t>
  </si>
  <si>
    <t>Fort Wayne</t>
  </si>
  <si>
    <t>NSW TrainLink</t>
  </si>
  <si>
    <t>Pacific National</t>
  </si>
  <si>
    <t>http://asciano.com.au/pacific-national</t>
  </si>
  <si>
    <t>Panjiva</t>
  </si>
  <si>
    <t>www.panjiva.com</t>
  </si>
  <si>
    <t>Panjiva is a major provider of intelligence to global trade professionals, enabling businesses to connect across borders.</t>
  </si>
  <si>
    <t>Other (Customs); USA; national</t>
  </si>
  <si>
    <t>Josh Green</t>
  </si>
  <si>
    <t>josh@panjiva.com</t>
  </si>
  <si>
    <t>PeacockTeam</t>
  </si>
  <si>
    <t>http://GoodRoads.ru</t>
  </si>
  <si>
    <t>GoodRoads is a geoinformation system. It measures road quality using the accelerometers built in mobile devices and sends the data to the server. GR web server renders the data as web maps, in which users can see current quality of roads.</t>
  </si>
  <si>
    <t>transport/mapping;RUS;National</t>
  </si>
  <si>
    <t>Philippines Transit Apps</t>
  </si>
  <si>
    <t>http://philippine-transit.hackathome.com/</t>
  </si>
  <si>
    <t>A number of transit related applications built on a public database released by the Philippines Department of Transportation and Communications.</t>
  </si>
  <si>
    <t>PinoyTravel</t>
  </si>
  <si>
    <t>http://www.pinoytravel.com.ph</t>
  </si>
  <si>
    <t>no details about data use - revisit</t>
  </si>
  <si>
    <t>Premier Transport Group</t>
  </si>
  <si>
    <t>Prossess</t>
  </si>
  <si>
    <t>http://www.prossess.com/#home</t>
  </si>
  <si>
    <t>Prossess is a startup developing sensor-based traffic counters to help "governments understand traffic patterns on selected routes."  The raw traffic data, analytics, and big data insights can then be downloaded. While not necessarily clear whether this data will eventually be open, the Prossess approach illustrates opportunities for startups focused on collecting data.</t>
  </si>
  <si>
    <t>Abuja</t>
  </si>
  <si>
    <t>transport/mapping;NGA;National</t>
  </si>
  <si>
    <t>QANTAS</t>
  </si>
  <si>
    <t>QLD Rail</t>
  </si>
  <si>
    <t>Roadify-Transit</t>
  </si>
  <si>
    <t>www.roadify.com</t>
  </si>
  <si>
    <t>Roadify Transit provides real-time/multi-mode arrivals, service advisories and directions for mobile apps and public signage throughout North America.</t>
  </si>
  <si>
    <t>Scott Kolber</t>
  </si>
  <si>
    <t>scott@roadify.com</t>
  </si>
  <si>
    <t>San Francisco Department of Public Health (SFDPH)</t>
  </si>
  <si>
    <t>http://www.sfhealthequity.org/elements/24-elements/tools/108-pedestrian-injury-model</t>
  </si>
  <si>
    <t>The Vehicle-Pedestrian Injury Collision Model predicts change in the number of collisions resulting in pedestrian injury or death associated with area-level changes in street, land use and population characteristics due to new development or transportation system changes.</t>
  </si>
  <si>
    <t>Public safety;USA;Regional | Transportation;USA;Regional </t>
  </si>
  <si>
    <t>Megan Wier, MPH, Epidemiologist and Lead for Health, Transportation and Equity</t>
  </si>
  <si>
    <t>megan.wier@sfdph.org</t>
  </si>
  <si>
    <t>Governance: Data-driven analysis and visualization for road safety.</t>
  </si>
  <si>
    <t>http://sfgov.maps.arcgis.com/apps/OnePane/basicviewer/index.html?appid=7382117f2b5f440e8e183f30cf2c6d57</t>
  </si>
  <si>
    <t>SFDPH started with the motor vehicle traffic collision data that were available on the California Highway Patrol's (CHP) website and created an interactive map highlighting the city's high-injury street corridors — the 6% of the city's street miles on which 60% of severe and fatal pedestrian injuries occur.</t>
  </si>
  <si>
    <t>repeated</t>
  </si>
  <si>
    <t>the SFDPH integrated over 200 geospatially-referenced variables from multiple datasets, such as vehicle traffic and bus volumes from the transportation dataset, and age, sobriety, day of the week, and other details from the collisions dataset, to develop TransBASE, an integrated transportation geodatabase. This tool gives users easy access to multiple data sources that are linked through standardized geographical references. For example, concerned neighbors could search for their residential block and find the number and types of pedestrian injuries that have occurred, the number of motor vehicle accidents, the location of nearby liquor outlets and health clinics, and other community data.</t>
  </si>
  <si>
    <t>repeated 
The project is central to ongoing policy development and planning in San Francisco. For example, pedestrian injury maps were used to raise awareness and citizen participation at community meetings held in collaboration with the San Francisco Police Department and other city departments. TransBASE was later used to analyze where injuries occur, what factors are involved, and who is most vulnerable.</t>
  </si>
  <si>
    <t>SpotHero.com</t>
  </si>
  <si>
    <t>http://spothero.com/</t>
  </si>
  <si>
    <t>SpotHero provides parking at over 100 locations in the Chicago area and is expanding to other cities around the U.S.</t>
  </si>
  <si>
    <t>Star Track Express</t>
  </si>
  <si>
    <t>governmnet owned</t>
  </si>
  <si>
    <t>Stevens Worldwide Van Lines</t>
  </si>
  <si>
    <t>http://www.stevensworldwide.com/</t>
  </si>
  <si>
    <t>Stevens Worldwide Van Lines is a moving and storage company – providing personal/household moving, business moving, and international moving.</t>
  </si>
  <si>
    <t>Wyckoff</t>
  </si>
  <si>
    <t>Suddath</t>
  </si>
  <si>
    <t>http://www.suddath.com/</t>
  </si>
  <si>
    <t>Suddath provides transportation, relocation, warehousing and logistics, specializing in household goods relocations, global mobility, office moving and workplace solutions, and trade show and exhibit displays.</t>
  </si>
  <si>
    <t>Wayne</t>
  </si>
  <si>
    <t>Sydney Trains</t>
  </si>
  <si>
    <t>TasRail</t>
  </si>
  <si>
    <t>The Institute for Transportation and Development Policy (ITDP) Mexico</t>
  </si>
  <si>
    <t>http://mexico.itdp.org/</t>
  </si>
  <si>
    <t>ITDP works to achieve sustainability and equity , using its world-class technical expertise and experience in strategic communications with the aim of helping cities to implement projects that capture and materialize a new city vision .</t>
  </si>
  <si>
    <t>Social and demographics;MEX;National | Economics;MEX;National | Business;MEX;National | Finance;MEX;National | Manufacturing;MEX;National | Geospatial/mapping;MEX;National | Government operations;MEX;National | Health/healthcare;MEX;National | Public safety;MEX;National | Environment;MEX;National | Legal;MEX;National | Transportation;MEX;National | Housing;MEX;National</t>
  </si>
  <si>
    <t>The Street Bump</t>
  </si>
  <si>
    <t>Street Bump works in the background while you drive around your city, collecting data about smoothness of your ride (and differentiating between a pothole and a train track). This information helps the city of Boston get details about urgent problems and informs the city's long-term investment plans.</t>
  </si>
  <si>
    <t>uses crowdsourced data reported by citizens but no open data</t>
  </si>
  <si>
    <t>Tiger Airlines</t>
  </si>
  <si>
    <t>Toll Group</t>
  </si>
  <si>
    <t>TransAdelaide</t>
  </si>
  <si>
    <t>Transport API</t>
  </si>
  <si>
    <t>http://transportapi.com/</t>
  </si>
  <si>
    <t>TransportAPI uses open data feeds from Traveline, Network Rail and Transport for London to provide nationwide timetables, departure and infrastructure information across all modes of public transport.</t>
  </si>
  <si>
    <t>transport; GBR;  local</t>
  </si>
  <si>
    <t>TrueCar</t>
  </si>
  <si>
    <t>http://www.truecar.com/</t>
  </si>
  <si>
    <t>TrueCar, Inc. is an automotive pricing and information website for new and used car buyers and dealers.</t>
  </si>
  <si>
    <t>Tsaboin</t>
  </si>
  <si>
    <t>https://www.tsaboin.com/</t>
  </si>
  <si>
    <t>Tsaboin's Traffic Talk platform crowdsources motorist traffic reports (a la Waze) based on traffic conditions surrounding bus stops in Lagos. "General Updates" gives you traffic status of over 1,000 Lagos bus-stops with LIVE videos and pictures. You can also customize your notifications to your choice bus-stops. Traffic Talk enables users to check their home timeline (a timeline consisting of the bus stops and individuals they are subscribed to), or a general update (which contains every traffic detail from every bus stop). In the absence of an official government feed, the 'crowd' can help each other make 'smarter' traffic decisions. Tsaboin then offers its API (free) for reuse, creating opportunities for others to innovate around the traffic data collected.</t>
  </si>
  <si>
    <t>Uber</t>
  </si>
  <si>
    <t>https://www.uber.com/</t>
  </si>
  <si>
    <t>Uber connects riders to drivers through apps to make cities more accessible, opening up more possibilities for riders and more business for drivers.</t>
  </si>
  <si>
    <t>Demographics and social;USA;National | Public safety;USA;Regional</t>
  </si>
  <si>
    <t>Optimization</t>
  </si>
  <si>
    <t>United Mayflower</t>
  </si>
  <si>
    <t>http://www.unitedmayflower.com/</t>
  </si>
  <si>
    <t>United Mayflower Container Services provides local and long-distance moving and storage services.</t>
  </si>
  <si>
    <t>V/Line</t>
  </si>
  <si>
    <t>government owned</t>
  </si>
  <si>
    <t>VicTrack</t>
  </si>
  <si>
    <t>Virgin Australia</t>
  </si>
  <si>
    <t>Wheaton World Wide Moving</t>
  </si>
  <si>
    <t>http://www.wheatonworldwide.com/</t>
  </si>
  <si>
    <t>Wheaton World Wide Moving is a transportation service provider that conducts corporate relocations, interstate moves, relocation services, military and special moves.</t>
  </si>
  <si>
    <t>WikiRoutes</t>
  </si>
  <si>
    <t>http://wikiroutes.info/</t>
  </si>
  <si>
    <t>WikiRoutes is free-edited directory of public transportation all over the world, which is used by 15 million people. Thousands of editors update database of routes in 800 cities on daily basis</t>
  </si>
  <si>
    <t>Streetmix</t>
  </si>
  <si>
    <t>http://streetmix.net</t>
  </si>
  <si>
    <t>Streetmix is an interactive street section builder that helps community members mockup the streets they'd like to live on and offer these mockups as future plans for city officials and planners.</t>
  </si>
  <si>
    <t>Wanderu</t>
  </si>
  <si>
    <t>http://www.wanderu.com</t>
  </si>
  <si>
    <t>Wanderu provides the simplest way to find and book bus and train travel. They work directly with hundreds of ground travel providers to serve the US and major hubs in both Canada and Mexico. </t>
  </si>
  <si>
    <t>Transportation and logistics </t>
  </si>
  <si>
    <t>VHB</t>
  </si>
  <si>
    <t>http://www.vhb.com</t>
  </si>
  <si>
    <t>We work to improve mobility, enhance communities, and balance development and infrastructure needs with environmental stewardship.</t>
  </si>
  <si>
    <t>Watertown</t>
  </si>
  <si>
    <t>research | optimization</t>
  </si>
  <si>
    <t>TransitLabs</t>
  </si>
  <si>
    <t>www.transitlabs.com</t>
  </si>
  <si>
    <t>Transit Labs uses data to pioneer a smarter public transportation system through the Transpotation Application Platform.</t>
  </si>
  <si>
    <t>Transfix.io</t>
  </si>
  <si>
    <t>www.transfix.io
</t>
  </si>
  <si>
    <t>Transfix is the leading automated freight brokerage. We are changing the
 face of long-haul truck load logistics. Our integrated mobile-cloud 
marketplace for shippers and carriers provides real-time visibility 
&amp; tracking.</t>
  </si>
  <si>
    <t>new | optimization </t>
  </si>
  <si>
    <t>Transafe</t>
  </si>
  <si>
    <t>www.transafe-inc.com</t>
  </si>
  <si>
    <t>Transafe’s specialized services includes consulting, online management tools, and 
outsourced services.</t>
  </si>
  <si>
    <t>Target Freight Management</t>
  </si>
  <si>
    <t>www.targetfmi.com</t>
  </si>
  <si>
    <t>TFM is a technology based LTL freight management company. TFM offers customized programs that help our clients save significant money on LTL shipping while improving carrier service metrics.</t>
  </si>
  <si>
    <t>Pittsburgh</t>
  </si>
  <si>
    <t>Transportation; USA; National | Geospatial/mapping; USA; National</t>
  </si>
  <si>
    <t>optimization
</t>
  </si>
  <si>
    <t>Majisoft</t>
  </si>
  <si>
    <t>http://synacor.co.ke/</t>
  </si>
  <si>
    <t>website currently down.</t>
  </si>
  <si>
    <t>Open Data Lab - Trinkwasser</t>
  </si>
  <si>
    <t>http://opendatalab.de/projects/trinkwasser/</t>
  </si>
  <si>
    <t>What’s in your tap water? Calcium? Magnesium? Chlorine? The Code for Germany team in Heilbronn developed a project providing local residents the exact breakdown of minerals and chemicals in their water based on their location. The project has proved to be a powerful open data-fueled information source directly related to everyday citizen consumption. The project was developed in close cooperation with the local administration which released data needed on local water quality. They then spread the word about the project to a local newspaper, which led to the launch of the “What´s in my tap water?” campaign.</t>
  </si>
  <si>
    <t>new: website allowing anyone to view what is contained in their water. Currently only operational for the city of Heilbronn region</t>
  </si>
  <si>
    <t>project of Code for Germany</t>
  </si>
  <si>
    <t>sarvajal</t>
  </si>
  <si>
    <t>http://www.sarvajal.com</t>
  </si>
  <si>
    <t>A social enterprise which creates affordable access to safe drinking water for the under-served. sarvajal has developed a solar-powered water ATM. Local franchisees—people who want to make money as water stewards for their community— operate ATMs in their villages. They pre-pay Sarvajal for water and pick it up to dispense into the ATMs, which treat the water with reverse osmosis and ultraviolet rays. Community members get their pre-pay water balances from the franchisee. If something goes wrong with one of the cell phone network-connected ATMs (i.e. a leak), Sarvajal finds out immediately and fixes it. Fast Company named Sarvajal one of the World's top 10 most innovative companies in India for 2013.</t>
  </si>
  <si>
    <t>Ahmedabad</t>
  </si>
  <si>
    <t>Gujarat</t>
  </si>
  <si>
    <t>Siasar (Rural Water and Sanitation Monitoring System)</t>
  </si>
  <si>
    <t>Collect information to monitor rural water systems</t>
  </si>
  <si>
    <t>WB project</t>
  </si>
  <si>
    <t>WaterSmart-Software</t>
  </si>
  <si>
    <t>http://www.watersmartsoftware.com/</t>
  </si>
  <si>
    <t>WaterSmart Software helps water utilities achieve their customer engagement and water efficiency goals by making it easier for customers to save water and money.</t>
  </si>
  <si>
    <t>Demographics and social;USA;National | Geospatial/mapping;USA;National | Weather;USA;Regional</t>
  </si>
  <si>
    <t>Jeff Lipton</t>
  </si>
  <si>
    <t>jlipton@watersmartsoftware.com</t>
  </si>
  <si>
    <t>Whitby-Group</t>
  </si>
  <si>
    <t>http://www.whitbygroup.com</t>
  </si>
  <si>
    <t>The Whitby Group works on finding solutions for diverse, challenging, toilet-related problems.</t>
  </si>
  <si>
    <t>Ithaca</t>
  </si>
  <si>
    <t>Environment;USA;National| Economics;USA;National | Demographics and social;USA;National</t>
  </si>
  <si>
    <t>Ingrid Thomas</t>
  </si>
  <si>
    <t>ithomas@whitbygroup.com</t>
  </si>
  <si>
    <t>Caminos de la Villa </t>
  </si>
  <si>
    <t>https://www.caminosdelavilla.org/ </t>
  </si>
  <si>
    <t>Site allows individuals to both map out and put in requests for information on public works in the villages of Buenos Aires. Users can submit informaiton about problems in their neighborhood with things like water, gas, streetlights etc. </t>
  </si>
  <si>
    <t>Buenos Aires </t>
  </si>
  <si>
    <t>using crowdsourced information from individual citizens. unclear whether in the request for information process they use open data</t>
  </si>
  <si>
    <t>Daraja</t>
  </si>
  <si>
    <t>http://www.daraja.org/our-work/rtwp</t>
  </si>
  <si>
    <t>Maji Matone (Raising the Water Pressure) is a program by Daraja, a civil society organization based in southern Tanzania, that informs citizens about rural water supply issues, allows them to send text messages to a central number to report breakdowns in the water supply, and then forwards the information to the relevant authorities. It partners with the media to bring more attention to the breakdowns as a way of putting pressure on the government to respond. Maji Matone “piggybacks” on the National Rural Water Supply Infrastructure Monitoring System, a government project that enables authorities to monitor citizens’ access to water. This system will soon include the development of a simple mobile-based application that will allow the District Water Engineers Office (responsible for repairing broken rural water points) to report on the status of the water points, helping with monitoring efforts. Maji Matone will allow citizens to add their input and report outages and breakdowns of which District Water Engineers may not be aware.</t>
  </si>
  <si>
    <t>Water and sanitation </t>
  </si>
  <si>
    <t>Ben Taylor</t>
  </si>
  <si>
    <t>daraja@daraja.org</t>
  </si>
  <si>
    <t>Raise public awareness on water problems; Put pressure and provide information for government to fix water supply issues</t>
  </si>
  <si>
    <t>AccuWeather</t>
  </si>
  <si>
    <t>http://www.accuweather.com</t>
  </si>
  <si>
    <t>AccuWeather provides local forecasts for everywhere in the United States and over two million locations worldwide.</t>
  </si>
  <si>
    <t>State College</t>
  </si>
  <si>
    <t>Weather</t>
  </si>
  <si>
    <t>Weather;USA;national</t>
  </si>
  <si>
    <t>Weather data analysis</t>
  </si>
  <si>
    <t>http://www.accuweather.com/en/about</t>
  </si>
  <si>
    <t>Agroclima</t>
  </si>
  <si>
    <t>http://www.agroclima.com.mx/</t>
  </si>
  <si>
    <t>Agroclima gives access to information on weather, climate forecasting and climate impacts expected in agriculture and livestock. The information comes from experts in the field in order to provide specialized information for the agricultural sector.</t>
  </si>
  <si>
    <t>Agriculture;MEX;National | Science and research;MEX;National | Economics;MEX;National | Geospatial/mapping;MEX;National | Environment;MEX;National | Weather;MEX;National | </t>
  </si>
  <si>
    <t>The Dark Sky Company</t>
  </si>
  <si>
    <t>forecast.io</t>
  </si>
  <si>
    <t>Dark Sky uses state-of-the-art technology to predict when it will rain or snow — down to the minute — at your exact location, and presents it to you alongside beautiful weather visualizations.</t>
  </si>
  <si>
    <t>weather;USA;national | weather; GBR;  national | weather; NOR; national | weather; CAN; national</t>
  </si>
  <si>
    <t>new: weather apps such as Dark Sky. The data provided by Forecast.io is also used in the developement of 3rd party apps: http://forecast.io/powered-by.html</t>
  </si>
  <si>
    <t>http://forecast.io/raw/</t>
  </si>
  <si>
    <t>Stormpulse</t>
  </si>
  <si>
    <t>http://stormpulse.com/</t>
  </si>
  <si>
    <t>Stormpulse offers Riskpulse, a suite of risk management solutions for businesses affected by uncontrollable events.</t>
  </si>
  <si>
    <t>Matthew Wensing</t>
  </si>
  <si>
    <t>contact@stormpulse.com</t>
  </si>
  <si>
    <t>Weather Channel</t>
  </si>
  <si>
    <t>http://www.weather.com/</t>
  </si>
  <si>
    <t>The Weather Channel and weather.com provide a national and local weather forecast for cities, as well as weather radar, report and hurricane coverage.</t>
  </si>
  <si>
    <t>Demographics and social;USA;National | Geospatial/mapping;USA;National | weather; USA; national</t>
  </si>
  <si>
    <t>check data use</t>
  </si>
  <si>
    <t>Weather Decision Technologies</t>
  </si>
  <si>
    <t>http://www.wdtinc.com/</t>
  </si>
  <si>
    <t>Weather Decision Technologies provides online and mobile weather forecasting, detection, and nowcasting to industrial sectors including insurance, recreation, construction, aviation, and energy.</t>
  </si>
  <si>
    <t>Norman</t>
  </si>
  <si>
    <t>OK</t>
  </si>
  <si>
    <t>Weather Underground</t>
  </si>
  <si>
    <t>http://www.wunderground.com/</t>
  </si>
  <si>
    <t>Amigo Optima Software Solutions Pvt Ltd. is a leader in providing customized solutions across different verticals of various industries. It services include Geospatial applications, Enterprise Solutions, Application development, Maintenance and Technical computing.   
</t>
  </si>
  <si>
    <t>Amigo Optima</t>
  </si>
  <si>
    <t>http://www.amigooptima.com/</t>
  </si>
  <si>
    <t>Amigo Optima Software Solutions pvt ltd has a track record of over two decades in Enterprise services,  Geospatial services, Application development, testing and supporting software products we understand the rigors of product development and bring this experience to the partnership. We possess strong domain knowledge and complete solution capability and is focused on the creation of enhanced value for its customers.</t>
  </si>
  <si>
    <t>Venugopal Parasuraman</t>
  </si>
  <si>
    <t>venugopal.parasuraman@amigooptima.com</t>
  </si>
  <si>
    <t>Uses open geospatial data</t>
  </si>
  <si>
    <t>http://www.amigooptima.com/about-us.php</t>
  </si>
  <si>
    <t>Apogee Data Consulting</t>
  </si>
  <si>
    <t>http://www.apogeedata.co.uk/</t>
  </si>
  <si>
    <t>Apogee Data Consulting is a Geographic Information Science (GIS) consultancy which provides web-mapping, GIS and geospatial data analysis solutions to the broadcasting industry. </t>
  </si>
  <si>
    <t>@apogeedata, info@apogeedata.co.uk</t>
  </si>
  <si>
    <t>0044 01580 765 395</t>
  </si>
  <si>
    <t>Uses and provides value-added Ordnance Survey open data</t>
  </si>
  <si>
    <t>App and Mobile</t>
  </si>
  <si>
    <t>http://appandmobile.com/</t>
  </si>
  <si>
    <t>App and mobile is a mobile application developer providing a wide range of applications for iOS and Android operating systems</t>
  </si>
  <si>
    <t>@app_and_mobile</t>
  </si>
  <si>
    <t>Transportation apps use open Tfl data feeds</t>
  </si>
  <si>
    <t>Appface Technologies - Mandi trades application</t>
  </si>
  <si>
    <t>http://www.appface.in/</t>
  </si>
  <si>
    <t>Provides a Location based F2S (Farm 2 Shop) Trading Platform for Agri Produce. They have been the finalists of the open data apps challenge by Nasscom and NIC. The organization uses open data and crowdsourced data to impact farming decisions. 
Data exchange platform is used to connect farmers and last mile buyers of agricultural produce across India and connects all stake holders in the agri supply chain - farmers, buyers, end suppliers and transporters, into one smart phone app.
It aims to create a far-ranging impact from empowering farmers and generating employment to increasing food production, oil savings, saving electricity and reducing food inflation. It is an effort to provide agri businesses, the technology and expertise needed to create a smarter and low cost food supply for consumers in India.</t>
  </si>
  <si>
    <t>Edvin K Varghese</t>
  </si>
  <si>
    <t>manditrades@appface.in</t>
  </si>
  <si>
    <t>Monithon</t>
  </si>
  <si>
    <t>Appnovation Technologies</t>
  </si>
  <si>
    <t>http://www.appnovation.com/</t>
  </si>
  <si>
    <t>Appnovation Technologies is a professional services firm specializing in web, intranet and mobile application development using open source technologies</t>
  </si>
  <si>
    <t>Arnold (CEO), Barry (Senior Business Analyst)</t>
  </si>
  <si>
    <t>@Appnovations, contact@appnovation.com</t>
  </si>
  <si>
    <t>1 604 568 0313</t>
  </si>
  <si>
    <t>Involved in big data and open source solutions</t>
  </si>
  <si>
    <t>Apptual</t>
  </si>
  <si>
    <t>http://www.apptual.com/</t>
  </si>
  <si>
    <t>Apptual is an e-learning software provider supplying customisable online peer to peer platforms for learning and organisation</t>
  </si>
  <si>
    <t>Thibaut Rouffineau (Founder), Carly Newman (Founder</t>
  </si>
  <si>
    <t>@apptual, info2@apptual.com</t>
  </si>
  <si>
    <t>0044 7500 00 63 77</t>
  </si>
  <si>
    <t>Arcus Global</t>
  </si>
  <si>
    <t>http://www.arcusglobal.com</t>
  </si>
  <si>
    <t>Arcus Global is a cloud focused software developer providing cloud computing technologies and solutions to the UK public sector.</t>
  </si>
  <si>
    <t>Denis Kaminskiy (CEO), Lars Malmqvist (CTO) </t>
  </si>
  <si>
    <t>enquiries@arcusglobal.com</t>
  </si>
  <si>
    <t>0044 (0) 1223 911841</t>
  </si>
  <si>
    <t>Provides the DataTAP unified open data publishing platform which facilitate open data publishing</t>
  </si>
  <si>
    <t>Arium</t>
  </si>
  <si>
    <t>http://arium.co.uk/</t>
  </si>
  <si>
    <t>Arium (Architects for Risk Identification, Understanding, and Management) is a risk management consultancy specialising in developing risk models, primarily for the reinsurance industry</t>
  </si>
  <si>
    <t>Jeffrey Phillips (Chairman), Graham McKean (Director) </t>
  </si>
  <si>
    <t>@AriumRisk, enquiries@arium.co.uk</t>
  </si>
  <si>
    <t>0044 0207 036 0466</t>
  </si>
  <si>
    <t>* Data Analysis on Risk Identification and Management</t>
  </si>
  <si>
    <t>Arogya Mobile Health Pvt. Ltd</t>
  </si>
  <si>
    <t>https://www.zauba.com/company/AROGYA-MOBILE-HEALTH-PRIVATE-LIMITED/U85100DL2012PTC239654</t>
  </si>
  <si>
    <t>Arogya Mobile uses open data that can be parsed through analytics and then be used for predicting early onset heart disease, diabetes and cardiovascular disease. 
It developed a unique mobile health infrastructure, automating health data collection and storage. The health data collection system also organizes, analyzes and alerts various agencies and other interested customer sets on health vitals of village and effectiveness of various government programs. 
The drug companies may find such data useful in the long run but more immediately it will be of greater use for government health missions or for family health surveys where the user would want to be absolutely sure that the data collected is accurate. Arogya has just begun preliminary trials in Uttarakhand to collect and scan assorted health parameters, optimistic that they would reveal some patterns.</t>
  </si>
  <si>
    <t>Ashutosh Pande</t>
  </si>
  <si>
    <t>rsafca@yahoo.com</t>
  </si>
  <si>
    <t>ArrowN Geospatial</t>
  </si>
  <si>
    <t>http://arrown.com/</t>
  </si>
  <si>
    <t>ArrowN, an India based company, focuses in providing CAD data conversion services and GIS to diverse fields. Their services include land use/land cover mapping, utility mapping, forest management system/forest mapping, archaeology mapping, hydrology and geology mapping, solar energy site assessment, mineral exploration mapping, Vegetation Classification/ Tree mapping, etc. The organization uses open geographical data and satellite data to provide consulting to urban planning departments, mining companies, environment and alternative energy companies, and archaeological departments.</t>
  </si>
  <si>
    <t>Praveen Jose</t>
  </si>
  <si>
    <t>mail@arrown.com</t>
  </si>
  <si>
    <t>Art Infosystems</t>
  </si>
  <si>
    <t>http://www.artinfosystems.com/industries.html</t>
  </si>
  <si>
    <t>Art Infosytems helps customers leverage geospatial technology and data to improve the way they do business. It provides services like Geospatial/Geographic Information Systems, Computer Aided Design (CAD) services, engineering design services, geospatial applications development. It makes use of open geographical data and satellite data to provide geo spatial solutions. It has a considerable impact in sectors like public administration, utilities(electric,gas,water), transportation, urban planning and rural development.</t>
  </si>
  <si>
    <t>Abhinav Reddy Tummalapally</t>
  </si>
  <si>
    <t>info@artinfosystems.com, abhinavreddy5@gmail.com</t>
  </si>
  <si>
    <t>Arup</t>
  </si>
  <si>
    <t>http://www.arup.com/</t>
  </si>
  <si>
    <t>Arup is a multinational professional services firm which provides engineering, design, planning, project management and consulting services for all aspects of the built environment</t>
  </si>
  <si>
    <t>Gregory Giammalvo (Principal)</t>
  </si>
  <si>
    <t>washington@arup.com</t>
  </si>
  <si>
    <t>1 202 729 8220</t>
  </si>
  <si>
    <t>ODI Partner: brings together specialists from multiple urban disciplines to provide integrated open data services, with an emphasis on cities and the built environment</t>
  </si>
  <si>
    <t>ASOS</t>
  </si>
  <si>
    <t>http://www.asos.com/</t>
  </si>
  <si>
    <t>ASOS.com is a global online fashion and beauty retailer providing a wide range of clothing and accessories</t>
  </si>
  <si>
    <t>@ASOS_Heretohelp, https://asos.custhelp.com/app/ask</t>
  </si>
  <si>
    <t>Opened up its product and services data to external web developers in Dec 2011</t>
  </si>
  <si>
    <t>Astra Info Systems</t>
  </si>
  <si>
    <t>http://astrainfosystems.com/services/GIS_services.htm</t>
  </si>
  <si>
    <t>Astra Info Systems specializes in undertaking Geographic Information System (GIS) contracting services like GIS conversion, GIS Mapping, Digital Image Processing, Remote Sensing, Utility mapping, GIS based Application Development, Conversion of manual maps to GIS etc. These services are provided using open geographical data and satellite data and are used to consult sectors that require virtual viewing of large areas and populations in their decision making such as healthcare, government, agriculture, education, oil and gas.</t>
  </si>
  <si>
    <t>Artee Rana</t>
  </si>
  <si>
    <t>artee@astrainfosystems.com, artee_rana@hotmail.com</t>
  </si>
  <si>
    <t>ATG Informatics India Pvt. Ltd.</t>
  </si>
  <si>
    <t>http://www.atginformatics.com/GeospatialService.aspx</t>
  </si>
  <si>
    <t>ATG Informatics India private limited is in the forefront of providing excellent software and IT services to business houses of all ranges.Its services span the entire geospatial value chain from consulting and application development to spatial analysis and modeling to remote sensing and data conversion. It makes use of open geographical data and satellite data to provide geo spatial solutions, proving useful in water/watershed/watershed management, power distribution and transportation sector.</t>
  </si>
  <si>
    <t>Phaneendra Chari</t>
  </si>
  <si>
    <t>Atos</t>
  </si>
  <si>
    <t>http://uk.atos.net/en-uk/home.html</t>
  </si>
  <si>
    <t>Atos is an international information technology services company that delivers IT services through Consulting &amp; Systems Integration, Managed Operations, and transactional services through Worldline.</t>
  </si>
  <si>
    <t>Thierry Breton (CEO), Charles Dehelly (Senior Executive Vice President)</t>
  </si>
  <si>
    <t>ukwebenquiries@atos.net,</t>
  </si>
  <si>
    <t>0044 (0)20 7830 4444</t>
  </si>
  <si>
    <t>Redspottedhanky.com (sells train tickets) uses open railway data</t>
  </si>
  <si>
    <t>Attano</t>
  </si>
  <si>
    <t>http://www.attanocorp.com/</t>
  </si>
  <si>
    <t>Attano is an educational ecosystem offering personalized learning products to students anytime, anywhere - at home, in school, or even on a bus. The Attano Library is a private label library of over 4000 learning rich media interactive nuggets covering science, mathematics and social sciences.
 It provides database of education related information using open data. It is intelligently mapped to major Indian and global curriculums and enables companies targeting to the K-12 sector to hit the market cheaper, faster and better.</t>
  </si>
  <si>
    <t>Mumbai</t>
  </si>
  <si>
    <t>Soumya Banerjee</t>
  </si>
  <si>
    <t>soumya@attanocorp.com</t>
  </si>
  <si>
    <t>Attido Mobile</t>
  </si>
  <si>
    <t>http://www.attidomobile.co.uk/</t>
  </si>
  <si>
    <t>Attido Mobile is a mobile application developer which creates a variety of mobile applications for clients</t>
  </si>
  <si>
    <t>@attidomobile, http://www.attidomobile.co.uk/</t>
  </si>
  <si>
    <t>Crime Map England &amp; Wales uses open crime statistics data</t>
  </si>
  <si>
    <t>Avineon India (Subsidiary of Avineon Inc, USA)</t>
  </si>
  <si>
    <t>http://www.avineonindia.com/what-we-do</t>
  </si>
  <si>
    <t>Avineon offers a unique combination of information technology, geospatial, and engineering support services. Their expertise ranges from enterprise IT systems to specialized subjects such as Geographical Information System (GIS) data capture and 3D modeling.
It makes use of open geographical data and satellite data to provide geospatial solutions that are useful to environmental agencies, oil &amp; gas companies, utilities companies, transportation agencies, and to governments in urban planning. The services provided aid the sectors that require an actual mapping and visualization of the area they operate in to take proper decisions.</t>
  </si>
  <si>
    <t>P.G.V. Ramana Reddy</t>
  </si>
  <si>
    <t>gpulikallu@avineonindia.com</t>
  </si>
  <si>
    <t>Ayoupa</t>
  </si>
  <si>
    <t>http://commuter.cc/index.html</t>
  </si>
  <si>
    <t>Ayoupa is a mobile application developer behind Commuter, an app used for route planning and monitoring of public transport journeys around London using real time information</t>
  </si>
  <si>
    <t>Pascal Simplice (Owner)</t>
  </si>
  <si>
    <t>support@ayoupa.com</t>
  </si>
  <si>
    <t>Uses open travel data from Tfl London Underground, London Overground, Docklands Light Rail (DLR), and UK National Rail services</t>
  </si>
  <si>
    <t>BBC</t>
  </si>
  <si>
    <t>Other (Govt-owned)</t>
  </si>
  <si>
    <t>http://www.bbc.co.uk/</t>
  </si>
  <si>
    <t>The BBC is the British public service broadcasting corporation whose main responsibility is to provide impartial public service broadcasting in the UK</t>
  </si>
  <si>
    <t>@BBC, http://www.bbc.co.uk/contact</t>
  </si>
  <si>
    <t>bbits</t>
  </si>
  <si>
    <t>http://www.bbits.co.uk/</t>
  </si>
  <si>
    <t>bbits is a mobile application and web developer specialising in cloud based geolocated data reporting</t>
  </si>
  <si>
    <t>Ian Blackburn (CEO/Founder), Paul Caley (Senior Architect)</t>
  </si>
  <si>
    <t>@lovecleanstreet, info@bbits.co.uk</t>
  </si>
  <si>
    <t>0044 203 126 4885 </t>
  </si>
  <si>
    <t>Developed Love Clean Streets (and Mediaklik system behind it) which is a mobile cloud-based service where citizens can report environmental crimes and authorities can manage and respond, reporting data is published openly</t>
  </si>
  <si>
    <t>BBSRC</t>
  </si>
  <si>
    <t>http://www.bbsrc.ac.uk/home/home.aspx</t>
  </si>
  <si>
    <t>The Biotechnology and Biological Sciences Research Council (BBSRC) is a British research council which predominantly funds scientific research institutes and university research departments in the UK.</t>
  </si>
  <si>
    <t>Rob Dawson (Head of News), Chris Melvin (Media Officer)</t>
  </si>
  <si>
    <t>@bbsrc, rob.dawson@bbsrc.ac.uk, chris.melvin@bbsrc.ac.uk </t>
  </si>
  <si>
    <t>Rob: 44 1793 413204, Chris: 44 1793 414694, General: 0044 1793 413200</t>
  </si>
  <si>
    <t>BearingPoint</t>
  </si>
  <si>
    <t>http://www.bearingpoint.com</t>
  </si>
  <si>
    <t>BearingPoint is a global management and technology consulting firm that combines industry, operational and technology skills with relevant proprietary and other assets to provide tailored solutions</t>
  </si>
  <si>
    <t>Peter Mockler (Managing Partner), Eric </t>
  </si>
  <si>
    <t>@BearingPoint, http://www.bearingpoint.com/en-us/7633-536/contacts/?</t>
  </si>
  <si>
    <t>ODI Supporter: expertise in open architectures, open methodologies and advanced analytics</t>
  </si>
  <si>
    <t>Berg</t>
  </si>
  <si>
    <t>http://bergcloud.com/</t>
  </si>
  <si>
    <t>Berg is a connected products developer building a platform that seeks to make connected products easy, with web APIs and related useful services whilst also developing their own connected products</t>
  </si>
  <si>
    <t>Matt Webb (Founder), Jack Schulze (Founder) </t>
  </si>
  <si>
    <t>@bergcloud, info@bergcloud.com</t>
  </si>
  <si>
    <t>When functioning as a design consultancy created schooloscope which used open education data</t>
  </si>
  <si>
    <t>Bethnal Green Ventures</t>
  </si>
  <si>
    <t>http://bethnalgreenventures.com/</t>
  </si>
  <si>
    <t>Bethnal Green Ventures is an accelerator program with a mission to develop tech-based solutions to the world's social problems</t>
  </si>
  <si>
    <t>Jessica Stacey (Communications manager), Vicky-Maria Gibbons (General Manager)</t>
  </si>
  <si>
    <t>@bg_ventures, jessica@bethnalgreenventures.com, vicky@bethnalgreenventures.com</t>
  </si>
  <si>
    <t>0044 (0) 203 6700 550</t>
  </si>
  <si>
    <t>Accelerator</t>
  </si>
  <si>
    <t>BGF</t>
  </si>
  <si>
    <t>http://www.businessgrowthfund.co.uk/</t>
  </si>
  <si>
    <t>BGF is an investment company, backed by several of the UK’s main banking groups, which makes long-term equity investments in British smaller and medium sized businesses</t>
  </si>
  <si>
    <t>Stephen Welton (Chief Executive)</t>
  </si>
  <si>
    <t>@BGF_team, https://www.businessgrowthfund.co.uk/contact/</t>
  </si>
  <si>
    <t>0044 0845 266 886</t>
  </si>
  <si>
    <t>* Investment Data Users
Publish details of investments, carry out due diligence tasks</t>
  </si>
  <si>
    <t>Bharat Sanchar Nigam Ltd. (with Indian Institute of Technology, Kanpur)-Digital Mandi India Application</t>
  </si>
  <si>
    <t>https://play.google.com/store/apps/details?id=com.appkiddo.smartfarmer</t>
  </si>
  <si>
    <t>Digital Mandi India is an application that helps one check the latest Indian agricultural commodities price from different states and districts. By making use of open data, they make it simple for farmers, traders and for every Indian citizen to know the mandi price updates from anywhere.</t>
  </si>
  <si>
    <t>Rajesh Hegde</t>
  </si>
  <si>
    <t>appkiddo007@gmail.com, rhegde@iitk.ac.in</t>
  </si>
  <si>
    <t>Bibblio</t>
  </si>
  <si>
    <t>http://bibblio.org/</t>
  </si>
  <si>
    <t>Bibblio is an online social learning platform providing a free online self-selecting education service which is based on collections of aggregated and curated online sources</t>
  </si>
  <si>
    <t>Mads Holmen (CEO-Founder), Rich Simmonds (Co-Founder)</t>
  </si>
  <si>
    <t>@bibblio_org, http://bibblio.org/feedback</t>
  </si>
  <si>
    <t>Some materials provided as content can be done so under CC licenses</t>
  </si>
  <si>
    <t>Big Bang Lab</t>
  </si>
  <si>
    <t>http://www.bigbang-lab.com/</t>
  </si>
  <si>
    <t>Big Bang Lab is a participatory music and media social enterprise that promotes digital civic engagement by enabling open communication between communities and stakeholders to achieve and foster social change</t>
  </si>
  <si>
    <t>Sergio Lopez-Figueroa (Development Director)</t>
  </si>
  <si>
    <t>@bigbanglab</t>
  </si>
  <si>
    <t>- No information on Data Usage</t>
  </si>
  <si>
    <t>BioExplore</t>
  </si>
  <si>
    <t>http://www.bioexplore.co.in/index.php/en/</t>
  </si>
  <si>
    <t>Bioexplore is a bioinformatics and Outsourcing company open to work in all area under biotechnology and pharmaceutical domain. The organization uses open genomics data to provide bioinformatics data mining and analysis /tool and database development services. 
It helps in design &amp; development of latest quality - highly categorised, hypothetical IPs in diagnostics &amp; therapeutics related to agriculture, animals &amp; humans</t>
  </si>
  <si>
    <t>Noida</t>
  </si>
  <si>
    <t>Susanta Roy</t>
  </si>
  <si>
    <t>info@bioexplore.co.in</t>
  </si>
  <si>
    <t>BioMed Central</t>
  </si>
  <si>
    <t>http://www.biomedcentral.com/</t>
  </si>
  <si>
    <t>BioMed Central is an STM (Science, Technology and Medicine) publisher of 265 peer-reviewed open access journals.</t>
  </si>
  <si>
    <t>@biomedcentral, info@biomedcentral.com </t>
  </si>
  <si>
    <t>0044 (0) 20 3192 2009</t>
  </si>
  <si>
    <t>Journals (including those of related companies SpringerOpen and ChemistryCentral) are open access, specifically important is Giga Science Journal is an online open-access open-data journal, which also openly publishes all related data in GigaDB</t>
  </si>
  <si>
    <t>Birds Eye</t>
  </si>
  <si>
    <t>http://www.birdseyetech.com/index.html</t>
  </si>
  <si>
    <t>Birds Eye Systems is into the intelligent traffic systems industry, providing real time traffic information to road commuters in developing cities. Using its innovative technology,it hopes to reduce road travel times of all commuters by at least 15–20%. The firm’s primary and niche products is a low cost, real time traffic monitoring system www.traffline.com for fast growing metropolitan cities, built around its patented algorithms.
They make use of satellite data and open data, the web interface essentially shows accurate and up-to-date information of congestion, average conditions and smooth flowing traffic conditions on a digital map.Their system is of great use to road commuters, traffic police, emergency service providers and infrastructure and city planning agencies.</t>
  </si>
  <si>
    <t>Ravi Khemani, Brijraj Vaghani</t>
  </si>
  <si>
    <t>ravik@birdseyetech.com</t>
  </si>
  <si>
    <t>Blue Yonder</t>
  </si>
  <si>
    <t>http://www.blue-yonder.com/en/</t>
  </si>
  <si>
    <t>Blue Yonder is a data-based software developer providing applications that use predictive modeling and machine learning to automate business decision-making processes</t>
  </si>
  <si>
    <t>Michael Feindt (Founder), Uwe Weiss (CEO) </t>
  </si>
  <si>
    <t>@BYAnalytics_en, infouk@blue-yonder.com</t>
  </si>
  <si>
    <t>0044 (0)203 008 717 0</t>
  </si>
  <si>
    <t>^ Software Developer</t>
  </si>
  <si>
    <t>body&gt;data&gt;space</t>
  </si>
  <si>
    <t>http://www.bodydataspace.net/</t>
  </si>
  <si>
    <t>body&gt;data&gt;space is a creative company providing interactive connections between performance, architecture, virtual worlds and new media producing and developing R&amp;D projects, exhibitions, conferences, training and websites.</t>
  </si>
  <si>
    <t>Anita Andall (Production Manager), Ghislaine Boddington (Creative Director) </t>
  </si>
  <si>
    <t>interested@bodydataspace.net</t>
  </si>
  <si>
    <t>0044 (0) 203 638 2292</t>
  </si>
  <si>
    <t>^ Inteprets data from the perspective of the body</t>
  </si>
  <si>
    <t>Boilerhouse</t>
  </si>
  <si>
    <t>http://www.boilerhouse.co.uk/</t>
  </si>
  <si>
    <t>Boilerhouse is a global management and communications service provider that offers evidence based advice and help to design, develop and deliver programmes, initiatives, processes and tools</t>
  </si>
  <si>
    <t>Joe Tibbets (CEO), Pete Willis (Managing Director) </t>
  </si>
  <si>
    <t>@_boilerhouse_, info@boilerhouse.co.uk</t>
  </si>
  <si>
    <t>0044 0845 094 5641</t>
  </si>
  <si>
    <t>^ Selling Analyzed Data to Big Companies like Procter &amp; Gamble
Making a Difference with Data aims to engage and connect local leaders across health, social care, education, transport, utilities, business, and social enterprise to explore how data can be harnessed for the benefit of communities</t>
  </si>
  <si>
    <t>BP Associates</t>
  </si>
  <si>
    <t>http://www.bp-associates.co.uk/</t>
  </si>
  <si>
    <t>BP Associates are a corporate security and risk management consultancy providing a wide range of services</t>
  </si>
  <si>
    <t>@bp_associates, info@bp-associates.co.uk
</t>
  </si>
  <si>
    <t>0044 08450 519389</t>
  </si>
  <si>
    <t>* Risk Management 
Created a Travel Security App using open data from the UK Foreign and Commonwealth Office</t>
  </si>
  <si>
    <t>BPE Solicitors</t>
  </si>
  <si>
    <t>http://www.bpe.co.uk/</t>
  </si>
  <si>
    <t>BPE Innovation is legal practice that provides legal and commercial expertise to the science, technology and engineering sectors</t>
  </si>
  <si>
    <t>John Workman (Senior Partner), Richard Handley (Partner/Chairman) </t>
  </si>
  <si>
    <t>@BPE_Solicitors, bpe@bpe.co.uk</t>
  </si>
  <si>
    <t>0044  01242 224433</t>
  </si>
  <si>
    <t>- No information on Data Usage
ODI Sponsor</t>
  </si>
  <si>
    <t>BRE</t>
  </si>
  <si>
    <t>http://www.bre.co.uk/</t>
  </si>
  <si>
    <t>BRE is a research-based consultancy, testing and training organization that offers expertise in the built environment and associated industries</t>
  </si>
  <si>
    <t>Simon Lascelles (IT Director), Stuart Chalmers (Digital Products Strategy Manager)</t>
  </si>
  <si>
    <t>@brewatford, enquiries@bre.co.uk</t>
  </si>
  <si>
    <t>0044 1923 664000</t>
  </si>
  <si>
    <t>Bright Blue Campaign</t>
  </si>
  <si>
    <t>http://brightblue.org.uk</t>
  </si>
  <si>
    <t>Bright Blue is a think-tank that campaigns for the Conservative Party to implement liberal, progressive policies that draw on Conservative traditions</t>
  </si>
  <si>
    <t>Ryan Shorthouse (Director), David Kirkby (Senior Research Fellow) </t>
  </si>
  <si>
    <t>@WeAreBrightBlue, ryan@brightblue.org.uk, david@brightblue.org.uk </t>
  </si>
  <si>
    <t>0044 07754 672233</t>
  </si>
  <si>
    <t>* Think-Tank on Liberal-Conservative ideas
ODI Supporter</t>
  </si>
  <si>
    <t>British Consulting</t>
  </si>
  <si>
    <t>http://www.britishconsulting.com/en/</t>
  </si>
  <si>
    <t>Bristol Consulting is a project management consultancy focused on the delivery and proving of complex infrastructure projects and IT transformations</t>
  </si>
  <si>
    <t>WEBSITE DOWN</t>
  </si>
  <si>
    <t>Broadsight</t>
  </si>
  <si>
    <t>http://www.broadsight.com/</t>
  </si>
  <si>
    <t>Broadsight is a digital consultancy providing insight into emerging Broadband Media/Quadruple Play/Web 2.0 technologies whilst committing to open principles</t>
  </si>
  <si>
    <t>Alan Patrick (Co-Founder), David Short (System Engineer) </t>
  </si>
  <si>
    <t>@broadstuff, http://www.broadsight.com/about/contact/</t>
  </si>
  <si>
    <t>* Media Insight Company, Open Internet</t>
  </si>
  <si>
    <t>Bromford</t>
  </si>
  <si>
    <t>http://www.bromford.co.uk/</t>
  </si>
  <si>
    <t>Bromford is a social business that provides a range of housing and support services to help customers and colleagues access training, volunteering or employment or helping to own or rent a home</t>
  </si>
  <si>
    <t>Philippa Jones (Chief Executive), Nick Cummins (Executive Director)</t>
  </si>
  <si>
    <t>@BromfordHelp, http://www.bromford.co.uk/contact-us/</t>
  </si>
  <si>
    <t>0044 0330 1234 034</t>
  </si>
  <si>
    <t>Building Change Trust</t>
  </si>
  <si>
    <t>http://www.buildingchangetrust.org/</t>
  </si>
  <si>
    <t>Building Change Trust is an organisation that supports the community and voluntary sector in Northern Ireland through the development, delivery of, and learning from a range or programmes including commissioned work, awards programmes and other interventions</t>
  </si>
  <si>
    <t>Nigel McKinney (Trust Administrator) </t>
  </si>
  <si>
    <t>info@buildingchangetrust.org</t>
  </si>
  <si>
    <t>0044 (0)28 9040 8725</t>
  </si>
  <si>
    <t>Busroutes.in</t>
  </si>
  <si>
    <t>http://busroutes.in/chennai/</t>
  </si>
  <si>
    <t>Busroutes.in is a project founded by Arun Ganesh, which seeks to make publicly accessible maps of bus routes available in Chennai. The platform uses open maps data and bus routes data to facilitate  travel by public transport in Chennai.</t>
  </si>
  <si>
    <t>Arun Ganesh</t>
  </si>
  <si>
    <t>arunganesh03@gmail.com</t>
  </si>
  <si>
    <t>C-DAC</t>
  </si>
  <si>
    <t>http://www.cdac.in/</t>
  </si>
  <si>
    <t>The Centre for Development of Advanced Computing (C-DAC) is primarily an Research and Development institution involved in the design, development and deployment of advanced Information Technology (IT) based solutions.Their products include Indian Health Stats - Health Indicators. They feature 9 indicators using 6 datasets making use of open government data to check health indicators like infant mortality rate, total fertility rate etc.</t>
  </si>
  <si>
    <t>Mohali</t>
  </si>
  <si>
    <t>Saurav Gupta
Sumit Sharma
Gagandeep Singh Kapoor
Shiwani Dhadwal</t>
  </si>
  <si>
    <t>murthy@ncb.ernet.in, 
saurav@cdac.in</t>
  </si>
  <si>
    <t>C.A.S.T.</t>
  </si>
  <si>
    <t>http://www.castwales.com/</t>
  </si>
  <si>
    <t>The Centre for Advanced Software Technology (C.A.S.T.) is a subsidiary of Bangor University which provides incubation for new business starts (through the Inventorium project) and help sustain existing businesses to turn innovative digital ideas into sustainable businesses</t>
  </si>
  <si>
    <t>C3 Energy</t>
  </si>
  <si>
    <t>Camara Mexicana de la Industria de la Construccion</t>
  </si>
  <si>
    <t>http://www.cmic.org/</t>
  </si>
  <si>
    <t>CMIC's mission is to represent the interests of industrial construction, providing excellent services to promote a highly competitive industry, avant-garde with technological innovation and social responsibility, thus contributing to the development of Mexico.</t>
  </si>
  <si>
    <t>Consumer;MEX;National | Economics;MEX;National | Business;MEX;National | Government operations;MEX;National | Legal;MEX;National | Science and research;MEX;National | Tourism;MEX;National | Transportation;MEX;National | Housing;MEX;National | Other(Infrastructure);MEX;National</t>
  </si>
  <si>
    <t>Cambridge Environmental Research Consultants</t>
  </si>
  <si>
    <t>http://cerc.co.uk/</t>
  </si>
  <si>
    <t>CERC is an environmental research consultancy aiming to make practical use of new developments in environmental research from Cambridge University and elsewhere</t>
  </si>
  <si>
    <t>Prof. Julian Hunt (Chairman), David Carruthers (Managing and Technical Director)</t>
  </si>
  <si>
    <t>Julian: julian.hunt@ucl.ac.uk David: david.carruthers@cerc.co.uk General: enquiries@cerc.co.uk</t>
  </si>
  <si>
    <t>0044 (0)1223 357 773</t>
  </si>
  <si>
    <t>* Practical Use of any environmental research
airText uses OS OpenSpace data</t>
  </si>
  <si>
    <t>Campsall Owen</t>
  </si>
  <si>
    <t>http://www.campsallowen.co.uk/</t>
  </si>
  <si>
    <t>Campsall Owen is a road safety consultancy providing a number of road safety products and services to private clients and the general public</t>
  </si>
  <si>
    <t>Richard Owen (GIS analyst), Dan Campsall (Marketing) </t>
  </si>
  <si>
    <t>http://www.campsallowen.co.uk/contact-us</t>
  </si>
  <si>
    <t>^ Data Analytics 
Developed the CrashMap which uses police traffic collision data</t>
  </si>
  <si>
    <t>Capgemini</t>
  </si>
  <si>
    <t>http://www.uk.capgemini.com/</t>
  </si>
  <si>
    <t>Capgemini is a multinational professional services company providing consulting, outsourcing and IT services to clients across a wide range of sectors</t>
  </si>
  <si>
    <t>Paul Hermelin (Group Chairman/CEO), Philippe Grangeon (Marketing) </t>
  </si>
  <si>
    <t>@capgeminiukpr, https://www.uk.capgemini.com/contact</t>
  </si>
  <si>
    <t>0044 (0) 1483 764 764</t>
  </si>
  <si>
    <t>* Cloud Services, Insight &amp; Data
Publishes on, advocates for and interested in open data and its potential value</t>
  </si>
  <si>
    <t>CarbonCulture</t>
  </si>
  <si>
    <t>CarbonCulture is a technology company providing a community platform that is designed to help people use resources more efficiently through the use of real-time information</t>
  </si>
  <si>
    <t>Luke Nicholson (Director), Nataly Raab (Community Manager) </t>
  </si>
  <si>
    <t>@Carbonculture, https://platform.carbonculture.net/about/</t>
  </si>
  <si>
    <t>0044 (0)20 3432 3415</t>
  </si>
  <si>
    <t>* Using Data to improve resource efficiency 
ODI Startup</t>
  </si>
  <si>
    <t>Cartesian</t>
  </si>
  <si>
    <t>http://www.cartesian.com/</t>
  </si>
  <si>
    <t>Cartesian is a consultancy specialising in global communications, technology and digital media by advising clients worldwide in strategy development and project delivery and providing analytics</t>
  </si>
  <si>
    <t>Donald Klumb (CEO), Susan M. Simmons (COO) </t>
  </si>
  <si>
    <t>@cartesiantweets, http://www.cartesian.com/contact-us/</t>
  </si>
  <si>
    <t>0044 20 7643 5555</t>
  </si>
  <si>
    <t>* Anylytics, Technology Consulting</t>
  </si>
  <si>
    <t>Castle Cover</t>
  </si>
  <si>
    <t>http://www.castlecover.co.uk/</t>
  </si>
  <si>
    <t>Castle Cover are a general insurance provider offering a wide variety of insurance products for car, home, travel, caravan, over-50s and funeral</t>
  </si>
  <si>
    <t>(LinkedIn Removed for some reason)</t>
  </si>
  <si>
    <t>info@castlecover.co.uk</t>
  </si>
  <si>
    <t>0044 0845 845 6500</t>
  </si>
  <si>
    <t>* Finance Data Analysis / Insurance Data
Created changing product prices from a variety of sources and published it for re-use</t>
  </si>
  <si>
    <t>CDG</t>
  </si>
  <si>
    <t>http://groupcdg.com</t>
  </si>
  <si>
    <t>CDG is a digital integration company that provides smart thinking, open source software and expert services to support companies through digital transformation initiatives</t>
  </si>
  <si>
    <t>Oren Taylor (Director), Gareth Eynon (Digital Director) </t>
  </si>
  <si>
    <t>@GroupCDG, hello@groupcdg.com</t>
  </si>
  <si>
    <t>0044 118 402 7130</t>
  </si>
  <si>
    <t>* Technology Innovation
ODI Supporter: encourages open standards and open source technology</t>
  </si>
  <si>
    <t>CEIC</t>
  </si>
  <si>
    <t>http://www.ceicdata.com/</t>
  </si>
  <si>
    <t>CEIC is a economic data insights company providing macroeconomic, industry and financial time-series databases for emerging and developed markets.</t>
  </si>
  <si>
    <t>Sandesh Trivedi (Head of Business Development) </t>
  </si>
  <si>
    <t>info@ceicdata.com</t>
  </si>
  <si>
    <t>1 (212) 610 2978</t>
  </si>
  <si>
    <t>Publishes open economic and financial data on nations around the world</t>
  </si>
  <si>
    <t>Centre for Development Finance-India Pollution Map</t>
  </si>
  <si>
    <t>http://cdf.ifmr.ac.in/?cdf-site=india-pollution-map</t>
  </si>
  <si>
    <t>Centre for Development Finance is focused on improving the delivery of public goods that contribute to inclusive social and economic opportunity in India. They have partnered with Google to create an India Pollution Map. It is an initiative by the Institute for Financial Management and Research (IFMR). Institute for Financial Management and Research is a private trust however all profits are re-invested in the activities of the trust.</t>
  </si>
  <si>
    <t>Satyarupa Shekhar</t>
  </si>
  <si>
    <t>satyarupa.shekhar@ifmr.ac.in</t>
  </si>
  <si>
    <t>Centre for Effective Government</t>
  </si>
  <si>
    <t>CGNet Swara</t>
  </si>
  <si>
    <t>CGNet Swara is a voice-based portal, freely accessible via mobile phone, that allows anyone to report and listen to stories of local interest. Reported stories are moderated by journalists and become available for playback online as well as over the phone. The software underlying CGNet Swara is open-source and freely available from an online repository. The portal is based on crowdsourced news and generates a form of localized big data. It helps people be aware of local news and also empowers them as they are allowed to report news.</t>
  </si>
  <si>
    <t>Madhya Pradesh</t>
  </si>
  <si>
    <t>Shubhranshu Choudhary, Dilip Mishra</t>
  </si>
  <si>
    <t>shu@cgnet.in  (Shubhranshu),
dilipmishra54@gmail.com</t>
  </si>
  <si>
    <t>CH2M Hill</t>
  </si>
  <si>
    <t>http://www.ch2m.com/corporate/default.asp</t>
  </si>
  <si>
    <t>CH2M HILL is a global engineering company providing consulting, design, design-build, operations and program management services</t>
  </si>
  <si>
    <t>@ch2mhill, http://www.ch2m.com/corporate/contact_us/contact.asp</t>
  </si>
  <si>
    <t>0044 20 3479 8000</t>
  </si>
  <si>
    <t>Operated Project Solaris which uses open OS and transport data to help with transport planning</t>
  </si>
  <si>
    <t>Citizens Online</t>
  </si>
  <si>
    <t>http://www.citizensonline.org.uk/</t>
  </si>
  <si>
    <t>Citizens Online is a digital inclusion charity that provides educational support, delivery and consultancy to help individuals and communities understand and gain the benefits of being online.</t>
  </si>
  <si>
    <t>John Fisher (Director), Dr. Gail Bradbrook (Director) </t>
  </si>
  <si>
    <t>@CitizensOnline1, info@citizensonline.org.uk</t>
  </si>
  <si>
    <t>City Farmers</t>
  </si>
  <si>
    <t>http://city-farmers.co.uk/</t>
  </si>
  <si>
    <t>City Farmers is a Community Interest Company promoting urban farming through advocacy, identifying spaces and engaging communities using mapping and food.</t>
  </si>
  <si>
    <t>Website Under Construction</t>
  </si>
  <si>
    <t>@city-farmers, </t>
  </si>
  <si>
    <t>Uses open mapping data</t>
  </si>
  <si>
    <t>Tygron</t>
  </si>
  <si>
    <t>City of San Francisco Recreation and Parks Official Mobile App</t>
  </si>
  <si>
    <t>https://itunes.apple.com/us/app/city-san-francisco-recreation/id549416838?ls=1&amp;mt=8</t>
  </si>
  <si>
    <t>Mobile app enables people to find locations (including Parks, Children’s Playgrounds, Dog Parks, Museums, Rec Centers, Picnic Tables, Gardens, Restrooms, News, Events, and POI's all provided with descriptions, pictures and displayed on a GPS enabled Mobile Map with directions.  Same approach could be used for public services generally.</t>
  </si>
  <si>
    <t>government app (uses open data)</t>
  </si>
  <si>
    <t>ClearBooks</t>
  </si>
  <si>
    <t>http://www.clearbooks.co.uk/</t>
  </si>
  <si>
    <t>ClearBooks is a cloud based business software provider supplying a suite of online business tools to small businesses</t>
  </si>
  <si>
    <t>Elaine Clark (Managing Director), Steve Pipe (Accountant Strategist) </t>
  </si>
  <si>
    <t>@ClearBooks, sales@clearbooks.co.uk</t>
  </si>
  <si>
    <t>0044 0800 862 0202 </t>
  </si>
  <si>
    <t>Uses Companies house data</t>
  </si>
  <si>
    <t>Cogent Analytics</t>
  </si>
  <si>
    <t>http://www.cogentdataanalytics.com/</t>
  </si>
  <si>
    <t>Cogent Anaytics is a specialised data marketing and analysis business, using segmentation, profiling, predictive modelling, data mining and RFM analysis to drive customer insight and marketing campaigns</t>
  </si>
  <si>
    <t>Matt Hutchison (General Manager), Louise King (Head of Business Development and Data Planning) </t>
  </si>
  <si>
    <t>http://www.cogentdataanalytics.com/contact.php </t>
  </si>
  <si>
    <t>0044 (0) 207 422 1895</t>
  </si>
  <si>
    <t>ODI Supporter</t>
  </si>
  <si>
    <t>Common Futures</t>
  </si>
  <si>
    <t>http://commonfutures.eu/</t>
  </si>
  <si>
    <t>Common Futures is a community ownership and civil engineering venture providing policy development, advice and support for communities with the aim to create an inclusive digital society and developing contemporary community-led approaches to the commons.</t>
  </si>
  <si>
    <t>Wordpress</t>
  </si>
  <si>
    <t>@commonfutrs</t>
  </si>
  <si>
    <t>^ For Open Networks of Data </t>
  </si>
  <si>
    <t>Compare Care Homes</t>
  </si>
  <si>
    <t>http://www.comparecarehomes.com/</t>
  </si>
  <si>
    <t>Compare Care Homes is a website that provides information, some real-time, on care homes in the UK</t>
  </si>
  <si>
    <t>@comparecarehome, support@comparecarehomes.com</t>
  </si>
  <si>
    <t>0044 0843 28 99 416</t>
  </si>
  <si>
    <t>Uses open NHS data</t>
  </si>
  <si>
    <t>CompuSense automation</t>
  </si>
  <si>
    <t>http://compusense.in/</t>
  </si>
  <si>
    <t>Compusense automation provides a variety of GIS and mapping services such as landuse pattern, environmental impact assessment, forest mapping, etc.
 These services are provided using open geographical data and satellite data and help field visualization in urban planning and environmental policy making.</t>
  </si>
  <si>
    <t>C.R Vaidya</t>
  </si>
  <si>
    <t>crvaidya@rediffmail.com</t>
  </si>
  <si>
    <t>Connected Development [CODE]</t>
  </si>
  <si>
    <t>http://www.connecteddevelopment.org/</t>
  </si>
  <si>
    <t>[CODE] is a non government organization whose mission is to improve access to information and empower local communities in Africa. </t>
  </si>
  <si>
    <t>government operations; NGA; national</t>
  </si>
  <si>
    <t>new:  monthly classes on open data for government| optimization: disaster and emergency response | advocacy: website mapping how budgets are spent - http://followthemoneyng.org/</t>
  </si>
  <si>
    <t>Hamzat Lawal</t>
  </si>
  <si>
    <t>hamzy@followthemoneyng.org</t>
  </si>
  <si>
    <t>CoreFilling</t>
  </si>
  <si>
    <t>http://www.corefiling.com/</t>
  </si>
  <si>
    <t>CoreFiling is a dedicated eXtensible Business Reporting Language (XBRL) vendor that uses high quality modelling, data validation and development services to provide consulting and enhanced data management</t>
  </si>
  <si>
    <t>Philip Allen (Executive Chairman), Catherine Long (Head of Sales) </t>
  </si>
  <si>
    <t>@CoreFiling, info@corefiling.com</t>
  </si>
  <si>
    <t>0044 (0) 1865 203192</t>
  </si>
  <si>
    <t>ODI Supporter: users can explore the Companies House XBRL database open data</t>
  </si>
  <si>
    <t>Corporate Sustainability and Reputation Consulting Pvt. Ltd.</t>
  </si>
  <si>
    <t>http://www.csridentity.com/</t>
  </si>
  <si>
    <t>The organization has started an online portal called CSRidentity.com. CSRIdentity help CEOs get a bird's view of their CSR in business processes. Multiple stakeholders in the sector can communicate through the website and receive and upload information to make the best decisions, given the framework of the website.
The portal collates open government data, crowdsourced data and self-collected data for use in decision making in the social sector. With the compulsory 2% CSR in India, this initiative could help corporates make better CSR investments and NGOs to work with like-minded corporates.</t>
  </si>
  <si>
    <t>Thane</t>
  </si>
  <si>
    <t>Sanjay Bapat</t>
  </si>
  <si>
    <t>Sanjay@CSRidentity.com</t>
  </si>
  <si>
    <t>Costain</t>
  </si>
  <si>
    <t>http://www.costain.com/</t>
  </si>
  <si>
    <t>Costain is an engineering solutions provides, delivering integrated consulting, project delivery, operations and maintenance services</t>
  </si>
  <si>
    <t>Graham Read (Communications Director), Caroline Ferretti (Communications Officer)</t>
  </si>
  <si>
    <t>Graham: graham.read@costain.com, Caroline: caroline.ferretti@costain.com </t>
  </si>
  <si>
    <t>0044 01628 842 444</t>
  </si>
  <si>
    <t>* Engineer Concultancy 
ODI supporter</t>
  </si>
  <si>
    <t>Council of Scientific and Industrial Research's initiative: Open Source Drug Discovery (OSDD)</t>
  </si>
  <si>
    <t>http://www.osdd.net/</t>
  </si>
  <si>
    <t>Open Source Drug Discovery (OSDD) is attempting to replicate the success of Open Source models in Information Technology and Biotechnology and initiate it in healthcare. OSDD provides a collaborative platform for scientists, doctors, technocrats, software professionals, students and others with diverse expertise to facilitate the drug discovery process. 
It crowdsources big quanities of data from various people across the country including students in remote areas. This big data then gets exported to their portal and they then hope to create a model to support drug discovery using big data. These students in remote areas are also therefore trained by OSDD in using and working with big data. The organization also uses open source databases, softwares for its activities and is ensuring all data generated during its activities is also open source. This is a 10 year project that is now in its second phase of activities. Apart from aiding drug discovery, they also impact lives of the youth in remote areas by training them.</t>
  </si>
  <si>
    <t>Prof Brahmachari</t>
  </si>
  <si>
    <t>skb@igib.res.in</t>
  </si>
  <si>
    <t>3 Scale</t>
  </si>
  <si>
    <t>Creotec</t>
  </si>
  <si>
    <t>http://www.creotec.com/index.php</t>
  </si>
  <si>
    <t>Creotec are a website design and web application development agency providing a variety of web-based solutions to clients</t>
  </si>
  <si>
    <t>@Creotec, info.request@creotec.com</t>
  </si>
  <si>
    <t>0044 1344 426668</t>
  </si>
  <si>
    <t>Web applications under ebusinessconsultant banner use open data</t>
  </si>
  <si>
    <t>Crowdfunder.co.uk</t>
  </si>
  <si>
    <t>http://www.crowdfunder.co.uk/</t>
  </si>
  <si>
    <t>Crowdfunder.co.uk is a crowdfunding website that seeks to supply an alternative means of funding to allow individuals to take their ideas forward and make them a reality</t>
  </si>
  <si>
    <t>Phil Geraghty (Managing Director), Rob Love (Chairman) </t>
  </si>
  <si>
    <t>@Crowdfunderuk, http://www.crowdfunder.co.uk/contact/</t>
  </si>
  <si>
    <t>* Crowdfunding, possible crowdfunding for Open Data </t>
  </si>
  <si>
    <t>Building Eye</t>
  </si>
  <si>
    <t>CTC</t>
  </si>
  <si>
    <t>http://www.ctc.org.uk/</t>
  </si>
  <si>
    <t>The CTC is the national cycling charity which promotes cycling and works to protect the interests of existing and would-be cyclists</t>
  </si>
  <si>
    <t>David Cox OBE (Chair of Council)</t>
  </si>
  <si>
    <t>@CTC_Cyclists, cycling@ctc.org.uk</t>
  </si>
  <si>
    <t>0044 0844 736 8450</t>
  </si>
  <si>
    <t>Developed FillThatHole, a web and mobile app used by citizens to report potholes and road defects which are reported to the relevant authority and recorded in the public domain</t>
  </si>
  <si>
    <t>CtrlShift</t>
  </si>
  <si>
    <t>https://www.ctrl-shift.co.uk</t>
  </si>
  <si>
    <t>Ctrl-Shift is a market analyst and consulting business providing evidence, insight and advice to analyse market trends, identify and size market opportunities, and lead innovation and and change programmes for efficiency and growth</t>
  </si>
  <si>
    <t>Liz Brandt (CEO), Alan Mitchell (Strategy Director) </t>
  </si>
  <si>
    <t>@321CtrlShift, https://www.ctrl-shift.co.uk/contact/</t>
  </si>
  <si>
    <t>0044 020 7000 1907</t>
  </si>
  <si>
    <t>* Market Analyst (ODI follows them on @)
ODI Supporter</t>
  </si>
  <si>
    <t>Culture Republic</t>
  </si>
  <si>
    <t>http://www.culturerepublic.co.uk/</t>
  </si>
  <si>
    <t>Julie L. Tait (Chief Executive), Charlotte Wilson (Associate Director)</t>
  </si>
  <si>
    <t>@culture_public, scotland@culturerepublic.co.uk</t>
  </si>
  <si>
    <t>0044 (0)141 248 6864</t>
  </si>
  <si>
    <t>* Culture Concultancy</t>
  </si>
  <si>
    <t>CycleStreets</t>
  </si>
  <si>
    <t>http://www.cyclestreets.net/</t>
  </si>
  <si>
    <t>CycleStreets is a company that provides a web-based UK-wide cycle journey planner system.</t>
  </si>
  <si>
    <t>@CycleStreets, info@cyclestreets.net, they askedn to print their email but this site instead: http://www.cyclestreets.net/contacts/</t>
  </si>
  <si>
    <t>^ Uses (open?) data to plan biking routes 
Uses Open Street Map (Open Cycle Map)</t>
  </si>
  <si>
    <t>Cyscom</t>
  </si>
  <si>
    <t>http://www.cyscom.com/</t>
  </si>
  <si>
    <t>Cyscom is a cloud-based software developer which provides platforms which allow data visualisation and insight sharing</t>
  </si>
  <si>
    <t>http://www.cyscom.com/Contact/Default.aspx</t>
  </si>
  <si>
    <t>0044 (207) 193 3395</t>
  </si>
  <si>
    <t>* Data Analytics and Visualization 
Share my Insight allows users to use for free if they agree to share their analytics, insights and knowledge, Also uses open data to publish apps such as the UK Gov Spend</t>
  </si>
  <si>
    <t>Cytora</t>
  </si>
  <si>
    <t>http://www.cytora.com/index.html</t>
  </si>
  <si>
    <t>Cytora is a data analytics company providing a platform for exploring and visualising real time political risk data</t>
  </si>
  <si>
    <t>Management Team: RIchard Hartley, Joshua Wallace</t>
  </si>
  <si>
    <t>@CytoraTech, contact@cytora.com</t>
  </si>
  <si>
    <t>Extracts data from publicly available website sources</t>
  </si>
  <si>
    <t>Data Publica</t>
  </si>
  <si>
    <t>http://pormibarrio.uy</t>
  </si>
  <si>
    <t>Por Mi Barrio is a local implementation of the FIxMyStreet platform, that focused in three key improvements; deeper integration with the local government data systems through open services, improvements in UI/UX and usability and broad grassroots engagement with citizens from different social backgrounds through workshops and events supported by the local ombudsman.</t>
  </si>
  <si>
    <t>Beyond all the reports successfully received (and solved) through the platform, the project brought huge media attention and very positive feedback, fostering a debate on the shared responsibility of citizens and the government for the upkeep of the city. In the context of upcoming local elections and giving greater transparency of the inner workings of the local government, it’s helping shift perceptions and measure the value of open data, open services and transparency.</t>
  </si>
  <si>
    <t>Datactics</t>
  </si>
  <si>
    <t>http://www.datactics.com</t>
  </si>
  <si>
    <t>Datactics is a data quality software company that uses data consolidation, re-engineering software, analysis and matching processes built on an ETL and master data management platform</t>
  </si>
  <si>
    <t>@datactics_, info@datactics.com</t>
  </si>
  <si>
    <t>0044 28 9023 3900</t>
  </si>
  <si>
    <t>DataIQ</t>
  </si>
  <si>
    <t>http://www.dataiq.co.uk/</t>
  </si>
  <si>
    <t>DataIQ is a data governance consultancy providing expertise and knowledge in data security, data strategy, data regulation, data compliance and data quality.</t>
  </si>
  <si>
    <t>@TheDataIQ, http://www.dataiq.co.uk/contact</t>
  </si>
  <si>
    <t>0044 (0)870 242 7788</t>
  </si>
  <si>
    <t>Insight, reports and facilitation around open data</t>
  </si>
  <si>
    <t>DataKind</t>
  </si>
  <si>
    <t>http://www.datakind.org/howitworks/datachapters/datakind-uk/</t>
  </si>
  <si>
    <t>DataKind is a charitable organisation that brings high-impact organisations dedicated to solving the world’s biggest challenges together with leading data scientists to improve the quality of, access to and understanding of data in the social sector</t>
  </si>
  <si>
    <t>Jake Porway (Founder), Craig Barowsky (Founder)</t>
  </si>
  <si>
    <t>@DataKind, Jake: jake@datakind.org, Craig: craig@datakind.org, </t>
  </si>
  <si>
    <t>^ Improving Data usage in Social (public?) sector</t>
  </si>
  <si>
    <t>DataPress</t>
  </si>
  <si>
    <t>http://datapress.io/</t>
  </si>
  <si>
    <t>DataPress is a software developer providing cloud-based open source data platforms for governments and institutions publishing open data</t>
  </si>
  <si>
    <t>@datapressio, contact@datapress.io</t>
  </si>
  <si>
    <t>0044 203 6373 595</t>
  </si>
  <si>
    <t>^ Open Data Software Developer for Government Providers
ODI Startup: Creates open source data portals in the cloud, created data.gov.uk</t>
  </si>
  <si>
    <t>DataSalon</t>
  </si>
  <si>
    <t>http://www.datasalon.com/web/index.htm</t>
  </si>
  <si>
    <t>DataSalon is a data management company providing data management services to academic publishers</t>
  </si>
  <si>
    <t>Nick Andrews (Managing Director), Andy Dobson (Client Services Director)</t>
  </si>
  <si>
    <t>@DataSalon, info@datasalon.com</t>
  </si>
  <si>
    <t>0044 (0)1865 321353</t>
  </si>
  <si>
    <t>* Data Management for Academics 
Publish Open dataset: OrgRef</t>
  </si>
  <si>
    <t>DataUnity</t>
  </si>
  <si>
    <t>http://dataunity.org/</t>
  </si>
  <si>
    <t>Data Unity is an open source developer which produces a web tool/platform which allows users to explore, visualise and openly publish their data and the insights generated.</t>
  </si>
  <si>
    <t>@data_unity, kev@dataunity.org</t>
  </si>
  <si>
    <t>URL not valid. No org info. ^ Open Source / Data Sharing / Visualization Tool
The tool promotes open data, where you can query and publish data from your organisation and other sources</t>
  </si>
  <si>
    <t>Delib</t>
  </si>
  <si>
    <t>http://www.delib.net/</t>
  </si>
  <si>
    <t>Delib is a web-based application developer and consultancy which produces applications for the public sector which facilitate digital democratic engagement.</t>
  </si>
  <si>
    <t>Chris Quigley (Managing Director)</t>
  </si>
  <si>
    <t>@delibthinks, info@delib.net</t>
  </si>
  <si>
    <t>0044 11 7381 2989</t>
  </si>
  <si>
    <t>* Data Tool developers for the Public Sector
I heart my city map project uses open geo data</t>
  </si>
  <si>
    <t>http://www.deloitte.com/view/en_GB/uk/index.htm</t>
  </si>
  <si>
    <t>Deloitte is a multinational professional services firm offering audit, tax, consulting, enterprise risk and financial advisory services</t>
  </si>
  <si>
    <t>ODI Partner: shares the vision that open data will drive growth, ingenuity and innovation in the UK economy and that every business will have a strategy to exploit the rapidly growing estate of open data</t>
  </si>
  <si>
    <t>Demand Logic</t>
  </si>
  <si>
    <t>https://www.demandlogic.co.uk/</t>
  </si>
  <si>
    <t>Demand Logic is a sustainable technology company providing an online building efficiency management system that uses data-mining, machine-learning, data analytics and infographics to identify energy-savings and performance improvements in commercial buildings</t>
  </si>
  <si>
    <t>Joe Short (Creative Design),Dan Mauger (Data Management)  </t>
  </si>
  <si>
    <t>@DemandLogicUK, info@demandlogic.co.uk</t>
  </si>
  <si>
    <t>0044 (0)20 7193 4212</t>
  </si>
  <si>
    <t>* Using Data to improve resource efficiency in commercial buildings
ODI Startup: seeking to incorporate open meteorological data and publish data on systematic faults</t>
  </si>
  <si>
    <t>Development Initiatives</t>
  </si>
  <si>
    <t>http://devinit.org/</t>
  </si>
  <si>
    <t>Development Initiatives (Devinit) is a private consultancy with a separate not-for-profit arm committed to the elimination of poverty.</t>
  </si>
  <si>
    <t>null; KEN; national | null;NGA; national | null;UGA; national | null; GBR;  national</t>
  </si>
  <si>
    <t>Tony German (Executive Director), Mark Kahn (Director of Business &amp; Finance) </t>
  </si>
  <si>
    <t>@devinitorg, info@devinit.org</t>
  </si>
  <si>
    <t>0044 (0) 1179 272 505</t>
  </si>
  <si>
    <t>Also uses IMF, WB, OECD data, and national data from most developing countries</t>
  </si>
  <si>
    <t>http://devinit.org/#!/data</t>
  </si>
  <si>
    <t>Dialogue by Design</t>
  </si>
  <si>
    <t>http://www.dialoguebydesign.net/</t>
  </si>
  <si>
    <t>Dialogue by Design is a public and stakeholder engagement specialist that provides consultation services using digital, paper-based and face-to-face tools</t>
  </si>
  <si>
    <t>Diane Beddoes (Chief Executive Director), Helen Ashley (Deputy Chief Executive) </t>
  </si>
  <si>
    <t>@DbyDteam, info@dialoguebydesign.co.uk</t>
  </si>
  <si>
    <t>0044 (0)20 7042 8000</t>
  </si>
  <si>
    <t>- No Data usage mentioned
ODI Supporter</t>
  </si>
  <si>
    <t>Digi Collect-GIS</t>
  </si>
  <si>
    <t>http://www.digicollectgis.com/#</t>
  </si>
  <si>
    <t>DigiCollect-GIS uses mobile data collection, cloud computing and location intelligence. They use technologies and data ranging from Remote sensing, GIS (Geographic Information Systems), GPS (Global Positioning), GLONASS (Global Navigation Satellite System) etc. to provide location based intelligence to organizations.
One of their products, DigiCollect, is a customizable mobile data collection application that uses GIS visualisation for task such as data collection or surveys. Customers can collect data in different formats, deploy projects to remote teams using cloud services and monitor progress of work in real-time using a centralized cloud service.
They make use of satellite data, crowd sourced data and open data, collected in the form of text, image, numeric, location, barcode, audio or video using smartphones or tablets, and this data automatically gets tagged with its geo locations. Some of their impact industries include: Construction industry, where customers need to map and manage assets; for property valuation, government departments or other similar organisations which conducts surveys to collect data at remote locations, eliminating the requirement for manual data entry to computer later on to generate reports.</t>
  </si>
  <si>
    <t>Venu Gopal</t>
  </si>
  <si>
    <t>digicollect1@gmail.com</t>
  </si>
  <si>
    <t>Digi2al</t>
  </si>
  <si>
    <t>http://www.digi2al.co.uk/</t>
  </si>
  <si>
    <t>Digi2al is technology company that provides pre-built solutions for business enterprise functions including middleware, financial processing, document management and user management</t>
  </si>
  <si>
    <t>John Blackman (Director), Colin Campbell (Director) </t>
  </si>
  <si>
    <t>@Digi2a, info@digi2al.co.uk</t>
  </si>
  <si>
    <t>0044 (0)20 3282 7875</t>
  </si>
  <si>
    <t>- Document / Financial Data Management
ODI Supporter</t>
  </si>
  <si>
    <t>DigIn</t>
  </si>
  <si>
    <t>http://www.digin.co</t>
  </si>
  <si>
    <t>DigIn is a digital consultancy that develops solutions to enables users to automatically apply the inherent structure of digital resources for the purposes of information management and knowledge discovery</t>
  </si>
  <si>
    <t>new: digitizes PDF documents | research</t>
  </si>
  <si>
    <t>info@digin.co</t>
  </si>
  <si>
    <t>44 (0) 1954 710720</t>
  </si>
  <si>
    <t>^ Structural Analysis of Data / Documents </t>
  </si>
  <si>
    <t>Digital Circle</t>
  </si>
  <si>
    <t>http://digitalcircle.org/</t>
  </si>
  <si>
    <t>Digital Circle is the representative organisation for Digital Content businesses in Northern Ireland and aims to promote the digital content sector, including the creation, management or distribution of digital content</t>
  </si>
  <si>
    <t>Matt Johnston (Project Manager)</t>
  </si>
  <si>
    <t>@digitalcircle, matt@digitalcircle.org</t>
  </si>
  <si>
    <t>^ Promoting Digital Accessability - Open Data included</t>
  </si>
  <si>
    <t>Digital Contraptions Imaginarium</t>
  </si>
  <si>
    <t>http://www.digitalcontraptionsimaginarium.co.uk/</t>
  </si>
  <si>
    <t>Digital Contraptions Imaginarium (DiCoIm) is the trading name of an independent consultant, Gianfranco Cecconi, who provides open data consultancy services to a range of clients</t>
  </si>
  <si>
    <t>Gianfranco Cecconi (Concultant)</t>
  </si>
  <si>
    <t>@giacecco, http://www.digitalcontraptionsimaginarium.co.uk/</t>
  </si>
  <si>
    <t>^ An Adviser on Open Data 
Publishes using ODCs, advises on open data projects</t>
  </si>
  <si>
    <t>Digital GREEN</t>
  </si>
  <si>
    <t>http://www.digitalgreen.org/</t>
  </si>
  <si>
    <t>Digital Green combines technology and social organization for community transformation.It integrates innovative technology with global development efforts to improve human well being. The organization crowdsources farming related information from farmers in the form of videos and then makes it into open source data available for reference.They work with rural communities to produce videos to transform livelihoods. The data is used to create informative videos and analytics dashboard which helps the farmers to share the best practices with their communities.</t>
  </si>
  <si>
    <t>Aishwarya Pillai</t>
  </si>
  <si>
    <t>contact@digitalgreen.org,aishwarya@digitalgreen.org</t>
  </si>
  <si>
    <t>Digital Stitch</t>
  </si>
  <si>
    <t>http://www.digitalstitch.co.uk/</t>
  </si>
  <si>
    <t>DigitalStitch is a technology spin out from Imperial College London which develops mobile device technologies which can be used to deliver effective and cost-efficient healthcare solutions</t>
  </si>
  <si>
    <t>DrDominic King (Surgeon and Behavioural Economist) </t>
  </si>
  <si>
    <t>@digitalstitched, info@digitalstitch.co.uk</t>
  </si>
  <si>
    <t>0044 (0)20 3078 9180</t>
  </si>
  <si>
    <t>* Software Developers 
Wellnote app uses open healthcare information</t>
  </si>
  <si>
    <t>Dimagi</t>
  </si>
  <si>
    <t>http://www.dimagi.com/</t>
  </si>
  <si>
    <t>Dimagi is a privately held social enterprise having its headquarters in Cambridge, Massachusetts, USA with a mission to deliver open and innovative technology to help under-served communities everywhere.
The enterprise has performed technical strategy, systems design, software development, and health research for over 130 projects in over 35 countries.
Dimagi designs clinical interfaces, health information systems, and mobile technologies to perform patient-level disease management, clinical decision support, and health system monitoring to help organizations deliver quality health care to urban and rural communities across the world. They use various types of open data forms such as text, video, audio, images, barcodes, and GPS coordinates. Dimagi provides support for core and custom development on the Open Data Kit platform.It works closely with the University of Washington development team that founded the open source community.Dimagi helps deliver quality health care to urban and rural communities across the world.</t>
  </si>
  <si>
    <t>Krishna Swamy, Ms. Devika Sarin (Partnership and Development Manager )</t>
  </si>
  <si>
    <t>dsarin@dimagi.com</t>
  </si>
  <si>
    <t>Dimeco Media Services</t>
  </si>
  <si>
    <t>http://www.dimeco.org.uk/</t>
  </si>
  <si>
    <t>Dimenco Media Services is a digital media and visual effects company which provides tailored multimedia services to a wide range of clients.</t>
  </si>
  <si>
    <t>@DimecoMedia, </t>
  </si>
  <si>
    <t>0044  0207 231 2031</t>
  </si>
  <si>
    <t>* Using Data Driven Media</t>
  </si>
  <si>
    <t>DIVAcontemporary</t>
  </si>
  <si>
    <t>http://divacontemporary.org.uk/</t>
  </si>
  <si>
    <t>DIVAcontemporary is an artist-led organisation providing a space for creativity and experimentation in the arts and practice-based research involving audio, visual, and performance media.</t>
  </si>
  <si>
    <t>@DIVAcontemp, info@divacontemporary.org.uk</t>
  </si>
  <si>
    <t>- No Direct Information on Data Usage</t>
  </si>
  <si>
    <t>DNADigest</t>
  </si>
  <si>
    <t>http://dnadigest.org/</t>
  </si>
  <si>
    <t>DNAdigest is a medical technology advocacy organisation providing promotion, education and development in the sharing of genomics data for research.</t>
  </si>
  <si>
    <t>Fiona Nielsen (CEO)</t>
  </si>
  <si>
    <t>@DNADigest, info@DNAdigest.org</t>
  </si>
  <si>
    <t>^ Open, but Secure, Sharing of Genomics Data for Research
Advocate and campaign for open/shared genomics data</t>
  </si>
  <si>
    <t>Dods Parliamentary Communications</t>
  </si>
  <si>
    <t>http://dods.co.uk/</t>
  </si>
  <si>
    <t>Dods is a political information and communication company providing political data, intelligence, news, events and training</t>
  </si>
  <si>
    <t>Freya Pascall (Political Content Manager) </t>
  </si>
  <si>
    <t>information@dods.co.uk</t>
  </si>
  <si>
    <t>0044 (0)20 7 593 5500</t>
  </si>
  <si>
    <t>^ Political Information Provider of Data, Information, and Training
Use open data in compilation of data products</t>
  </si>
  <si>
    <t>Don't Eat at</t>
  </si>
  <si>
    <t>http://www.donteat.at/</t>
  </si>
  <si>
    <t>Sends text messages when you check into a NYC restaurant that is at risk of being closed for health code violations.</t>
  </si>
  <si>
    <t>health;  USA; local</t>
  </si>
  <si>
    <t>new: app</t>
  </si>
  <si>
    <t>DrDoctor</t>
  </si>
  <si>
    <t>http://www.drdoctor.co.uk/</t>
  </si>
  <si>
    <t>DrDoctor is a healthcare communication company providing a set of text messaging and web app tools to let patients make appointments, give feedback and view care plans for their hospitals in real time.</t>
  </si>
  <si>
    <t>@DrDoctorApp, hello@drdoctor.co.uk</t>
  </si>
  <si>
    <t>0044 (0)844 8026 206</t>
  </si>
  <si>
    <t>* Data Sharing of on Hospital Procedures
Advocate, use open medical data</t>
  </si>
  <si>
    <t>DSM Soft</t>
  </si>
  <si>
    <t>http://www.dsmsoft.com/geospatial.html</t>
  </si>
  <si>
    <t>DSM Soft has one of the most sophisticated geospatial production facilities in the world. It is a leading service provider in the Geospatial, Engineering and Publishing Support domains. 
They make use of open, public, crowd sourced, sensor and satellite data to provide a variety of mapping and visualization services that are utilised in land information systems, mapping agencies, energy and utilities, telecommunications,. i.e. activities which are field oriented. 
Some of the services offered to clients include: Ortho/Satellite imagery/Legacy sources, Cadastral Mapping, Land base mapping, Rail/Road Corridor mapping, Forestry/Agriculture mapping.</t>
  </si>
  <si>
    <t>Mr.Ramesh</t>
  </si>
  <si>
    <t>ramesh@dsmsoft.com</t>
  </si>
  <si>
    <t>DSRPTN</t>
  </si>
  <si>
    <t>http://disruptionltd.com/</t>
  </si>
  <si>
    <t>DSRPTN is a digital and technology consultancy providing expert advice on digital leadership, social media utilisation, open data and other aspects of digital business.</t>
  </si>
  <si>
    <t>Emer Coleman (Founder), Dominique Lazanski (Associate)</t>
  </si>
  <si>
    <t>@DisruptionLtd, http://disruptionltd.com/contact-us/</t>
  </si>
  <si>
    <t>^ Open Data Concultancy</t>
  </si>
  <si>
    <t>DueDil</t>
  </si>
  <si>
    <t>https://www.duedil.com/</t>
  </si>
  <si>
    <t>DueDil is an online due diligence company producing an online tool providing business, accounting and director information on businesses in the UK and Ireland.</t>
  </si>
  <si>
    <t>Justin Fitzpatrick (Founder/COO/CFO) </t>
  </si>
  <si>
    <t>@DueDil, enterprise@duedil.com</t>
  </si>
  <si>
    <t>0044 020 3137 8490</t>
  </si>
  <si>
    <t>* Due Dilligence Data Provider / Collector
Use Companies House open data and a variety of other open data sources, publish basic service as open data and publish an API</t>
  </si>
  <si>
    <t>EcoCapita</t>
  </si>
  <si>
    <t>http://www.ecocapita.in/gis.php</t>
  </si>
  <si>
    <t>EcoCapita Consulting Private Limited is committed to providing clients with timely and cost-effective images, maps, and databases for environmental, engineering, and geologic applications. The organization accesses open geographical data and satellite data by acquiring new &amp; archived data, process imagery, derive new maps with FGDC-compliant metadata, and build ready-to-load GIS solutions, thereby providing services to its clients and help organizations take better environmental decisions.</t>
  </si>
  <si>
    <t>Bhopal</t>
  </si>
  <si>
    <t>Atul Singh</t>
  </si>
  <si>
    <t>atul@ecocapita.in</t>
  </si>
  <si>
    <t>http://www.ecodesk.com</t>
  </si>
  <si>
    <t>Ecodesk is a cloud-based sustainability platform enabling organisations to publish and analyse the environmental and social impacts of their supply chains</t>
  </si>
  <si>
    <t>Mark Plant (CEO)</t>
  </si>
  <si>
    <t>sales@ecodesk.com</t>
  </si>
  <si>
    <t>0044 (0)8455 442072</t>
  </si>
  <si>
    <t>* Data Analyst
ODI Member: helps/facilitates the publishing of open data by businesses</t>
  </si>
  <si>
    <t>eHealth Access Pvt Ltd, a pioneer in healthcare industry, is specialized in providing healthcare solutions through advanced telemedicine technology. The company is aimed at bringing multi-specialty affordable healthcare service to one's doorstep.
Launched an innovative technology based tool “Medical Kiosk” to simplify healthcare further, bringing revolution in the healthcare sector.Its product, Medical Kiosk is embedded with touch screen system, video camera, diagnostic equipment, scanner, medical management software with personal health records, etc. to give a real-like experience. This is a holistic system to take care of health needs from Communication through Audio, Video, Phone, Chat and email, Diagnostic monitoring through Stethoscope and ottoscope, Vitals calculation manually inserted from BP, weighing scale, Glucose meter.
It uses open and sensory data to instantly connect the doctor and patient, maintaining and retriving personal health records and provision of interactive health education content. This technology is intended to allow tribal villages to have effective primary and preventive healthcare and also enhance access to the doctors where one can get expert advice on any health-related issue.</t>
  </si>
  <si>
    <t>Jayadeep Reddy</t>
  </si>
  <si>
    <t>jayadeep@evaidya.com</t>
  </si>
  <si>
    <t>EIO</t>
  </si>
  <si>
    <t>http://www.eio.org.uk/</t>
  </si>
  <si>
    <t>The Environmental Investment Organisation (EIO) is a UK-based not-for-profit body dedicated to researching, proposing and implementing solutions to climate change</t>
  </si>
  <si>
    <t>Sam Gill (CEO), Sebastian Hoeg (CFO) </t>
  </si>
  <si>
    <t>Sam: Sam.Gill@eio.org.uk, Sebastian: Sebastian.Hoeg@eio.org.uk</t>
  </si>
  <si>
    <t>* Environmental Innovation Non-Profit</t>
  </si>
  <si>
    <t>OneNetwork, is a B2B and B2C e-network connecting franchisee, partners and service providers to clients. Through their network of partners and franchisee they offer services across core sectors of interests. Our platform currently hosts solutions.
The organization has various services which make use of open data, public data and weather data. One such service is a platform called OneFarm, financial services, etc. that aim to benefit farmers and the rural poor by using open data and satellite data. OneFarm platform also provides a bundle of data services for insurance, fertilisers, agri-input and FMCG companies specific to agriculture and food industry. The organization also has an application (Financial Services) that provides a mobile-based enterprise solution for data management system of microfinance institutions and banks for delivery of door-step financial services which include credit, savings, remittance, insurance, investment and mortgage.
The beneficiaries include farmers and rural poor. Ekgaon thus designs and develops technologies and information systems to meet the needs of developing communities and attempts to deliver affordable, accessible and relevant information management solutions for the business and livelihoods needs of underserved markets in South Asia and Africa.</t>
  </si>
  <si>
    <t>Vijay Pratap Singh Aditya</t>
  </si>
  <si>
    <t>vijay@ekgaon.com,
 vijay.aditya@gmail.com</t>
  </si>
  <si>
    <t>Elbatrop</t>
  </si>
  <si>
    <t>http://www.elbatrop.com/</t>
  </si>
  <si>
    <t>Elbatrop is an app developer specialising in location based offerings</t>
  </si>
  <si>
    <t>@elbatropapps, info@elbatrop.com</t>
  </si>
  <si>
    <t>* Geo-based offerings
Apps based on open street map and open data on GPs, ATMs,</t>
  </si>
  <si>
    <t>Elgin</t>
  </si>
  <si>
    <t>Other ()</t>
  </si>
  <si>
    <t>http://www.elgin.org.uk/</t>
  </si>
  <si>
    <t>ELGIN is the largest source of roadworks information in the United Kingdom, hosting a range of transport related datasets and apps on a single map based platform at roadworks.org</t>
  </si>
  <si>
    <t>James Harris (Managing Director), Shane O'Neill (Chairman) </t>
  </si>
  <si>
    <t>@ElginRoadWorks, info@elgin.org.uk</t>
  </si>
  <si>
    <t>0044 0207 129 6955</t>
  </si>
  <si>
    <t>^ UK's Largest Provider of Transportation Data
ELGIN redistributes public sector information under the Open Government Licence and provides its added value aggregation and application services to industry via its easy to use API (Application Programme Interface) ELGIN also powers http://roadworks.org/</t>
  </si>
  <si>
    <t>eMoksha is a non-partisan non-profit organization focused on enabling citizen awareness and engagement using internet and mobile technologies. They are passionate about using advancement in technologies for enabling meaningful changes in the society, with a focus towards building stronger democracies and better societies, in developing and under-developed countries. 
The organization sets up various projects that use different types of data to create a social impact. For eg, Kiirti, Bangalore Auto Watch, votereport.in, etc. Kiirti is a platform to enable collection and aggregation of governance issues through phone, sms, email and the web. It provides tools to track issues and forward them to the right authorities. It uses open and crowdsourced data to enhance citizen engagement in governance.</t>
  </si>
  <si>
    <t>Selvam Velmurugan</t>
  </si>
  <si>
    <t>selvam@emoksha.org</t>
  </si>
  <si>
    <t>With state-of-the-art technology and a pool of skilled Geomatics specialists, Empower Consultancy offers wide range of services and solutions across the Geo-Spatial value-chain ranging from Remote Sensing, Photogrammetry &amp; GIS to customized solutions for business intelligences using advanced Geomatics engineering concepts.
The services are provided using open geographical data and satellite data. Their verticals include sectors such as: Electric and gas, water/wastewater, urban and regional planning, forestry, agriculture, environmental/flood mapping. These sectors are supported by macro visualizations and virtual mapping of their regions of operation so as to plan better.</t>
  </si>
  <si>
    <t>Dheerender Kumar B</t>
  </si>
  <si>
    <t>sales@empowerconsultancy.com       dheerender@empowerconsultancy.com</t>
  </si>
  <si>
    <t>EnergyDeck</t>
  </si>
  <si>
    <t>https://www.energydeck.com/home/</t>
  </si>
  <si>
    <t>EnergyDeck is a environmental sustainability company which provides a single platform that enables customers to track, manage and save energy for the buildings they occupy.</t>
  </si>
  <si>
    <t>Benjamin Kott (Founder/CEO), Bruno Girin (CTO) </t>
  </si>
  <si>
    <t>@EnergyDeck, info@energydeck.com</t>
  </si>
  <si>
    <t>0044 203 108 9365</t>
  </si>
  <si>
    <t>^ Data Platform for Energy Resources</t>
  </si>
  <si>
    <t>Engaged Investment</t>
  </si>
  <si>
    <t>http://www.engagedinvestment.com/index.html</t>
  </si>
  <si>
    <t>Engaged Investment is a socially-responsible investment advocate providing insight and thought leadership in social impact investment</t>
  </si>
  <si>
    <t>Dr Rupert Evenett (Founder, Joint Chief Executive), Karl H Richter (Founder, Joint Chief Executive)</t>
  </si>
  <si>
    <t>contact@engagedinvestment.com</t>
  </si>
  <si>
    <t>0044 20 3289 5390</t>
  </si>
  <si>
    <t>* Finance Data Analysis 
Intend to provide core data of EngagedX index in an open format</t>
  </si>
  <si>
    <t>Environmental &amp; Geo Spatial Solutions (EGSS) is a reputed Environmental and GIS Consulting Company established in Chennai in July 2008. The organization provides a variety of services using open geographical data and satellite data such as: Geographical Information Systems, GPS, DGPS, Bathymetric and Utility Surveys, BOWTIE Risk Management Software Training, Mineral mapping, Geological, Hydro-geological studies, environmental site assessments, Environmental Impact Assessments and Statements, Air and Noise Modelling, Air, Noise, Water Sampling and Monitoring, Risk Assessment and Disaster Management, Baseline soil, ground water, air and noise monitoring, capacity building and skill development trainings. They help in mining, water management, environmental decisions and disaster management due to the virtual visualization of real fields of work.</t>
  </si>
  <si>
    <t>Mr.Sivakumar</t>
  </si>
  <si>
    <t>sivakumar50@yahoo.com</t>
  </si>
  <si>
    <t>Epimorphics</t>
  </si>
  <si>
    <t>http://www.epimorphics.com/web/</t>
  </si>
  <si>
    <t>Epimorphics is a linked data company providing advanced bespoke IT consultancy, software, training and support</t>
  </si>
  <si>
    <t>Dave Reynolds (Technologist/Project Manager), Ian Dickinson (Senior Engineer/UX) </t>
  </si>
  <si>
    <t>@epimorphics, http://www.epimorphics.com/web/contact</t>
  </si>
  <si>
    <t>0044 (1275) 399069</t>
  </si>
  <si>
    <t>^ Linked Data Analysts</t>
  </si>
  <si>
    <t>EPSRC</t>
  </si>
  <si>
    <t>http://www.epsrc.ac.uk/</t>
  </si>
  <si>
    <t>The Engineering and Physical Sciences Research Council (EPSRC) is a British research council that provides funding for research and postgraduate degrees in engineering and the physical sciences (including mathematics).</t>
  </si>
  <si>
    <t>Andrew Bourne (Strategic Manager), Neil Bowering (Business &amp; User Engagement Strategist)</t>
  </si>
  <si>
    <t>@epsrc,  pressoffice@epsrc.ac.uk</t>
  </si>
  <si>
    <t>0044 (0)1793 444000</t>
  </si>
  <si>
    <t>* Funding for Applied Engineering and Physical Sciences
Advocate Open Access academic publishing, fund open data projects</t>
  </si>
  <si>
    <t>ESRC</t>
  </si>
  <si>
    <t>http://www.esrc.ac.uk/</t>
  </si>
  <si>
    <t>The Economic and Social Research Council (ESRC) is a British research council which provides funding and support for research and training work in social and economic issues.</t>
  </si>
  <si>
    <t>Paul Meller (Head of Research Resources)</t>
  </si>
  <si>
    <t>@esrc, pressoffice@esrc.ac.uk</t>
  </si>
  <si>
    <t>0044 (0)1793 413000</t>
  </si>
  <si>
    <t>* Funding for Economic and Social Research
Advocate Open Access academic publishing, fund open data projects</t>
  </si>
  <si>
    <t>Esri UK</t>
  </si>
  <si>
    <t>http://www.esriuk.com/</t>
  </si>
  <si>
    <t>Esri UK is a geographic information systems (GIS) consultancy providing GIS solutions to aid operational efficiency, customer service, sustainability and asset management to businesses, governments and educational institutions</t>
  </si>
  <si>
    <t>@esriuk, sales@esriuk.com</t>
  </si>
  <si>
    <t>0044 (0)1296 745500 </t>
  </si>
  <si>
    <t>^ GIS Data Provider
Use open geographical data, publish using freemium model to offer some free services</t>
  </si>
  <si>
    <t>eSynergy Solutions</t>
  </si>
  <si>
    <t>http://www.esynergy-solutions.co.uk/</t>
  </si>
  <si>
    <t>eSynergy Solutions is a specialist IT recruitment company</t>
  </si>
  <si>
    <t>Patrick Crompton (Founder/Director), Siri Narasimham (Founder/Director) </t>
  </si>
  <si>
    <t>@eSynergyITrec, info@esynergy-solutions.co.uk</t>
  </si>
  <si>
    <t>0044 (0)207 444 4080</t>
  </si>
  <si>
    <t>-  No Direct Information on Data Usage
ODI Supporter: hosts and attends a number of related events and meet ups within the Data Community</t>
  </si>
  <si>
    <t>Euan's Guide</t>
  </si>
  <si>
    <t>http://www.euansguide.com/</t>
  </si>
  <si>
    <t>Euan's Guide is a website that provides disabled access reviews from disabled people and their friends and families</t>
  </si>
  <si>
    <t>Euan MacDonald (Founder)</t>
  </si>
  <si>
    <t>@EuansGuide, hello@euansguide.com.</t>
  </si>
  <si>
    <t>0044 (0)131 510 5106</t>
  </si>
  <si>
    <t>* Sharing of Reviews for Disabled</t>
  </si>
  <si>
    <t>EvoEnergy</t>
  </si>
  <si>
    <t>http://www.evoenergy.co.uk/</t>
  </si>
  <si>
    <t>EvoEnergy is a solar panel installer providing solar panels to both the commercial and domestic sectors.</t>
  </si>
  <si>
    <t>Dr Kevin Hard (CEO), Steve Wilks (Head of Finance)</t>
  </si>
  <si>
    <t>info@evoenergy.co.uk</t>
  </si>
  <si>
    <t>0044 (0)800 987 0386</t>
  </si>
  <si>
    <t>- No Direct Information on Data Usage
Created interactive/visualisation tool using open gov data</t>
  </si>
  <si>
    <t>Excel Geomatics Private Limited is an ISO 9001:2008 (QMS) certified consultancy company specializing in the exploitation of Earth Observation data and delivering geographic information solutions to private and public organizations worldwide. Excel Geomatics provide Consultancy and Value Added Services in the fastest-growing technology sectors using the tools and techniques such as Satellite Remote Sensing, LiDAR, Photogrammetry, GIS, and Survey (Ground and Airborne), that can help clients to address problems and opportunities. 
They use open geographical data and satellite data and by provision of geospatial solutions support their clients to create an impact on forestry, sustainable development, agriculture, oil and gas, power sectors, land management and reform, development planning, flood zone management, infrastructure management, natural resource exploration</t>
  </si>
  <si>
    <t>Rajesh Paul</t>
  </si>
  <si>
    <t>info@excelgeomatics.com</t>
  </si>
  <si>
    <t>eXparity</t>
  </si>
  <si>
    <t>http://www.exparity.com/</t>
  </si>
  <si>
    <t>eXparity is a software development and consultancy providing bespoke solutions for clients and develop a number of websites, software, and provide a number of open source libraries.</t>
  </si>
  <si>
    <t>@exparity, enquiries@exparity.com</t>
  </si>
  <si>
    <t>0044 (0)1892 611593</t>
  </si>
  <si>
    <t>^ Software Developer and Open Source Provider
Several projects geocode open data sources, e.g. Schools on a Map website uses open ofsted data</t>
  </si>
  <si>
    <t>Expert Technologies</t>
  </si>
  <si>
    <t>http://www.experttechnologies.com/index.html</t>
  </si>
  <si>
    <t>Expert Technologies is a fast growing organization engaged in offering a wide range of Survey Services. Their service range includes General Survey Services, Field Investigation Services, Laboratory Investigation Services, Topographical Survey Services, Project Consultancy Services and Other Geo-Technical Services.
The organization uses open geographical data and satellite data to provide geospatial visualization services to environment and hydroelectric projects. Its main projects are Power Project, Road and Bridge project, Pipeline survey, Runway and Airport, Waterways and Harbours and Topographical Survey.</t>
  </si>
  <si>
    <t>Mr Paramasivam</t>
  </si>
  <si>
    <t>experttech@eth.net, expertsurvey@hotmail.com</t>
  </si>
  <si>
    <t>http://www.ey.com/UK/en/Home</t>
  </si>
  <si>
    <t>Ernst &amp; Young (now known as EY) is a multinational professional services firm that provides assurance (including financial audit), tax, consulting and advisory services.</t>
  </si>
  <si>
    <t>Hosted TechCamp in London, conducts research</t>
  </si>
  <si>
    <t>F!ND</t>
  </si>
  <si>
    <t>http://www.findmaps.co.uk/index.htm</t>
  </si>
  <si>
    <t>FIND is a web mapping and spatial data technology company, providing global mapping solutions to a broad range of industry sectors.</t>
  </si>
  <si>
    <t>@FINDmaps, support@findmaps.co.uk
</t>
  </si>
  <si>
    <t>0044 (0)845 521 1410
</t>
  </si>
  <si>
    <t>^ Mapping Data Provider / Software Developer
Publish sketchmap.com, aggregate OS and other mapping data</t>
  </si>
  <si>
    <t>FairSay</t>
  </si>
  <si>
    <t>http://fairsay.com/</t>
  </si>
  <si>
    <t>FairSay is a business that works with the world's leading campaigns using strategy, analysis, training, events, advice and support</t>
  </si>
  <si>
    <t>Duane Raymond (Founder)</t>
  </si>
  <si>
    <t>@fairsay, duane@fairsay.com
</t>
  </si>
  <si>
    <t>0044 (0)207 993 4200</t>
  </si>
  <si>
    <t>^ Used Open Data for Campaigning
Blogged and created video dicussion on open data usage</t>
  </si>
  <si>
    <t>Figshare</t>
  </si>
  <si>
    <t>http://figshare.com/</t>
  </si>
  <si>
    <t>Figshare is an online digital repository where researchers can preserve and share their research outputs, including figures, datasets, images, and videos</t>
  </si>
  <si>
    <t>Mark Hanel (Founder), Dan Valen (Product Sales Manager)</t>
  </si>
  <si>
    <t>@figsare, info@figshare.com</t>
  </si>
  <si>
    <t>0044 (0) 20 7418 5573</t>
  </si>
  <si>
    <t>^ Open Data Portal (Articles and Datasets) for Researches
It is free to upload content and free to access, in adherence to the principle of open data. Data added to the platform is CC0, content CC-BY</t>
  </si>
  <si>
    <t>Findaschool</t>
  </si>
  <si>
    <t>http://www.findaschool.info/index.php</t>
  </si>
  <si>
    <t>Findaschool is a web-company which provides a tool to help parents choose local schools for their children, based on a wide variety of criteria including likelihood of entry and performance</t>
  </si>
  <si>
    <t>@findaschoolinfo, contact@findaschool.info</t>
  </si>
  <si>
    <t>* Multi-Level Analysis for School Recommendations </t>
  </si>
  <si>
    <t>First Utility</t>
  </si>
  <si>
    <t>http://www.first-utility.com/</t>
  </si>
  <si>
    <t>First Utility is a gas and electricity supplier providing energy supply to consumers and focusing on the role technological developments can play in the energy industry.</t>
  </si>
  <si>
    <t>@first_utility, http://www.first-utility.com/contact-us</t>
  </si>
  <si>
    <t>- Energy Suppliers, No Direct Information on Data </t>
  </si>
  <si>
    <t>Fixers</t>
  </si>
  <si>
    <t>http://www.fixers.org.uk/</t>
  </si>
  <si>
    <t>Fixers is a communication facilitation charity which provides young people with the opportunity to communicate, through digital, print and broadcast media, their desire for change, across a range of issues, based on personal experiences.</t>
  </si>
  <si>
    <t>@FixersUK,  talk2me@fixers.org.uk</t>
  </si>
  <si>
    <t>0044  (0)19 6281 0970</t>
  </si>
  <si>
    <t>- Media Platform for Youth Communication, No Direct Infromation on Data
Uses a whole host of open data - Ofsted inspection reports, School level data from the Department for Education annual census, exam results, previous years' school admissions data</t>
  </si>
  <si>
    <t>Flatmate Rooms</t>
  </si>
  <si>
    <t>https://www.flatmaterooms.co.uk/</t>
  </si>
  <si>
    <t>Flatmate Rooms is an community marketplace providing a service which matches landlords and homeowners with flatmates and tenants looking for places to live.</t>
  </si>
  <si>
    <t>@FlatmateRooms, hello@flatmaterooms.co.uk</t>
  </si>
  <si>
    <t>0044 (0)8456 212 500</t>
  </si>
  <si>
    <t>* Data Analysts / Software Developers 
Uses open data from OS and data.gov</t>
  </si>
  <si>
    <t>Flexeye</t>
  </si>
  <si>
    <t>http://www.flexeye.com/</t>
  </si>
  <si>
    <t>Flexeye is an analytics company which provides Operational Intelligence systems which is the lead partner on the Internet of Things EyeHub project.</t>
  </si>
  <si>
    <t>Justin Anderson (Chairman/CEO)</t>
  </si>
  <si>
    <t>@Flexeye, questions_uk@flexeye.com</t>
  </si>
  <si>
    <t>0044 (0) 1483 306060</t>
  </si>
  <si>
    <t>* Data Analytics</t>
  </si>
  <si>
    <t>FlyingBinary</t>
  </si>
  <si>
    <t>http://www.flyingbinary.com</t>
  </si>
  <si>
    <t>FlyingBinary is a web science company that provides data analytics, visualisation and cloud computing solutions and services</t>
  </si>
  <si>
    <t>Jacqui Taylor (CEO), Ian Taylor (CTO)</t>
  </si>
  <si>
    <t>@FlyingBinary</t>
  </si>
  <si>
    <t>^ Data Analytics and Visualization of Open Data and Big Data </t>
  </si>
  <si>
    <t>Folk Labs</t>
  </si>
  <si>
    <t>http://www.folklabs.com/</t>
  </si>
  <si>
    <t>Folk Labs is a web and mobile software development company providing software to facilitate local economic ecosystems</t>
  </si>
  <si>
    <t>Chris Wells (Founder/Creative Director), Paul Mackay (Founder/Technical Director) </t>
  </si>
  <si>
    <t>@Folklabs, http://www.folklabs.com/contact-us/</t>
  </si>
  <si>
    <t>* Software Developers </t>
  </si>
  <si>
    <t>Bretton Woods Project</t>
  </si>
  <si>
    <t>Other (network of NGOs)</t>
  </si>
  <si>
    <t>http://www.brettonwoodsproject.org/2014/04/follow-the-money/</t>
  </si>
  <si>
    <t>The project focuses on the World Bank and the IMF to challenge their power, open policy space, and promote alternative approaches.</t>
  </si>
  <si>
    <t>Research</t>
  </si>
  <si>
    <t>FoodTrade</t>
  </si>
  <si>
    <t>http://foodtrade.com/</t>
  </si>
  <si>
    <t>Sustaination is the company behind FoodTrade, a membership organisation matchmaking food production and retail businesses to work together for a responsible and efficient food system.</t>
  </si>
  <si>
    <t>Ed Dowding (CEO) </t>
  </si>
  <si>
    <t>@foodtradeHQ, http://digest.foodtrade.com/contact/</t>
  </si>
  <si>
    <t>* Business Production and Retail Concultancy
Publishes data on food network and were founding signatories of the Global Open Data for Agriculture and Nutrition, presented at the ODI</t>
  </si>
  <si>
    <t>Footweb</t>
  </si>
  <si>
    <t>http://www.footweb.co.uk/</t>
  </si>
  <si>
    <t>Footweb is a web development and design company providing the full range of web development services, producing the UK Trade Analysis website</t>
  </si>
  <si>
    <t>info@footweb.co.uk </t>
  </si>
  <si>
    <t>0044 (0)20 8657 8268</t>
  </si>
  <si>
    <t>* Software and Service Developers
UK Trade Analysis uses open importer data and a variety of other open sources and publishes them in an open format</t>
  </si>
  <si>
    <t>Fram3</t>
  </si>
  <si>
    <t>http://www.fram3.co.uk/</t>
  </si>
  <si>
    <t>Fram3 is a technology company that seeks to break down barriers for disabled people</t>
  </si>
  <si>
    <t>@fram3tech, info@fram3.co.uk</t>
  </si>
  <si>
    <t>0044 (0) 1792 655 948</t>
  </si>
  <si>
    <t>* Software and Service Developers</t>
  </si>
  <si>
    <t>FrontalRain Technologies Pvt Ltd</t>
  </si>
  <si>
    <t>http://www.frontalrain.com/</t>
  </si>
  <si>
    <t>FrontalRain Technologies offers high-impact software solutions for Agribusinesses and Food Processing companies to achieve supply chain excellence. The organization's software Rain+ uses open data to provide data analytics services and cloud computing software to agribusiness, thus helping them increase productivity and face challenges of unpredictable weather and fluctuation commodity  prices.
Challenges in farm productivity due to low technology adoption and delicate relationship between farmers and agribusiness pose immense difficulty to companies operating in this sector. FrontalRain aspires to take technology to remote corners of India.</t>
  </si>
  <si>
    <t>P.SreeRam</t>
  </si>
  <si>
    <t>p.sreeram@frontalrain.com, psreeram@gmail.com</t>
  </si>
  <si>
    <t>Fubra</t>
  </si>
  <si>
    <t>http://www.fubra.com/</t>
  </si>
  <si>
    <t>Fubra is a technology and investment business which producing a large number of websites</t>
  </si>
  <si>
    <t>Brendan McLoughlin (Executive Director), Paul Maunders (Executive Director) </t>
  </si>
  <si>
    <t>@fubra, support@fubra.com</t>
  </si>
  <si>
    <t>0044 (0)1252 367 200</t>
  </si>
  <si>
    <t>* Software Developers 
A number of their websites are based around open data</t>
  </si>
  <si>
    <t>Full Circle Arts</t>
  </si>
  <si>
    <t>http://www.fullcirclearts.co.uk/</t>
  </si>
  <si>
    <t>Full Arts Circle is a disabled-led arts organisation providing funding, support and collaboration facilitation for digital art, people and artists</t>
  </si>
  <si>
    <t>Lizzy Atherton (Project Manager), Chris Hammond (Artistic Director)</t>
  </si>
  <si>
    <t>http://www.fullcirclearts.co.uk/about/contact-us/</t>
  </si>
  <si>
    <t>0044 (0)161 818 6631</t>
  </si>
  <si>
    <t>* Funding for Artists with Focus on Digital Art </t>
  </si>
  <si>
    <t>https://www.fundingcircle.com/</t>
  </si>
  <si>
    <t>Funding Circle is a peer-to-peer business lending facilitator providing an online marketplace which allows a range of investors to lend money directly to small and medium sized businesses</t>
  </si>
  <si>
    <t>Andrew Mullinger (Founder, Global Head of Credit), Sam Hodges (Founder, U.S. Managing Director)</t>
  </si>
  <si>
    <t>@FundingCircleUS, support@fundingcircle.com</t>
  </si>
  <si>
    <t>1 (855) 385-5356</t>
  </si>
  <si>
    <t>* Open Crowdsourcing</t>
  </si>
  <si>
    <t>FutureEverything</t>
  </si>
  <si>
    <t>http://futureeverything.org/</t>
  </si>
  <si>
    <t>FutureEverything is an innovation lab for digital culture and annual festival specialising in generating connections between thinkers, developers, coders, artists, designers, urbanists and policy makers.</t>
  </si>
  <si>
    <t>Drew Hemment (Founder/CEO), Tom Higham (Executive Director)</t>
  </si>
  <si>
    <t>@futureeverything, Drew: drew@futureeverything.org, Tom: tom@futureeverything.org, General: info@futureeverything.org </t>
  </si>
  <si>
    <t>0044 (0)161 232 4600</t>
  </si>
  <si>
    <t>* Crowdsourcing / Networking Lab</t>
  </si>
  <si>
    <t>7 Layer</t>
  </si>
  <si>
    <t>FutureGov</t>
  </si>
  <si>
    <t>http://wearefuturegov.com/</t>
  </si>
  <si>
    <t>FutureGov is a software development company that provides technology solutions local authorities to enhance public services</t>
  </si>
  <si>
    <t>Dominic Campbell (Founder), Carrie Bishop (Director) </t>
  </si>
  <si>
    <t>@futuregov, Dominic: dom@wearefuturegov.com, Carrie: carrie@wearefuturegov.com, General hello@wearefuturegov.com</t>
  </si>
  <si>
    <t>* Software Developers 
Created Open Futuregov website at a hack week which provides overview of FutureGov projects in an open format</t>
  </si>
  <si>
    <t>Futurescaper</t>
  </si>
  <si>
    <t>http://www.futurescaper.com/</t>
  </si>
  <si>
    <t>Futurescaper creates online tools for strategic conversations and crowdsourced engagement from large groups online to discover deeper insights, and make more informed decisions about the future</t>
  </si>
  <si>
    <t>Dr. Noah Raford (Founder), Nathan Koren (Founder)</t>
  </si>
  <si>
    <t>info@futurescaper.com</t>
  </si>
  <si>
    <t>* Software Developers for Analysis and Crowdsourcing</t>
  </si>
  <si>
    <t>Geeky Coders</t>
  </si>
  <si>
    <t>http://www.geekycoders.com/</t>
  </si>
  <si>
    <t>Geeky Coders are a web and mobile application developer who have created numerous apps/websites based around open data</t>
  </si>
  <si>
    <t>@geekycoders, http://www.geekycoders.com/blog#touch</t>
  </si>
  <si>
    <t>^ Open Data Software Developers</t>
  </si>
  <si>
    <t>Genuine Enterprise</t>
  </si>
  <si>
    <t>http://www.genuineenterprice.com/</t>
  </si>
  <si>
    <t>GENUINE ENTERPRISE provides professional geospatial services in strict adherence to the highest ethical and technical standards. They deliver services in the fields of GIS, Remote sensing, Surveying and CAD drafting. These services are provided using open geographical data and satellite data. They have a profound experience in delivering these services in the fields of environmental science, Agriculture &amp; utility, Crime Analysis and energy and thus helping them to visualize their field oriented work.</t>
  </si>
  <si>
    <t>Geo</t>
  </si>
  <si>
    <t>http://www.greenenergyoptions.co.uk/</t>
  </si>
  <si>
    <t>Geo is an energy management company providing end-to-end utility management services including in-home displays, mobile and online services for monitoring electricity, water, gas, heat, boilers and microgeneration</t>
  </si>
  <si>
    <t>Simon Hughes (Chief Commercial Officer), Rachel Bennett (VP Smart Metering) </t>
  </si>
  <si>
    <t>@geomonitors, cservice@greenenergyoptions.co.uk</t>
  </si>
  <si>
    <t>0044 (0)1223 850 210</t>
  </si>
  <si>
    <t>* Enegy, Water, Gas, Electricity Management </t>
  </si>
  <si>
    <t>Geo Adithya</t>
  </si>
  <si>
    <t>http://www.geoadithya.com/</t>
  </si>
  <si>
    <t>Geo Adithya is one of the largest and most experienced full service geospatial solutions company in cosmopolitan city Chennai, India. The organization uses open geographical data and satellite data to create visualizations of real world areas for decision makers to create an impact in areas like forestry, railways, oil and gas.</t>
  </si>
  <si>
    <t>Mr. Gnanaprakash</t>
  </si>
  <si>
    <t>gnanaprakashgis@gmail.com</t>
  </si>
  <si>
    <t>Geo.me Solutions</t>
  </si>
  <si>
    <t>http://www.geo.me/</t>
  </si>
  <si>
    <t>Geo.me is a location data services company providing web-based software applications and online data services (APIs) to businesses, serving web, smartphone and navigation devices.</t>
  </si>
  <si>
    <t>Stuart Grant (Director), Jim Strong (Director)</t>
  </si>
  <si>
    <t>info@geo.me</t>
  </si>
  <si>
    <t>* Geo-based Services for Apps and Businesses </t>
  </si>
  <si>
    <t>Geoconcept (Subsidiaryof Geoconcept Group, France)</t>
  </si>
  <si>
    <t>http://www.geoconcept.in/emergency-and-safety</t>
  </si>
  <si>
    <t>With its own proprietary Geographical Information System (GIS), GEOCONCEPT designs and publishes cartographical information and optimization data and applications for corporations and public organizations. Today, the GEOCONCEPT Group numbers more than 10,000 client references in more than 35 countries and more than 100,000 optimised resources.
GEOCONCEPT offers a large range of Geographical Information System (GIS) components for the strategic and operational management of protection and security: mission preparation, management of the alert, command systems. The organization uses open geographical data and satellite data to provide services. In emergency situations, these GIS services help to visualize the area of emergency and ensure better preparedness to the security and defence forces.</t>
  </si>
  <si>
    <t>Bapuji Muthukrishnan, Didier Philippe Robert</t>
  </si>
  <si>
    <t>clementine.rao@geoconcept.com</t>
  </si>
  <si>
    <t>GeoICON</t>
  </si>
  <si>
    <t>http://www.geoicon.com/</t>
  </si>
  <si>
    <t>GeoICON is a successful business enterprise geospatial technology solutions provider. Their flagship product GeoBind® provides a comprehensive solution for systems integration. GeoICON provides the best in the line of Vehicle Tracking and fleet management solutions for clients with various requirements. GIS Web Hosting services enables organizations minimize cost by avoiding the installation of an in-house GIS server facility. They use open geographical data to provide Geographical Information System (GIS) and related services that impact operations in land administration, environmental management, agriculture, infrastructure, utility management and others.</t>
  </si>
  <si>
    <t>Mr. Raghunathan</t>
  </si>
  <si>
    <t>info.india@geoicon.com</t>
  </si>
  <si>
    <t>Geokno</t>
  </si>
  <si>
    <t>http://www.geokno.com/</t>
  </si>
  <si>
    <t>Geokno is committed to deliver geospatial services and solutions that will serve the needs of the society.Geokno's webGIS solution developed with complete opensource platform provides end to end solutions.GeoknoMapper is a mobile mapping system designed to collect engineering grade LiDAR data over large areas.
They make use of satellite and open data through laser scanning from airborne, terrestrial and mobile sensors, and the WebGIS as well as open geographical data to provide cost-effective and efficient solutions.They provide wide range of solutions in railway sector. Provides support in topographic mapping for the preliminary and detailed design of new railway routes.</t>
  </si>
  <si>
    <t>Mr.Balaji Nagarajan</t>
  </si>
  <si>
    <t>balaji.nagarajan@geokno.com</t>
  </si>
  <si>
    <t>GeoLytix</t>
  </si>
  <si>
    <t>http://geolytix.co.uk/</t>
  </si>
  <si>
    <t>GeoLytix is a professional consultancy services firm specialising in solving geospatial-based problems using location and mapping data</t>
  </si>
  <si>
    <t>Blair Freebairn (Principal), Sarah Hitchcock (Operations) </t>
  </si>
  <si>
    <t>@GeoLytix, info@geolytix.co.uk</t>
  </si>
  <si>
    <t>0044 (0) 20 8242 4166</t>
  </si>
  <si>
    <t>* Geo-based Mapping Concultancy</t>
  </si>
  <si>
    <t>GeoShot Technologies</t>
  </si>
  <si>
    <t>http://www.geoshott.com/</t>
  </si>
  <si>
    <t>GeoShot Technologies is a professionally managed firm offering specialized technology services in graphics, animation, GIS, BIM, CAD and software development. The organization uses open geographical data and satellite data to provide consultancy in decision making for infrastructure, natural resources, public safety, land administration, utilities and telecommunications industries.</t>
  </si>
  <si>
    <t>Bigyan Kar</t>
  </si>
  <si>
    <t>info@geoshott.com</t>
  </si>
  <si>
    <t>Geospoc</t>
  </si>
  <si>
    <t>http://www.geospoc.com/index.html</t>
  </si>
  <si>
    <t>Geospoc is a GIS consulting start up that specialise in embedding Geospatial intelligence that enables businesses to leverage GIS technology for maximum benefit.Their main services include:
Digital map designing and layout
Thematic map preparation
3-D terrain mapping and visualisation.
By making use of open geographical data and satellite data they provide geographic datasets, integration services, training and support. With the emergence of mapping platforms on the cloud (such as Google),they also provide implementation services for companies wanting to embed maps on their web sites or applications. Geospoc delivers geospatial information services and consulting to a wide variety of clients in diverse markets, including Government, Urban Planning, Architects, Travel and Tourism and more.</t>
  </si>
  <si>
    <t>Pune</t>
  </si>
  <si>
    <t>Amruta Awachat - Phatak</t>
  </si>
  <si>
    <t>info@geospoc.com</t>
  </si>
  <si>
    <t>GeoVista</t>
  </si>
  <si>
    <t>http://www.geovista.co.in/services.html</t>
  </si>
  <si>
    <t>GEOVISTA is an IT, ITES enabled consulting and Geospatial Services Company striving to serve the needs of the global business, driven through focused, innovative, cost effective solutions and services in all areas of data process, knowledge outsourcing and spatial technology and its applications.
The organization provides services like Satellite/Aerial Remote Sensing, Photogrammetry, LIDAR, Global Positioning Applications and Geospatial (GIS) workflow Analysis and Design. These services are provided using open geographical data and satellite data and help field oriented sectors like urban planning and utilities to view virtually their field of work and plans in that field.</t>
  </si>
  <si>
    <t>Manjunath Narayanaswamy</t>
  </si>
  <si>
    <t>contact@geovista.co.in, manjunath@geovista.co.in,</t>
  </si>
  <si>
    <t>Geowise</t>
  </si>
  <si>
    <t>http://www.instantatlas.com/</t>
  </si>
  <si>
    <t>GeoWise is a software developer which provides the InstantAtlas platform for managing and presenting geographic and statistical information including complex public sector data.</t>
  </si>
  <si>
    <t>Mike Forster (Managing Director), Jon Peltenburg (Operations Director)</t>
  </si>
  <si>
    <t>@instantatlas, info@geowise.co.uk</t>
  </si>
  <si>
    <t>0044 131 524 7250</t>
  </si>
  <si>
    <t>^ Software Developer
Facilitates open data publication</t>
  </si>
  <si>
    <t>Ghostery</t>
  </si>
  <si>
    <t>https://www.ghosteryenterprise.com/</t>
  </si>
  <si>
    <t>Ghostery, Inc. is a global marketing technology company that provides online transparency and control to individuals and businesses</t>
  </si>
  <si>
    <t>Scott Meyer (CEO), Mark Rudolph (CRO)</t>
  </si>
  <si>
    <t>@ghosteryinc, eusales@ghostery.com </t>
  </si>
  <si>
    <t>0044 (0)20 7031 8232</t>
  </si>
  <si>
    <t>* Marketing and Transparency Concultancy
Open Data Partnership inherited from Evidon </t>
  </si>
  <si>
    <t>GIS Consortium (India) Pvt. Ltd.</t>
  </si>
  <si>
    <t>http://www.giscindia.com/</t>
  </si>
  <si>
    <t>GIS Consortium (India) Pvt. Ltd. is an emerging GIS services and spatial data provider for creative solutions in the areas of Natural Resources Management , land information systems, urban development &amp; planning and geographical information systems applications. It uses open geographical data and satellite data to provide the following services: Natural resources management, data conversion, telecommunication, image processing, remote sensing. Through its services it provides visualization of nature and geographic areas for the sectors that find this essential in decision making.</t>
  </si>
  <si>
    <t>Hari Krishna Kumar</t>
  </si>
  <si>
    <t>Give What You're Good At</t>
  </si>
  <si>
    <t>http://www.givewhatyouregoodat.co.uk/index.php</t>
  </si>
  <si>
    <t>Give What You're Good At (GWYGA) is an organisation that seeks to strengthen communities by connecting companies and good causes, offering a variety of online and offline services to support business leaders committed to civic engagement through skills based volunteering</t>
  </si>
  <si>
    <t>Ami Bloomer (Founder/CEO)</t>
  </si>
  <si>
    <t>@GWYGAGlobe, Kate@givewhatyouregoodat.co.uk</t>
  </si>
  <si>
    <t>* Crowdfunding and Crowdsourcing Organization</t>
  </si>
  <si>
    <t>GlobalGiving UK</t>
  </si>
  <si>
    <t>http://www.globalgiving.co.uk/</t>
  </si>
  <si>
    <t>GlobalGiving is a charitable organisation that seeks to provide new giving options for people wanting a direct, transparent, high-impact giving experience and provide the vital access to resources that community organisations need</t>
  </si>
  <si>
    <t>Eleanor Harrison (CEO), Neha Goel (Finance Officer)</t>
  </si>
  <si>
    <t>@GlobalGivingUK, http://www.globalgiving.co.uk/api/contact-us.html</t>
  </si>
  <si>
    <t>0044 (0)207 242 8079 </t>
  </si>
  <si>
    <t>^ Open Data API, Provider, and Platform for Innovations</t>
  </si>
  <si>
    <t>GNO (referred by Mr. Rajneesh Singh of Satpalda Geospatial Services, developed by a Prof of Indian Institute of Technology Kanpur</t>
  </si>
  <si>
    <t>The organization uses open source applications to provide a service called LIDAR for geographic mapping and visualization that can be replicated across the country for various government activities and projects that have geographic implications.</t>
  </si>
  <si>
    <t>Kanpur</t>
  </si>
  <si>
    <t>Mr. Ranjeesh Singh</t>
  </si>
  <si>
    <t>rajneesh.singh@satpalda.com</t>
  </si>
  <si>
    <t>GoCarShare</t>
  </si>
  <si>
    <t>http://gocarshare.com/</t>
  </si>
  <si>
    <t>GoCarShare is a company providing a website that allows users to sell or buy car journeys where there are spare seats</t>
  </si>
  <si>
    <t>@goCarSharers,  hello@gocarshare.com</t>
  </si>
  <si>
    <t>* Data Analysts / Software Developers </t>
  </si>
  <si>
    <t>http://www.google.com</t>
  </si>
  <si>
    <t>Google is a multinational corporation specializing in Internet-related services and products, including online advertising technologies, search, cloud computing and software</t>
  </si>
  <si>
    <t>Repository of publicly available data through Public Data Explorer</t>
  </si>
  <si>
    <t>Griffin Brown</t>
  </si>
  <si>
    <t>http://www.griffinbrown.co.uk/welcome.asp</t>
  </si>
  <si>
    <t>Griffin Brown is a digital publishing consultancy providing clients with software to publish data and content in digital formats</t>
  </si>
  <si>
    <t>Offer both free, open source and commercially-licensed software for publishing data</t>
  </si>
  <si>
    <t>groupedin</t>
  </si>
  <si>
    <t>https://www.groupedin.co.uk/</t>
  </si>
  <si>
    <t>GroupedIn is a social network company providing organisations with a private digital social networking space where their employees can communicate and collaborate.</t>
  </si>
  <si>
    <t>.</t>
  </si>
  <si>
    <t>Growth Intelligence</t>
  </si>
  <si>
    <t>http://www.growthintel.com/</t>
  </si>
  <si>
    <t>Growth Intelligence is a business to business marketing consultancy providing predictive marketing software which scopes out potential clients for businesses</t>
  </si>
  <si>
    <t>Predictive marketing software (provided as a service) uses ‘open-source’ big data and analytics</t>
  </si>
  <si>
    <t>Hansard Society</t>
  </si>
  <si>
    <t>http://www.hansardsociety.org.uk/</t>
  </si>
  <si>
    <t>The Hansard Society is an independent, non-partisan political research and education society that works in the UK and around the world to promote democracy and strengthen parliaments</t>
  </si>
  <si>
    <t>Written blog posts on open data and policy making</t>
  </si>
  <si>
    <t>Harness Handitouch Pvt. Ltd.</t>
  </si>
  <si>
    <t>http://www.harnesstouch.com/Implementation.htm</t>
  </si>
  <si>
    <t>Harness is a cloud based learning startup that works on the power of networked devices, networked people and blended learning. Their product Touch-on-Cloud is a versatile learning operating system that can transform classrooms into collaborative learning centres with high learning outcomes. Touch-on-Cloud revolutionises education delivery through smart engineering along 3 themes - Create, Connect and EnGauge.
It makes use of open data and blends the content from sources like wikipedia, youtube into its learning process. It hands back control of the classroom to the teacher by engaging students with creative content; interconnect collaboration, and automatic evaluation. It also helps to quickly produce useful reports on activity and results for the teacher.</t>
  </si>
  <si>
    <t>Ravi K</t>
  </si>
  <si>
    <t>ravi.k@harnesstouch.com</t>
  </si>
  <si>
    <t>Harvey Walsh</t>
  </si>
  <si>
    <t>http://www.harveywalsh.co.uk/</t>
  </si>
  <si>
    <t>Harvey Walsh is a healthcare intelligence company providing data analytics to the NHS and pharmaceutical industry.</t>
  </si>
  <si>
    <t>Uses NHS data</t>
  </si>
  <si>
    <t>Health indicators by Centre for Development of Advanced Computing</t>
  </si>
  <si>
    <t>http://cdac.in/, http://data.gov.in/sites/default/files/Opendataapps_challenge_finalist.pdf</t>
  </si>
  <si>
    <t>Health Indicators is an application that uses open government data to provide visualizations of state wise and year wise health indicators in India and can generate pdfs of this information. It is an useful tool to planners in the health sector. Health Indicators developed by the Centre for Development of Advanced Computing  have been the finalists of the open data apps challenge organized by Nasscom and NIC.</t>
  </si>
  <si>
    <t>Saurav Gupta</t>
  </si>
  <si>
    <t>Healthifyme</t>
  </si>
  <si>
    <t>http://healthifyme.com/</t>
  </si>
  <si>
    <t>Healthify provides tools for health management through a suite of products for the Indian user. These include an online wellness platform and mobile applications. Its focus is to empower people with smart tools, which help them track their lifestyle seamlessly. Its solution is an app that has many features which makes it easier for a user to live a healthier life. It tracks their calories, fitness activity, nutrition and weight.Users can set goals, get advice and suggestions on lifestyle from expert dieticians and work on a systematic fitness plan. 
It makes use of open data and help users analyze and share their data, and use the power of community, peer groups, and contextualized information to drive positive behavioral change, besides making it incredibly easy for the users to discover healthy people, places, and products, which will further continue their healthy engagement offline.</t>
  </si>
  <si>
    <t>Tushar Vashisht and Mathew Cherian</t>
  </si>
  <si>
    <t>tushar@healthify.com</t>
  </si>
  <si>
    <t>HealthIQ</t>
  </si>
  <si>
    <t>http://healthiq.co.uk/</t>
  </si>
  <si>
    <t>Health iQ is a data analytics consultancy providing insight, tools and aggregate data to the healthcare and life sciences sector.</t>
  </si>
  <si>
    <t>Uses NHS and ambulance data</t>
  </si>
  <si>
    <t>Hebe Works</t>
  </si>
  <si>
    <t>http://www.hebeworks.com/</t>
  </si>
  <si>
    <t>Hebe Works is a data-driven software developer specialising in providing open data, technology and media solutions to cities.</t>
  </si>
  <si>
    <t>Created Leeds Data Mill and Leeds City Dashboard, build/provide support for other local open data platforms - consult and deliver on a whole range of open data projects</t>
  </si>
  <si>
    <t>Helpful Technology</t>
  </si>
  <si>
    <t>http://www.helpfultechnology.com/</t>
  </si>
  <si>
    <t>Helpful Technology is a digital engagement consultancy providing advice, training, website and intranet creation to clients, often in the public sector.</t>
  </si>
  <si>
    <t>Developed several aggregating job's websites which use employment data</t>
  </si>
  <si>
    <t>HOTSTAR</t>
  </si>
  <si>
    <t>http://about.me/martinoliver</t>
  </si>
  <si>
    <t>HOTSTAR is an online social media game</t>
  </si>
  <si>
    <t>Housing.com</t>
  </si>
  <si>
    <t>http://housing.com/careers</t>
  </si>
  <si>
    <t>Housing.com is an online platform and India’s first map-based home search portal.By making use of crunched back end open and crowdsourced data they help people find homes for buying and rent.</t>
  </si>
  <si>
    <t>Rahul Yadav</t>
  </si>
  <si>
    <t>social@housing.com, rahul.yadav@housing.com, adhu354@gmail.com</t>
  </si>
  <si>
    <t>HumanityOnline</t>
  </si>
  <si>
    <t>http://www.humanityonline.org/</t>
  </si>
  <si>
    <t>Humanity Online is a social web developer aiming to provide an online platform (engage.re) for collaborations where users are able to come together as communities in order to achieve greater impact in solving problems of mutual concern.</t>
  </si>
  <si>
    <t>I Can Make</t>
  </si>
  <si>
    <t>http://www.icanmake.co/</t>
  </si>
  <si>
    <t>I Can Make provides educational kits for children and adults to make on 3D printers</t>
  </si>
  <si>
    <t>ODI Startup</t>
  </si>
  <si>
    <t>i-genius</t>
  </si>
  <si>
    <t>http://www.i-genius.org/</t>
  </si>
  <si>
    <t>i-genius is a social entrepreneurship advocate providing events, training and support for an international network of social entrepreneurs whilst promoting profiles of social entrepreneurship.</t>
  </si>
  <si>
    <t>Web-COSI project (which i-genius is a partner in) uses and advocates open statistics data</t>
  </si>
  <si>
    <t>i3 Education Services</t>
  </si>
  <si>
    <t>http://www.ithree.co.uk/home/</t>
  </si>
  <si>
    <t>i3 Education Services is an education consultancy providing analytics services and consulting to education providers.</t>
  </si>
  <si>
    <t>Uses open education data, sister company of Oxford Analytics</t>
  </si>
  <si>
    <t>http://www.ibm.com/uk/en/</t>
  </si>
  <si>
    <t>The International Business Machines Corporation (IBM) is a multinational technology and consulting corporation providing computer hardware, software, infrastructure, hosting and consulting services in many areas.</t>
  </si>
  <si>
    <t>Provides the Many Eyes data visualisation tool which facilitates open data interaction and allows users to post their own data in an open format</t>
  </si>
  <si>
    <t>IBM India GPS Analytics- Populace Analysis &amp; Prediction Tool (PAT) application</t>
  </si>
  <si>
    <t>http://www.ibm.com/in/en, http://data.gov.in/sites/default/files/Opendataapps_challenge_finalist.pdf</t>
  </si>
  <si>
    <t>Populace Analysis &amp; Prediction Tool (PAT) is an app used for comparing population, performance &amp; trends(finalists of the open data apps challenge by Nasscom and NIC). 
PAT focuses on analyzing on the crude death and crude birth rate to arrive at the conclusion for recommending action and guiding government decision to spur citizen engagement and improve delivery of government services. The app uses Open data for Narrative Analysis, Comparative Analysis, Descriptive Analysis, Trend Analysis, Predictive Analysis</t>
  </si>
  <si>
    <t>Rajat Ku. Behera
Anoop Lopez
Ranjit Patnaik</t>
  </si>
  <si>
    <t>http://www.linkedin.com/profile/view?id=92030208&amp;authType=NAME_SEARCH&amp;authToken=9oWv&amp;locale=en_US&amp;srchid=769280191394608484821&amp;srchindex=1&amp;srchtotal=1&amp;trk=vsrp_people_res_name&amp;trkInfo=VSRPsearchId%3A769280191394608484821%2CVSRPtargetId%3A92030208%2CVSRPcmpt%3Aprimary,</t>
  </si>
  <si>
    <t>iGroove Technologies</t>
  </si>
  <si>
    <t>http://www.igroovetec.com/</t>
  </si>
  <si>
    <t>Backed by sophisticated project management and independent advisory services, iGroove Technologies’ solutions are designed to custom-fit each organization. They focus in leveraging GIS services to drive the cost effectiveness and add to the business value. iGroove Technologies is a professional and independent company, offering a comprehensive range of Geographic Information System (GIS) consultancy, GIS services, GIS support services and Engineering services like 3D modelling, 2D detailing &amp; drafting, BIM (Building Information Modelling). Through these services, the raw data used in decision making by the utilities sector, transportation, public bodies, oil and gas companies is converted into meaningful visualizations making use of open geographical and satellite data .</t>
  </si>
  <si>
    <t>Vijay Kumar</t>
  </si>
  <si>
    <t>info@igroovetec.com</t>
  </si>
  <si>
    <t>ILI</t>
  </si>
  <si>
    <t>http://www.iliteam.com/</t>
  </si>
  <si>
    <t>ILI is a consumer data company building a platform which gives both individual consumers and supplier organisations access and benefit from aggregated data.</t>
  </si>
  <si>
    <t>Advocate, intend platform to publish open data</t>
  </si>
  <si>
    <t>Illustreets is a property search engine that helps users choose places to live by providing a visual map of area characteristics</t>
  </si>
  <si>
    <t>Uses open government data</t>
  </si>
  <si>
    <t>IMAGES&amp;Co</t>
  </si>
  <si>
    <t>http://images.co.uk</t>
  </si>
  <si>
    <t>IMAGES&amp;Co is an enterprise communications technology consultancy specialising in communications design and technologies for companies across sectors</t>
  </si>
  <si>
    <t>ODI Supporter: the IMAGES&amp;Co innovation unit runs significant international projects in mobile interaction, smart cities and technology-enhanced learning</t>
  </si>
  <si>
    <t>India Water Portal</t>
  </si>
  <si>
    <t>http://www.indiawaterportal.org/data</t>
  </si>
  <si>
    <t>The India Water Portal (IWP), set up by Arghyam Trust, has been active in water and sanitation sectors since 2005. They have a data initiative that aims to understand what open water data exists, and strives to create a diverse and vibrant community that will use this data to enhance projects, advocacy, and impact in the water sector in India. You can browse through or search for data, download it, use data applications, connect with others, and read stories about water data</t>
  </si>
  <si>
    <t>Nisha Thompson</t>
  </si>
  <si>
    <t>nisha@datameet.org</t>
  </si>
  <si>
    <t>IndiaSpend</t>
  </si>
  <si>
    <t>IndiaSpend is the country’s first data journalism initiative of the Spending &amp; Policy Research Foundation. It utilizes open data to analyze a range of issues with the broader objective of fostering better governance, transparency and accountability in the Indian government. They mostly work with Government data and are clear that they will not offer any opinions on any subject, rather use data to speak for itself.</t>
  </si>
  <si>
    <t>Jyothi Shankaran</t>
  </si>
  <si>
    <t>jyothi@indiaspend.org</t>
  </si>
  <si>
    <t>Infonomics</t>
  </si>
  <si>
    <t>http://infonomics.ltd.uk/</t>
  </si>
  <si>
    <t>Infonomics is a economic and information consultancy and software developer.</t>
  </si>
  <si>
    <t>advocate/thought leader/research</t>
  </si>
  <si>
    <t>Inmarsat</t>
  </si>
  <si>
    <t>http://www.inmarsat.com/</t>
  </si>
  <si>
    <t>Inmarsat is a satellite telecommunications company providing global mobile telephone and data services</t>
  </si>
  <si>
    <t>Innovaccer</t>
  </si>
  <si>
    <t>http://www.innovaccer.com/</t>
  </si>
  <si>
    <t>Internal research</t>
  </si>
  <si>
    <t>Innovacer</t>
  </si>
  <si>
    <t>Innovacer combines the power of technology and statistics to help researchers generate data driven insights, contribute to new and efficient algorithms, increase productivity, and drive growth. Innovacer builds data centric enterprise products and provides solutions to researchers from large mines of data. 
They help researchers from social sciences and business schools to transform raw data into value by making use of open data and crowdsourced data. They provide a multitude of services in various domains for social science and business school professors and act as a one-stop interface to fulfill research requirements. Innovacer also helps policy makers research better leveraging data mining &amp; analytics for better public policy analysis &amp; governance</t>
  </si>
  <si>
    <t>Abhinav Shashank ,</t>
  </si>
  <si>
    <t>abhinav@innovaccer.com</t>
  </si>
  <si>
    <t>Instahealth</t>
  </si>
  <si>
    <t>http://www.instahealthsolutions.com/index.html</t>
  </si>
  <si>
    <t>Insta Health Solutions is fast emerging as one of the most trusted and recognizable hospital management systems and EMR solutions provider in healthcare. The company offers its products in a software as a service (SaaS) model. Insta Hospital Management Solution (HMS) is one of the proven solutions for multi center hospitals and clinics, supporting both cloud based or corporate data center based solution. Images of various equipments like cameras, digital x-ray machines, ultra sonography, endoscopy and various scopy instruments are automatically uploaded into Insta HMS, which facilitates doctors to see the images wherever they are and enhances EMR records of patients. 
They use open and crowdsourced data, allowing the hospitals with multiple locations to use a centralized Hospital Management Solution, thereby improving the efficiency of doctors and hospitals. It facilitates medical reports of patients on fingertips, SMS alerts on appointment booking status to the patients and doctors, and analysis of trends of vital parameters easily.</t>
  </si>
  <si>
    <t>Ramesh Emani</t>
  </si>
  <si>
    <t>ramesh.emani@instahealthsolutions.com, 
 sandeep.b@instahealthsolutions.com</t>
  </si>
  <si>
    <t>Integrated Transport Planning</t>
  </si>
  <si>
    <t>http://www.itpworld.net/</t>
  </si>
  <si>
    <t>Integrated Transport Planning Ltd (ITP) is a transportation consultancy specialising in integrated, sustainable transport planning and research.</t>
  </si>
  <si>
    <t>Uses open transport data for a use open transport data for a range of sustainably-focused transport projects and applications around the globe</t>
  </si>
  <si>
    <t>Interition</t>
  </si>
  <si>
    <t>http://www.interition.net/i.html</t>
  </si>
  <si>
    <t>Interition is a Java open source software services company providing service, solution and tool enterprise applications of Semantic Technology.</t>
  </si>
  <si>
    <t>Uses public sector information open data in products</t>
  </si>
  <si>
    <t>Interkonect Services</t>
  </si>
  <si>
    <t>http://interkonect.com/</t>
  </si>
  <si>
    <t>Interkonect is a software development company that provides business websites and software.</t>
  </si>
  <si>
    <t>NottsInfoScript: uses open data</t>
  </si>
  <si>
    <t>InterpretOmics India</t>
  </si>
  <si>
    <t>http://www.interpretomics.co/background</t>
  </si>
  <si>
    <t>InterpretOmics is the Computational Architect of Big Data Biology. It has developed powerful cloud based software system for Next Generation Genomics data analysis and interpretation. Its product iOMICSTM is a genomics analytical platform for aggregating and structuring genomics data and biomedical data. It is available in two version iOMICSTM Cluster and iOMICSTM Cloud. 
Using open data and propriety data, it simplifies managing, processing and analysing genomics data - combining them from different sources such as DNA sequencers and other critical clinical databases. The organization's services aid research in medicine, renewable energy and agriculture.</t>
  </si>
  <si>
    <t>Prahalad H. Achutharao</t>
  </si>
  <si>
    <t>prahalad@interpretomics.co</t>
  </si>
  <si>
    <t>INTRASOFT International</t>
  </si>
  <si>
    <t>http://www.intrasoft-intl.com/</t>
  </si>
  <si>
    <t>INTRASOFT International is a multinational IT solutions and services group providing IT solutions to governments, public organizations and private enterprises around the globe</t>
  </si>
  <si>
    <t>Member of the consortium delivering Citadel on the Move (an EU project aimed at facilitating the creation of mobile applications using european open data)</t>
  </si>
  <si>
    <t>IntraSpatial Softech Pvt Ltd</t>
  </si>
  <si>
    <t>http://www.intraspatial.com/</t>
  </si>
  <si>
    <t>Intraspatial Softech provides Geographic Information systems and related services like data conversion, golf course mapping, parcel tax mapping, raster to vector conversion activities, Photogrammetry services. They use satellite data and open data to provide mapping services that aid decision making in various sectors such as urban planning, environmental management etc.</t>
  </si>
  <si>
    <t>Naveen Pasuparthy, Narendra Pasuparthy</t>
  </si>
  <si>
    <t>sm@intraspatial.com, nkp@intraspatial.com</t>
  </si>
  <si>
    <t>Invisible Artists</t>
  </si>
  <si>
    <t>http://invisibleartists.co.uk/</t>
  </si>
  <si>
    <t>Invisible Artists is a creative agency that specialises in providing and editing video content</t>
  </si>
  <si>
    <t>ITO World</t>
  </si>
  <si>
    <t>http://www.itoworld.com</t>
  </si>
  <si>
    <t>ITO World is an open data company specialising in collecting, aggregating, managing and analysing complex public transport and spatial data, including real time data feeds.</t>
  </si>
  <si>
    <t>Consume/aggregate open data and consult on publishing open data</t>
  </si>
  <si>
    <t>Ixora Biosciences</t>
  </si>
  <si>
    <t>http://ixorabiosciences.com/index.html</t>
  </si>
  <si>
    <t>Ixora Biosciences develops user-friendly and intuitive databases of biological activities and toxicity profiles of drugs and drug like molecules for drug discovery. Their solutions include Product design and development, Literature Curation and specialized database development, Development of workflow systems for biotechnology and healthcare, Development of cell based assays, protein expression in bacterial, yeast, baculoviral and mammalian systems, biomarker discovery and development of molecular diagnostics tests.
They use genomic data to develop databases and bioinformatics tools using the expertise in cell Biology, Molecular Biology, Bioinformatics and Computer Science. They improve healthcare through application of information generated from modern biology research to clinical sciences.</t>
  </si>
  <si>
    <t>K Vijayachandra</t>
  </si>
  <si>
    <t>info@ixorabiosciencs.com</t>
  </si>
  <si>
    <t>Janaagraha</t>
  </si>
  <si>
    <t>http://www.janaagraha.org/content/program/ijanaagraha</t>
  </si>
  <si>
    <t>Janaagraha has an initiative called ijanaagraha. Launched on Oct 2, 2010, iJanaagraha.org is the primary source of independent news and information on urban issues that affect quality of life. Since its launch, iJanaagraha.org has remained committed to articulating views and counter-views on issues that affect urban quality of life, specifically in Bangalore.
By making use of open and crowdsourced data, iJanaagraha’s network of experts, community members and independent bloggers have made the platform come alive. The platform encourages citizen engagement in urban planning and governance by encouraging online discussions and therefore generates big data.</t>
  </si>
  <si>
    <t>Ramesh Ramanathan</t>
  </si>
  <si>
    <t>info@janaagraha.org, ramesh@janaagraha.org</t>
  </si>
  <si>
    <t>Javelin</t>
  </si>
  <si>
    <t>http://www.javlininc.com/en/</t>
  </si>
  <si>
    <t>Javelin is a data integration software and solutions provider for mass data processing that offers data integration consulting services and custom software development</t>
  </si>
  <si>
    <t>ODI Supporter: CloverETL is a rapid data integration platform that manipulates large volumes of complex data using data projects, formats, and protocols using open source ETL strategies</t>
  </si>
  <si>
    <t>Jetex Infotech</t>
  </si>
  <si>
    <t>http://jetexit.com/GIS.html</t>
  </si>
  <si>
    <t>One of the known names in the field of information technology and media services, JETEX INFOTECH PVT. Ltd offers total solutions in various sectors. The main expertise of the company lies in knowledge and learning solutions, development of talent, enterprise and institutional application services and so on.
Among other services, Jetex Infotech also provides Geographical Information System services. The range of services include: GIS mapping and conversion, digital image processing, landbase data mapping, rectification of orthophotographs, conversion of paper maps to GIS, etc. The organization uses open geographical data and satellite data to provide these services that aid the following sectors in validating and visualizing their plans that affect geographic regions: gas, water and wetlands, power distribution, rail &amp; road maps, land base creation</t>
  </si>
  <si>
    <t>Mr.Mishra</t>
  </si>
  <si>
    <t>jetexit@gmail.com , Director@jetexit.com</t>
  </si>
  <si>
    <t>Join In</t>
  </si>
  <si>
    <t>http://www.joininuk.org/</t>
  </si>
  <si>
    <t>Join In is a volunteer facilitation charity which uses digital infrastructure to connect volunteers with sports clubs and projects.</t>
  </si>
  <si>
    <t>JP Morgan Chase</t>
  </si>
  <si>
    <t>https://www.jpmorgan.com/pages/jpmorgan/emea/uk/home</t>
  </si>
  <si>
    <t>J.P. Morgan is a financial service company which provides asset management, private banking, corporate banking, investment banking, investor services, markets, research, and treasury services</t>
  </si>
  <si>
    <t>Use govt and consumer data to gain insight into consumer trends</t>
  </si>
  <si>
    <t>Junar</t>
  </si>
  <si>
    <t>http://www.junar.com/</t>
  </si>
  <si>
    <t>Junar's cloud-based Open Data Platform is the fastest, easiest, and most affordable way to transform government data into resources that your citizens can use</t>
  </si>
  <si>
    <t>Kainos Software</t>
  </si>
  <si>
    <t>http://www.kainos.com/</t>
  </si>
  <si>
    <t>Kainos is digital technology company that provides technical solutions, specialising in government, finance and healthcare sectors</t>
  </si>
  <si>
    <t>Worked with agencies such as the DVLA to allow users to access open datasets</t>
  </si>
  <si>
    <t>KCube Consultancy</t>
  </si>
  <si>
    <t>http://www.kcubeconsulting.com/</t>
  </si>
  <si>
    <t>KCube is a global IT/GIS services and consulting company that delivers wide range of business solutions spanning across various industries. As an end-to-end solutions provider kCube offers high end business solutions aimed at helping customers to improve their business efficiency through open source implementations which support scaling up without proportional capital expenses.
The organization provides geospatial services using open geographical data and satellite data that aid people in the environmental, forestry, agriculture, transportation and logistics, utility, healthcare sectors to properly understand and visualize the market where they are working and make better decisions.</t>
  </si>
  <si>
    <t>Sitansu Patnaik</t>
  </si>
  <si>
    <t>sitansu@kcubeconsulting.com</t>
  </si>
  <si>
    <t>Ketch.io</t>
  </si>
  <si>
    <t>https://ketch.io/</t>
  </si>
  <si>
    <t>Ketch.io is a data consultancy startup?</t>
  </si>
  <si>
    <t>Assume collects open data/allows it to be published</t>
  </si>
  <si>
    <t>Kiln</t>
  </si>
  <si>
    <t>http://kiln.it/</t>
  </si>
  <si>
    <t>Kiln is an interactive data visualisation and digital journalism journalism company that uses web development, data analysis, mathematics, cartography and graphic design</t>
  </si>
  <si>
    <t>ODI Supporter: uses open data in some visualisation projects</t>
  </si>
  <si>
    <t>Kissan Kerala Mobile Based Agriculture Information Services</t>
  </si>
  <si>
    <t>http://www.kissankerala.net/mobile/index.jsp</t>
  </si>
  <si>
    <t>Karshaka Information Systems Services And Networking (KISSAN) is an integrated, multi-modal delivery of agricultural information system, which provides several dynamic and useful information and advisory services for the farming community.It provides farming related information through sms and voice based service.It makes use of open and satellite data which is compiled and provided to farmers to take better farming decisions and improve farming productivity and therefore farmers' quality of life.</t>
  </si>
  <si>
    <t>Kerala</t>
  </si>
  <si>
    <t>R. Ajith Kumar</t>
  </si>
  <si>
    <t>info@kissankerala.net, ajithr@iiitmk.ac.in</t>
  </si>
  <si>
    <t>Knewton</t>
  </si>
  <si>
    <t>http://www.knewton.com/</t>
  </si>
  <si>
    <t>Knewton is an adaptive learning company that develops platforms to personalize educational content</t>
  </si>
  <si>
    <t>Know Data</t>
  </si>
  <si>
    <t>http://www.know-data.com/</t>
  </si>
  <si>
    <t>KnowData is a data and B2B marketing consultancy providing targeted electronic marketing campaigns primarily aimed at the public sector.</t>
  </si>
  <si>
    <t>Uses open data to locate public sector contacts</t>
  </si>
  <si>
    <t>Knowledge Integration</t>
  </si>
  <si>
    <t>http://www.k-int.com/home</t>
  </si>
  <si>
    <t>Knowledge Integration is a open-source orientated software development company specialising in cultural heritage (digital libraries, museums &amp; archives), elearning and egovernment solutions</t>
  </si>
  <si>
    <t>Produced Culture Grid with Collections Trust, which aggregates open data on culture and provides this to users</t>
  </si>
  <si>
    <t>Kognitio</t>
  </si>
  <si>
    <t>http://kognitio.com/</t>
  </si>
  <si>
    <t>Kognitio is a data analytics facilitator providing a cloud-based data analytics platform which allows data scientists to experiment, develop and build applications as well as provide analytical information services.</t>
  </si>
  <si>
    <t>Facilitates open data analytics</t>
  </si>
  <si>
    <t>http://www.kpmg.com/UK/en/Pages/default.aspx</t>
  </si>
  <si>
    <t>KPMG is a large global professional services company providing audit, tax and advisory services</t>
  </si>
  <si>
    <t>Advocate and research, High Growth Technology group provides incubator, advisor and thought leader; participated in import.io hackathon with ODI</t>
  </si>
  <si>
    <t>Kudos Innovations</t>
  </si>
  <si>
    <t>https://www.growkudos.com/</t>
  </si>
  <si>
    <t>Kudos is a web-based service that helps researchers and their institutions and funders to maximize the visibility and impact of their published articles</t>
  </si>
  <si>
    <t>Uses data from ORCID; metadata contributed by users is CC-BY</t>
  </si>
  <si>
    <t>Landmark Analytics</t>
  </si>
  <si>
    <t>http://www.landmarkanalytics.co.uk/</t>
  </si>
  <si>
    <t>Landmark Analytics is a residential property market information company providing data, analysis and automated valuation services to all sectors of the UK economy</t>
  </si>
  <si>
    <t>Use various open property data sources (specifically Land Registry data), publish mouseprice online tool</t>
  </si>
  <si>
    <t>Landshare</t>
  </si>
  <si>
    <t>http://www.landshare.net/</t>
  </si>
  <si>
    <t>Landshare is a sharing economy company that provides as an open platform which allows people to coordinate over sharing land.</t>
  </si>
  <si>
    <t>LaxmiMayee technologies</t>
  </si>
  <si>
    <t>http://laxmimayee.com/gis/</t>
  </si>
  <si>
    <t>Laxmimayee Technologies is a Technology firm, with expertise in the engineering, power and infrastructure sectors. It provides solutions and best practices for implementation of technology.
They provide complete solutions for Geo Spatial, Remote Sensing, Photogrammetry, Lidar, Data analysis and CAD/CAM Services for Indian and Overseas Clients. The organization uses open geographical data and satellite data and through its activities impacts decision making in environmental agencies, oil and gas, transportation agencies, state and local government, utilities sector, etc. by providing them a a macro visualization of their area of functioning and the related information about it.</t>
  </si>
  <si>
    <t>Ms. Rajyalakshmi, Mr. Gopi Krishna Lagisetti</t>
  </si>
  <si>
    <t>info@laxmimayee.com</t>
  </si>
  <si>
    <t>Layers Informatics</t>
  </si>
  <si>
    <t>http://www.layerinformatics.com/</t>
  </si>
  <si>
    <t>Layer Informatics Private Limited , based in India is a leading organization in offering economical and quality geospatial solutions across a range of domains and platforms to public and other private mapping organizations. The range of services offered includes:
Geographic Information Systems (GIS)
Photogrammetry
LiDAR
Remote Sensing
Application Development
CAD
Their services provide meaningful visualizations and broader perspectives using open geographical data and satellite data to the following sectors: mining, land information systems, utilities, geology, oil and gas, telecom, transportation.</t>
  </si>
  <si>
    <t>Mr. Kantharaj K.G</t>
  </si>
  <si>
    <t>sales@layerinformatics.com, hr@layerinformatics.com</t>
  </si>
  <si>
    <t>Lead Forensics</t>
  </si>
  <si>
    <t>http://www.leadforensics.com/</t>
  </si>
  <si>
    <t>Lead Forensics is a business to business marketing agency which provides a lead generation tool designed to reveal the identity, details and contact information of businesses' unknown website visitors.</t>
  </si>
  <si>
    <t>Leading Edge Only</t>
  </si>
  <si>
    <t>http://www.leadingedgeonly.com/providers/</t>
  </si>
  <si>
    <t>Leading Edge Only is an innovation web platform that promotes, markets and connects innovation providers to corporations seeking new solutions</t>
  </si>
  <si>
    <t>Lend-A-Hand India</t>
  </si>
  <si>
    <t>http://www.lend-a-hand-india.org/project-disha.php</t>
  </si>
  <si>
    <t>One of Lend-A-Hand’s initiatives, Project Disha, provides career counselling to young boys and girls from rural communities since career guidance and counseling facilities are usually available only in urban centers and rural students are deprived of them; and plans to start a quarterly publication to reach out to a larger number of students. This publication will compile open career related data and provide it to youth in rural areas who usually do not receive career guidance.</t>
  </si>
  <si>
    <t>Goa</t>
  </si>
  <si>
    <t>Sunanda Mane</t>
  </si>
  <si>
    <t>sunanda.mane@lend-a-hand-india.org</t>
  </si>
  <si>
    <t>LETS India</t>
  </si>
  <si>
    <t>http://www.letsindia.in/</t>
  </si>
  <si>
    <t>LETS India is a multidisciplinary Design Engineering and Geomatics service provider. Engineering services includes complete design, drafting &amp; detailing in the fields of Green Energy, Land Development, Structural, Architectural, Transportation, Oil &amp; Gas and MEP Engineering. Geomatics Service includes Urban Mapping Solution, Utility Information Systems (UIS), Land Information System (LIS), Land Cadastral Mapping, Topographic Mapping &amp; Surface Modeling, Forestry Mapping, Geological Mapping and Flood Mapping. They make use of open geographical and satellite data in providing their services that aid decision making and validation of plans in core sectors that affect huge populations and geographic regions.
They have Impact functioning in the following sectors: Utilities, environment, flood management, landuse, forestry mapping, geological mapping, oil and gas, transportation.</t>
  </si>
  <si>
    <t>Jagadish Kumar Rath, Lakshminarayanan, Raja Mohanty</t>
  </si>
  <si>
    <t>jagadish@luminousets.com    laxmi@letsindia.com   sumanta.prasad@letsindia.in     raja.mohanty@letsindia.in    gopal.krishan@letsindia.in  sangram.kabi@letsindia.in</t>
  </si>
  <si>
    <t>Levenes Solicitors</t>
  </si>
  <si>
    <t>http://www.levenes.co.uk/</t>
  </si>
  <si>
    <t>Levenes is a legal firm offering specialist services to individuals and organisations in Personal Injury, Accidents at Work, Education &amp; Disability, Criminal Law and Immigration Law.</t>
  </si>
  <si>
    <t>Specifically for cycle accidents claims - have a map of accidents which use open data sources</t>
  </si>
  <si>
    <t>REI Systems</t>
  </si>
  <si>
    <t>Liberata</t>
  </si>
  <si>
    <t>http://www.liberata.com/</t>
  </si>
  <si>
    <t>Liberata is a business process innovation company which provides digital solutions that help customers reinvent complex services, transactions and processing</t>
  </si>
  <si>
    <t>Provides Listpoint, an open reference data management platform</t>
  </si>
  <si>
    <t>Lifecode Technologies</t>
  </si>
  <si>
    <t>http://lifecode.in/services/</t>
  </si>
  <si>
    <t>Lifecode Technologies aim to deliver reliable, scientifically backed , state-of-the-art and cost-effective diagnostic solutions to physicians and care-givers, and fill in the unmet gap in translation of genomic technologies from bench to bedside.It offers reliable genomic solutions to improve lives. The organization uses open genomics data to provide solutions to the health and research sector.
Their services include: research, consultancy and project management, diagnostic development services, advanced analytics services, data analysis packages for biological research.</t>
  </si>
  <si>
    <t>Dr Jameel Ahmad Khan</t>
  </si>
  <si>
    <t>info@lifecode.in</t>
  </si>
  <si>
    <t>Lighthouse Arts &amp; Training</t>
  </si>
  <si>
    <t>http://lighthouse.org.uk/</t>
  </si>
  <si>
    <t>Lighthouse is a digital culture agency that supports, commissions and exhibits work by artists and filmmakers</t>
  </si>
  <si>
    <t>ODI Node: runs the Data as Culture exhibition</t>
  </si>
  <si>
    <t>Locatable</t>
  </si>
  <si>
    <t>https://www.locatable.com/</t>
  </si>
  <si>
    <t>Locatable is a sustainable technology company providing users with an online dashboard to help manage their homes and optimise their performance.</t>
  </si>
  <si>
    <t>ODI Startup: uses a variety of open data sets to enrich the experience of users as well as the depth of information available</t>
  </si>
  <si>
    <t>Lockheed Martin</t>
  </si>
  <si>
    <t>http://www.lockheedmartin.co.uk/</t>
  </si>
  <si>
    <t>Lockheed Martin is a business technology solutions company that specialises in ICT, systems integration and technology innovation in the aerospace, defence and civil sectors</t>
  </si>
  <si>
    <t>Locrating</t>
  </si>
  <si>
    <t>http://www.locrating.com/</t>
  </si>
  <si>
    <t>Locrating is the web development company behind map based tools allowing users to choose areas in which to live based on local schools and also commuting times</t>
  </si>
  <si>
    <t>Uses open education and transport data</t>
  </si>
  <si>
    <t>Lokku</t>
  </si>
  <si>
    <t>http://www.lokku.com/</t>
  </si>
  <si>
    <t>Lokku is a software development company specialising in geospatial products and helps organisations access crowdsourced geodata</t>
  </si>
  <si>
    <t>ODI Supporter: provides data feeds of OpenStreetMap</t>
  </si>
  <si>
    <t>Look 4 Nurseries</t>
  </si>
  <si>
    <t>http://www.look4nurseries.co.uk/</t>
  </si>
  <si>
    <t>Look4Nurseries is a consumer advice company which provides a web-based tool to help parents choose nurseries for their children by providing information on nurseries based on location</t>
  </si>
  <si>
    <t>Data-Driven Detroit</t>
  </si>
  <si>
    <t>MadLab</t>
  </si>
  <si>
    <t>http://madlab.org.uk/</t>
  </si>
  <si>
    <t>Manchester Digital Laboratory is an innovation space provider allowing individuals to use the space to work collaboratively and on their own projects.</t>
  </si>
  <si>
    <t>Hosts open data events</t>
  </si>
  <si>
    <t>Magnasoft Northstar</t>
  </si>
  <si>
    <t>Startup Magnasoft Northstar has created an integrated child and school bus tracking and monitoring solution using the cloud.They have created a cloud-based solution based on AWS. NorthStar has created an integrated child and school bus tracking and monitoring solution that ensures a child's safety and security when he or she travels to and from school.
They make use of satellite data and open data. The solution communicates with AWS servers every 10 seconds and automatically sends alerts and notifications to authorized users (usually parents) via SMS, email, web and mobile channels.It is a "peace-of-mind solution" that takes into account concerns of parents, school authorities, school bus fleet owners and school bus drivers.</t>
  </si>
  <si>
    <t>Bobbie</t>
  </si>
  <si>
    <t>bobbie.h@magnasoft.com</t>
  </si>
  <si>
    <t>Manchester City Football Club</t>
  </si>
  <si>
    <t>http://www.mcfc.co.uk/</t>
  </si>
  <si>
    <t>Manchester City Football Club is a leading Premiership football club based in Manchester</t>
  </si>
  <si>
    <t>Collaborated with Opta in 2012/13 to provide detailed sports open data</t>
  </si>
  <si>
    <t>Manchester Evening News</t>
  </si>
  <si>
    <t>http://www.manchestereveningnews.co.uk/</t>
  </si>
  <si>
    <t>The Manchester Evening News (MEN) is a regional daily newspaper covering the general Manchester area</t>
  </si>
  <si>
    <t>Used, enhanced and published open data on poll station locations from Trafford Council to publicise the local elections</t>
  </si>
  <si>
    <t>MapMyGenome</t>
  </si>
  <si>
    <t>http://www.mapmygenome.in/</t>
  </si>
  <si>
    <t>MapMyGenome is an India-based genomics company offering a wide array of services in the personalized genomics space, cutting-edge products for tuberculosis diagnostics, and brain wellness solutions. It helps to know about risks emerging from genetic predisposition towards various kinds of diseases. 
Its two main focus areas are Prognostics and Diagnostics. The first test in the prognostics series is the Genomepatri(TM) test. Using open genomic data Genomepatri(TM) offers a composite picture of genetic makeup and helps understand what the genetic variations mean and how it effects ones health, drug response and predict onset of illness early.</t>
  </si>
  <si>
    <t>Anu Acharya</t>
  </si>
  <si>
    <t>anu@mapmygenome.in , info@mapmygenome.in</t>
  </si>
  <si>
    <t>MapmyIndia.com-Mappls SafeWorld Application</t>
  </si>
  <si>
    <t>http://www.mappls.com/</t>
  </si>
  <si>
    <t>MapmyIndia.com has an application called Mappls SafeWorld that allows for one-tap location sharing privately with your trusted contacts. They use open geographical data, satellite data and government data to track a person's location and share it with the people of his/her choice.This application can be replicated anywhere in the world. While such security applications are available in the developed countries, they will be very useful in the developing world. In the Indian context, this has great implications for ensuring the safety of women.</t>
  </si>
  <si>
    <t>Shivalik Prasad</t>
  </si>
  <si>
    <t>shivalik@mapmyindia.com</t>
  </si>
  <si>
    <t>Mapumental</t>
  </si>
  <si>
    <t>http://mapumental.com</t>
  </si>
  <si>
    <t>Mapumental is a MySociety company which produces web-based maps which represents travel by public transport by time taken rather than distance.</t>
  </si>
  <si>
    <t>Use open transport and mapping data</t>
  </si>
  <si>
    <t>Mapunity</t>
  </si>
  <si>
    <t>http://mapunity.in/</t>
  </si>
  <si>
    <t>Mapunity develops technology to tackle social problems and development challenges. Its CropMarket platform includes visualisation of the data from mandis across the country. Both spatial and temporal visualisations are available. 
It makes use of open and GIS data to provide geospatial solutions. Its GIS, MIS and mobile technologies are used mostly by government departments and civil society organisations, and in the R&amp;D initiatives of commercial ventures.</t>
  </si>
  <si>
    <t>Ashwin Mahesh</t>
  </si>
  <si>
    <t>ash.mahesh@mapunity.in</t>
  </si>
  <si>
    <t>http://www.marklogic.com/</t>
  </si>
  <si>
    <t>MarkLogic is a software developer which provides a NoSQL database platform for a variety of customers</t>
  </si>
  <si>
    <t>Mastodon C</t>
  </si>
  <si>
    <t>Mastodon C is a big data consultancy providing an open source technology platform and analytical skills for big and diverse data sources</t>
  </si>
  <si>
    <t>repeated entry</t>
  </si>
  <si>
    <t>Matrixgeo</t>
  </si>
  <si>
    <t>http://www.matrix-geo.com/</t>
  </si>
  <si>
    <t>Matrix-Geo Solutions is a privately held global Geospatial and IT Service Company that is based in New Delhi, India. The organization uses open geographical data and satellite data to provide the following services: Photgrammetry, GIS &amp; remote sensing, LiDAR, 3D City modelling, engineering services, software solutions. These services help the power, mining, infrastructure, agriculture, forestry, oil and gas, land management, water resource mapping, flood mapping and analysis, natural resources, and environment sectors to validate their decision making through visualizations of their field of work.
Matrix-Geo has provided Photogrammetric and Geospatial solutions including the data creation and product development solutions for medium to large scale enterprise and government agencies across the world.</t>
  </si>
  <si>
    <t>Raj</t>
  </si>
  <si>
    <t>raj@matrix-geo.com</t>
  </si>
  <si>
    <t>http://www.mckinsey.com/global_locations/europe_and_middleeast/united_kingdom</t>
  </si>
  <si>
    <t>McKinsey &amp; Company is a global management consulting firm providing consulting services to the public, private and social sectors</t>
  </si>
  <si>
    <t>Provides reports/whitepapers on open data</t>
  </si>
  <si>
    <t>MediaNama</t>
  </si>
  <si>
    <t>MediaNama is the premier source of information and analysis on Digital and Telecom businesses in India. They have done a considerable amount of work using the Right To Information act, collecting and publishing data collected by and to the Indian government, including tender related submissions, comments on policy, data on internet connections, mobile and digital payments, expenditure by the government, IPTV, and lots more. They launched and briefly ran India’s first data journalism initiative called MediaNama Charts, which had interactive visualizations. MediaNama continues to collect and publish visualizations on MediaNama.com</t>
  </si>
  <si>
    <t>Nikhil Pahwa</t>
  </si>
  <si>
    <t>nikhil@medianama.com</t>
  </si>
  <si>
    <t>Meducation</t>
  </si>
  <si>
    <t>http://company.meducation.net/</t>
  </si>
  <si>
    <t>Meducation is a digital medical education company which provides a number of solutions aimed to connect doctors, nurses, physios from all over the world, and encouraging them to share their knowledge and research with each other.</t>
  </si>
  <si>
    <t>The medical search is an online search engine for medical professionals with research provided under an open licence</t>
  </si>
  <si>
    <t>Mendeley</t>
  </si>
  <si>
    <t>http://www.mendeley.com/</t>
  </si>
  <si>
    <t>Mendeley is a software company which provides reference and PDF management programs for managing and sharing academic research papers, discovering research data and collaborating online.</t>
  </si>
  <si>
    <t>Facilitates open publishing of academic research, provides an API,</t>
  </si>
  <si>
    <t>Metaome</t>
  </si>
  <si>
    <t>http://www.metaome.com/about.html</t>
  </si>
  <si>
    <t>Metaome is a life science focused informatics company based in Bangalore, India. It delivers knowledge-mining solutions that are able to unlock competitive advantage, through its data integration and semantic search platform. 
Metaome's flagship product DistilBio, combines proprietary graph search and data integration technologies to accelerate drug discovery by connecting across diverse data in the life sciences. DistilBio also has applications in a wide range of related verticals including personalized medicine, data driven clinician decision support and basic life sciences research. They also have a DistilBio online which is a free web-based graph search and discovery application for the Life Sciences and Drug Discovery.  
They use open data to accelerate drug discovery and improve healthcare delivery. They aid scientists in their research and support life sciences and drug discovery by bringing together data sources and help in answering complex queries through displaying hidden relationships among various data types. It integrates more than thirty commonly referenced public domain Life Sciences databases covering more than thirty million biological entities such as genes, proteins, drugs, compounds, pathways and diseases.</t>
  </si>
  <si>
    <t>Bangalore</t>
  </si>
  <si>
    <t>Kalpana Krishnaswami, Ramkumar Nandakumar</t>
  </si>
  <si>
    <t>kalpana@metaome.com, kalpuk@gmail.com, ram@metaome.com</t>
  </si>
  <si>
    <t>Microgenius</t>
  </si>
  <si>
    <t>http://www.microgenius.org.uk/</t>
  </si>
  <si>
    <t>Microgenius is a website where users can buy shares in community-based projects</t>
  </si>
  <si>
    <t>MIME Consulting</t>
  </si>
  <si>
    <t>http://www.mimeconsulting.co.uk/</t>
  </si>
  <si>
    <t>MIME Consulting is a management information consultancy focusing on the use of data to aid decision making.</t>
  </si>
  <si>
    <t>Education;GBR;National</t>
  </si>
  <si>
    <t>Creator of Skills Route</t>
  </si>
  <si>
    <t>http://www.nesta.org.uk/blog/skills-route-shows-way-next-generation-education-open-data-apps</t>
  </si>
  <si>
    <t>Minglebox</t>
  </si>
  <si>
    <t>http://www.minglebox.com/</t>
  </si>
  <si>
    <t>Started as India's first campus network, Minglebox.com has evolved into India's leading education portal with a user base of 4mn+ students and young professionals across 250 cities in India. 
Minglebox offers best-in-class content on colleges, courses, test preparation, exams, admissions, and higher education news. Minglebox has also launched an easy to use WAP site and android applications for MBA , Engineering and GRE Prep. Minglebox's strength lies in being India-centric and providing a very 'Indian experience,' with increased local content and usage of regional languages.
It uses open and big data to provide a huge database providing assistance to education aspirant community who use the portal for information, preparatory material and guidance for studying in India and abroad.</t>
  </si>
  <si>
    <t>Kavita Iyer</t>
  </si>
  <si>
    <t>kavita.iyer@minglebox.com, kavetha.nagarajan@minglebox.com</t>
  </si>
  <si>
    <t>Mixmarket</t>
  </si>
  <si>
    <t>http://www.mixmarket.org/mfi/country/India</t>
  </si>
  <si>
    <t>The MIX Market publishes data on more than 1,500 microfinance institutions (MFIs) in more than 190 countries and affecting 80,021,351 people. Additionally, each MFI has as many as 150 financial indicators and in some cases going back as far as 1995. The organization collates open financial data that then helps MFIs, researchers, raters, evaluators, and governmental and regulatory agencies better see the marketplace, and that makes for better international development.</t>
  </si>
  <si>
    <t>Amit Mittal</t>
  </si>
  <si>
    <t>amittal@themix.org</t>
  </si>
  <si>
    <t>Mobile Pie</t>
  </si>
  <si>
    <t>http://www.mobilepie.com/</t>
  </si>
  <si>
    <t>Mobile Pie is a mobile games development studio which develops games for a wide range of clients across a range of platforms</t>
  </si>
  <si>
    <t>The Blossom Bristol game uses open data from bristol city council and real time open weather data</t>
  </si>
  <si>
    <t>Mobilizing Health</t>
  </si>
  <si>
    <t>http://mobilizinghealth.org/MobilizingHealthSummary.pdf</t>
  </si>
  <si>
    <t>Mobilizing health is a global health and technology non-profit based in San Francisco, California. They have built a web application and a community model to connect the underserved in India to health information advised directly by doctors. They work with partnering healthcare organizations to increase their reach to more areas with little added infrastructure and cost.
Their platform MEDgle helps them track patient data and patient outcomes. It offers the only 2-way SMS platform where all messages, statistics, data can be monitored online - real-time activity no matter where you are in the world. The application has all the logic to page available doctors, turn medical abbreviations into layman’s terms, and even add location-speciﬁc information. Thus, open medical data and map data is provided on the platform and big data generated by patient details in underserved platforms is used to connect them to relevant doctors for advice.</t>
  </si>
  <si>
    <t>Pooja Upadhyaya</t>
  </si>
  <si>
    <t>pooja@mobilizinghealth.org, poojau23@gmail.com</t>
  </si>
  <si>
    <t>Mocioun Techlabs Private Ltd.-Market Watch Application</t>
  </si>
  <si>
    <t>http://mocioun.com/marketwatch/    ,  http://mocioun.com/</t>
  </si>
  <si>
    <t>Mocioun TechLabs is a mobility solutions start-up based in Kochi, working with a vision to create innovative mobility products making positive impacts in the lives of people. They have been the finalists of the open data apps challenge by Nasscom and NIC. 
They use open data to create various innovative social platforms on smartphones that have a positive impact on the lives of people. 
Market Watch Apps provide live price updates of commodities from various markets (mandis) across India. Price is taken from the datasets provided by Data Portal India.This dataset consists of prices of various commodities. It has the wholesale maximum price, minimum price and modal price on daily basis. This dataset is generated through the AGMARKNET Portal, under Directorate of Marketing &amp; Inspection (DMI), Ministry of Agriculture, Government of India.</t>
  </si>
  <si>
    <t>Kochi</t>
  </si>
  <si>
    <t>Aby Mathew
Ameen Rashad
Salmon KP
Nithin Paul Cherian</t>
  </si>
  <si>
    <t>info@mocioun.com</t>
  </si>
  <si>
    <t>Model Futures</t>
  </si>
  <si>
    <t>http://www.modelfutures.com/</t>
  </si>
  <si>
    <t>Model Futures is an enterprise architecture company providing consultancy and training services to a wide variety of large public and private sector organisations</t>
  </si>
  <si>
    <t>MoneySavingExpert.com</t>
  </si>
  <si>
    <t>http://www.moneysavingexpert.com/</t>
  </si>
  <si>
    <t>MoneySavingExpert.com is a consumer finance information and discussion website which provides information and journalistic articles enabling consumers to save money</t>
  </si>
  <si>
    <t>Tickety Split helps users locate cheaper train fares by splitting journeys up by using open transport data</t>
  </si>
  <si>
    <t>Moneysupermarket.com</t>
  </si>
  <si>
    <t>http://www.moneysupermarket.com</t>
  </si>
  <si>
    <t>Moneysupermarket.com is a price comparison website-based business specialising in financial services, allowing consumers to compare prices of products including mortgages, credit cards and loans</t>
  </si>
  <si>
    <t>Uses open data to aggregate and compile price comparisons</t>
  </si>
  <si>
    <t>MRC</t>
  </si>
  <si>
    <t>http://www.mrc.ac.uk/</t>
  </si>
  <si>
    <t>The Medical Research Council (MRC) is a British research council which provides coordination and funding for medical research.</t>
  </si>
  <si>
    <t>Advocate Open Access academic publishing, fund open data projects, publishes senior staff details under OGL on data.gov.uk</t>
  </si>
  <si>
    <t>Muddy Boots Software</t>
  </si>
  <si>
    <t>http://en.muddyboots.com/</t>
  </si>
  <si>
    <t>Muddy Boots is a global food supply chain technical consultancy providing quality and compliance software solutions</t>
  </si>
  <si>
    <t>Mudlark</t>
  </si>
  <si>
    <t>http://wearemudlark.com/</t>
  </si>
  <si>
    <t>Mudlark is a digital product agency creating playful experiences across data, game design and storytelling</t>
  </si>
  <si>
    <t>Uses local council open data in BCD and uses oystercard data in Chomaroma</t>
  </si>
  <si>
    <t>Multimind creations</t>
  </si>
  <si>
    <t>http://www.multimindcreations.com/about.php</t>
  </si>
  <si>
    <t>Multimind Creations is a firm of Planners, Environmentalists and Information Solutions Specialists providing consulting services to public, private, and international clients. It provides services like geospatial services, remote sensing, 3D city modelling, LiDAR, orthorectification, GIS data/analysis services, geocoding services, GIS application development and GIS implementation. The organization uses open geographical data and satellite data to impact environmental decisions, urban planning, and utilities.</t>
  </si>
  <si>
    <t>Ajit Pandey</t>
  </si>
  <si>
    <t>info@multimindcreations.com, akp@multimindcreations.com</t>
  </si>
  <si>
    <t>Multizone</t>
  </si>
  <si>
    <t>http://www.multizone.co.uk/</t>
  </si>
  <si>
    <t>Multizone is a specialist software company that creates native cloud connected social mobile applications that use open and social data</t>
  </si>
  <si>
    <t>Creates mobile apps that use open data</t>
  </si>
  <si>
    <t>My Support Broker</t>
  </si>
  <si>
    <t>https://www.mysupportbroker.com/</t>
  </si>
  <si>
    <t>My Support Broker is a healthcare facilitator providing a service which matches those with long term health conditions with local Support Brokers who help them negotiate the best care programme.</t>
  </si>
  <si>
    <t>Mydex</t>
  </si>
  <si>
    <t>http://mydex.org</t>
  </si>
  <si>
    <t>Mydex is a Community Interest Company that seeks to empower individuals to manage access and control of their personal data by providing hyper-secure storage of personal data including text, numbers, images, video, certificates and sound</t>
  </si>
  <si>
    <t>OSI Supporter: attempts to create an open personal data ecosystem (the Mydex website is licensed under a Creative Commons. Attribution-NonCommercial-ShareAlike 3.0 Unported License)</t>
  </si>
  <si>
    <t>mylearningworx</t>
  </si>
  <si>
    <t>http://www.mylearningworx.co/</t>
  </si>
  <si>
    <t>mylearningworx is a crowd sourced elearning marketplace</t>
  </si>
  <si>
    <t>MyPolice</t>
  </si>
  <si>
    <t>http://mypolice.org/</t>
  </si>
  <si>
    <t>MyConversations is the company behind MyPolice, an online feedback tool for citizens to engage in dialogue with their police services</t>
  </si>
  <si>
    <t>Stories are published under creative commons licence</t>
  </si>
  <si>
    <t>mySociety</t>
  </si>
  <si>
    <t>https://www.mysociety.org/</t>
  </si>
  <si>
    <t>mySociety is a not-for-profit organisation that invents and popularises digital tools that enable citizens to exert power over institutions and decision makers</t>
  </si>
  <si>
    <t>Uses open data in several of its supported projects</t>
  </si>
  <si>
    <t>Naksha Solutions</t>
  </si>
  <si>
    <t>http://naksha-solutions.com/</t>
  </si>
  <si>
    <t>Naksha Solutions is a professional service provider in the field of GIS ,Geology, Mapping,Engineering, IT and Consultancy. Through these services, the organization provides its clients accurate visualizations and mapping of the areas where they are working. 
The services are provided using open geographical data and satellite data to impact urban planning, mining, defense, utilities and land information.</t>
  </si>
  <si>
    <t>Jay Gohil</t>
  </si>
  <si>
    <t>Jay@naksha-solutions.com</t>
  </si>
  <si>
    <t>Neighbours Can Help</t>
  </si>
  <si>
    <t>http://www.neighbourscanhelp.org.uk/</t>
  </si>
  <si>
    <t>Neighbours Can Help is a peer to peer local network facilitator which provides users with the means to contact, connect, help and be helped by others in the area.</t>
  </si>
  <si>
    <t>Neosphere Ambiance</t>
  </si>
  <si>
    <t>http://www.neosphere-ambiance.com/services/gis-remote.html</t>
  </si>
  <si>
    <t>Neosphere ambiance is a premier Consultancy &amp; Service provider firm in the Energy, Environmental and Waste Management sector. Their services include environmental management, market research, climate change &amp; sustainability, GIS &amp; remote sensing, training and development.Open geographic data and remote sensing through satellites is used to provide enviornmental and energy consultancy and geographic visualization.</t>
  </si>
  <si>
    <t>Saurabh Kumar Das</t>
  </si>
  <si>
    <t>info@neosphere-ambiance.com, neosphere-ambiance@gmail.com</t>
  </si>
  <si>
    <t>NERC</t>
  </si>
  <si>
    <t>http://www.nerc.ac.uk/</t>
  </si>
  <si>
    <t>The Natural Environment Research Council (NERC) is a British research council that supports research, training and knowledge transfer activities in the environmental sciences.</t>
  </si>
  <si>
    <t>Funds research, specifically the British Geological Survey (BGS) which publishes a host of open datasets, create apps based on those datasets</t>
  </si>
  <si>
    <t>Nerve Centre</t>
  </si>
  <si>
    <t>http://nervecentre.org/</t>
  </si>
  <si>
    <t>The Nerve Centre is a creative media arts centre that delivers a programme of arts events, cutting edge projects, creative learning centres, training opportunities, and state-of-the-art production facilities</t>
  </si>
  <si>
    <t>Nesta</t>
  </si>
  <si>
    <t>http://www.nesta.org.uk/</t>
  </si>
  <si>
    <t>Nesta is an independent charity that works to increase the innovation capacity of the UK.</t>
  </si>
  <si>
    <t>Advocates Open Data, partner with ODI on Open Data Challenge Series</t>
  </si>
  <si>
    <t>Netflix Services UK</t>
  </si>
  <si>
    <t>https://signup.netflix.com/global</t>
  </si>
  <si>
    <t>Netflix is a provider of on-demand Internet streaming media available to viewers around the world</t>
  </si>
  <si>
    <t>Projects such as Netflix Prize, a crowdsourcing challenge inviting algrithms to improve its recommendation engine</t>
  </si>
  <si>
    <t>New Economics Foundation</t>
  </si>
  <si>
    <t>http://www.neweconomics.org/</t>
  </si>
  <si>
    <t>New Economics Foundation (NEF) is a think tank promoting social, economic and environmental justice</t>
  </si>
  <si>
    <t>NextDrop</t>
  </si>
  <si>
    <t>http://nextdrop.org/</t>
  </si>
  <si>
    <t>Nextdrop collects and shares water delivery information with city residents and water utilities. People can subscribe to the service for a small fee and subscribers can report leaks which the enterprise gets fixed through its utility partner organizations. Thus, they use open data, big data and crowdsourced data from subscribers to track and ensure quick fixing of water supply issues, thereby ensuring continuous water supply.</t>
  </si>
  <si>
    <t>Hubli-Dharwad</t>
  </si>
  <si>
    <t>Nishesh Mehta</t>
  </si>
  <si>
    <t>anu@nextdrop.org, nishesh@nextdrop.org</t>
  </si>
  <si>
    <t>Niche Solutions</t>
  </si>
  <si>
    <t>http://www.busmate.co.uk/</t>
  </si>
  <si>
    <t>BusMate London is an app that provides information on bus routes and sends live reminders to users</t>
  </si>
  <si>
    <t>Uses open transport data</t>
  </si>
  <si>
    <t>http://www.nielsen.com/uk/en.html</t>
  </si>
  <si>
    <t>Nielsen is a global information and measurement company which carries out market research</t>
  </si>
  <si>
    <t>Publishes APIs (through Nielsen Marketplace) for developers</t>
  </si>
  <si>
    <t>Nike</t>
  </si>
  <si>
    <t>http://www.nike.com/gb/en_gb/</t>
  </si>
  <si>
    <t>Nike is a multinational sportswear corporation engaged in the design, development, manufacturing and worldwide marketing and selling of footwear, apparel, equipment, accessories and services.</t>
  </si>
  <si>
    <t>Opens up selected data in its annual Sustainable Business Performance Summary</t>
  </si>
  <si>
    <t>360 Yield Center</t>
  </si>
  <si>
    <t>Nokia</t>
  </si>
  <si>
    <t>http://www.nokia.com/gb-en/</t>
  </si>
  <si>
    <t>Nokia Oyj is a communications and information technology multinational corporation specialising in mobile phones and smartphones</t>
  </si>
  <si>
    <t>Uses crowdsourcing in some projects</t>
  </si>
  <si>
    <t>Nominet Trust</t>
  </si>
  <si>
    <t>http://www.nominettrust.org.uk/</t>
  </si>
  <si>
    <t>Nominet Trust is a body which invests in tech startup companies which perform social, as well as economic, good</t>
  </si>
  <si>
    <t>Supports open data companies such as I Can Make, a founding partner of 360 giving, supporting open data from funders; funding the first open data standard for funders and openly publishes its own grants data</t>
  </si>
  <si>
    <t>Northern Powergrid</t>
  </si>
  <si>
    <t>http://www.northernpowergrid.com/</t>
  </si>
  <si>
    <t>Northern Powergrid is an electrical distribution company providing electricity distribution infrastructure to homes and businesses in the North East, Yorkshire and northern Lincolnshire.</t>
  </si>
  <si>
    <t>Publish datasets on Leeds Data Mill</t>
  </si>
  <si>
    <t>NTT DATA</t>
  </si>
  <si>
    <t>http://www.nttdata.com/uk</t>
  </si>
  <si>
    <t>NTT DATA is a technical consultancy firm providing business and IT consulting, customer management, IT security, business intelligence and analytics services</t>
  </si>
  <si>
    <t>ODI Sponsor: seeks to catalyse mainstream, commercial use of open data and open platforms creating innovative, value-for-money solutions and services</t>
  </si>
  <si>
    <t>SumAll</t>
  </si>
  <si>
    <t>http://sumall.org</t>
  </si>
  <si>
    <t>SumAll conducts data analytics projects with organizations and changemakers who are pursuing common social change objectives. </t>
  </si>
  <si>
    <t>public safety;USA;regional</t>
  </si>
  <si>
    <t>new: NY Prostitution Dashboard dashboard that looks at disparity in prostitution-related offenses and gender disparity in sentence severity - https://spotfire.cloud.tibco.com/public/ViewAnalysis.aspx?file=/users/dmosenkis/Public/Trafficking&amp;waid=bfb6348a26fa526da18b5-08053427bfdfc5 </t>
  </si>
  <si>
    <t>Oasis Loss Modelling Framework</t>
  </si>
  <si>
    <t>http://www.oasislmf.org</t>
  </si>
  <si>
    <t>Oasis LMF is an open community dedicated to the provision and support of catastrophe loss models and associated data and technical solutions to drive global transparency, innovation and openness</t>
  </si>
  <si>
    <t>Ocimum Biosolutions</t>
  </si>
  <si>
    <t>http://www.ocimumbio.com/</t>
  </si>
  <si>
    <t>Ocimum Biosolutions is a global integrated genomic services company providing comprehensive bio informatic services, reference databases, genomic services and LIMS solutions. They make use of open genomics data in Biologics Data Management, Databases, Bio Informatics, Next-Gen Data Analysis. They aid research in gene sequencing, support for clinical trials and biomarker discovery and provide end -to-end intuitive tool for biologics process tracking, standard data management and comprehensive analytics system.</t>
  </si>
  <si>
    <t>Subash Lingareddy</t>
  </si>
  <si>
    <t>subash@ocimumbio.com.</t>
  </si>
  <si>
    <t>OCSI</t>
  </si>
  <si>
    <t>http://www.ocsi.co.uk</t>
  </si>
  <si>
    <t>OCSI is a research consultancy that specialises in using data analysis and related skills to help the public sector and other organisations to deliver better and more efficient services to the public</t>
  </si>
  <si>
    <t>ODI Supporter: some OCSI apps use open data (e.g. Numberhood uses data.gov data)</t>
  </si>
  <si>
    <t>Ogilvy &amp; Mather Group</t>
  </si>
  <si>
    <t>http://ogilvy.co.uk/</t>
  </si>
  <si>
    <t>Ogilvy &amp; Mather is an international advertising, marketing and public relations agency</t>
  </si>
  <si>
    <t>One Bright Space</t>
  </si>
  <si>
    <t>http://www.onebrightspace.com/</t>
  </si>
  <si>
    <t>One Bright Space is a web technology company specialising in the presentation of geographic and spacial information</t>
  </si>
  <si>
    <t>Created iCoast (an online, electronic map of the Dorset Coast) which uses some OGL data</t>
  </si>
  <si>
    <t>OnepointIQ</t>
  </si>
  <si>
    <t>http://www.onepointiq.com/</t>
  </si>
  <si>
    <t>Onepoint IQ is a data consultancy company providing services in strategy, business consulting, enterprise architecture and open source</t>
  </si>
  <si>
    <t>Premise Data</t>
  </si>
  <si>
    <t>IBM Watson</t>
  </si>
  <si>
    <t>Ontoba</t>
  </si>
  <si>
    <t>http://www.ontoba.com/</t>
  </si>
  <si>
    <t>Ontoba is a digital media consultancy that specialises in semantic web software and solutions architecture</t>
  </si>
  <si>
    <t>Open Addresses</t>
  </si>
  <si>
    <t>Open Addresses is a company aiming to provide address data as open data to provide an open alternative to the closed Postcode Address File (PAF)</t>
  </si>
  <si>
    <t>Aims to create an open address file and publish as open data</t>
  </si>
  <si>
    <t>Open Bank Project (OBP)</t>
  </si>
  <si>
    <t>Open Company</t>
  </si>
  <si>
    <t>http://wwww.opencompany.co.uk/</t>
  </si>
  <si>
    <t>Open Company is an online open data service providing corporate information for UK companies.</t>
  </si>
  <si>
    <t>Uses open companies house data, publishes using open data license</t>
  </si>
  <si>
    <t>Hipcamp</t>
  </si>
  <si>
    <t>XCentric</t>
  </si>
  <si>
    <t>Open Health Care UK</t>
  </si>
  <si>
    <t>http://www.openhealthcare.org.uk/</t>
  </si>
  <si>
    <t>Open Health Care UK is a digital technology company which provides digital services for healthcare professionals and patients</t>
  </si>
  <si>
    <t>Open Prescribing/Prescribing Analytics use GP open prescribing data</t>
  </si>
  <si>
    <t>Open Heritage</t>
  </si>
  <si>
    <t>http://www.openheritagecic.org/</t>
  </si>
  <si>
    <t>Open Heritage is a non-profit organisation dedicated to open data on the World's heritage</t>
  </si>
  <si>
    <t>Publishes datasets using Open Data Certificates</t>
  </si>
  <si>
    <t>Open Personal Genomics Consortium</t>
  </si>
  <si>
    <t>http://www.openpgx.org/about-us</t>
  </si>
  <si>
    <t>OpenPGx is a global collaborative endeavor to create an Open Access resource for Personal Genomics analysis resources and data in order to enable the application of advances in science and technology to clinical settings with the overall aim and impact of improving patient health care.
 It makes use of open genomics data and crowdsourced data for creation and maintenance of a comprehensive Open Access Data resource of the Genomics markers for clinical applications.This leads to better healthcare delivery.</t>
  </si>
  <si>
    <t>Sridhar Sivasubbu</t>
  </si>
  <si>
    <t>s.sivasubbu@igib.res.in</t>
  </si>
  <si>
    <t>Open Rights Group</t>
  </si>
  <si>
    <t>https://www.openrightsgroup.org/</t>
  </si>
  <si>
    <t>The Open Rights Group is an advocacy organization that works to preserve digital rights and freedoms by lobbying government, advocacy in the media and fostering grassroots campaigns.</t>
  </si>
  <si>
    <t>Advocates and lobbys for open data publication by government</t>
  </si>
  <si>
    <t>Open Source Geospatial India</t>
  </si>
  <si>
    <t>http://lsi.iiit.ac.in/drupal-7.1/node/47</t>
  </si>
  <si>
    <t>The India Chapter of the Open Source Geospatial Foundation (OSGeo-India) is a not-for-profit Society with a pan India focus. The goal of the Society is to provide support and help in building up of open source tools and applications related to the field of geospatial technologies and its allied sciences.</t>
  </si>
  <si>
    <t>Dr S .Narendra Prasad     Dr. Jayati Chourey        Dr P.S.Roy (Chairman, OSGEO, India)</t>
  </si>
  <si>
    <t>rajan@iiit.ac.in  snarendra.prasad@gmail.com   jayati@saciwaters.org      psroy13@gmail.com</t>
  </si>
  <si>
    <t>Open Utility</t>
  </si>
  <si>
    <t>http://www.openutility.com/</t>
  </si>
  <si>
    <t>Open Utility is an open energy broker providing a tool for renewable generators to search and compare quotes for their export power from multiple suppliers and aims to create a peer-to-peer energy marketplace</t>
  </si>
  <si>
    <t>ODI Startup: seeks to build a way for renewable generators to search and compare quotes for their export power from multiple suppliers to develop an open marketplace</t>
  </si>
  <si>
    <t>OpenCharities</t>
  </si>
  <si>
    <t>http://opencharities.org/</t>
  </si>
  <si>
    <t>Open Charities is a project to open up the information on the UK's Register of Charities and make it available to the community in a variety of forms.</t>
  </si>
  <si>
    <t>Publish UK Register of Charities in an open format</t>
  </si>
  <si>
    <t>http://opencorporates.com/</t>
  </si>
  <si>
    <t>Chrinon is the company behind OpenCorporates, an open database of companies providing key registration and business data on 50 million companies in 70 jurisdictions.</t>
  </si>
  <si>
    <t>ODI Startup: provides the largest openly licensed database of companies, and their information, in the world</t>
  </si>
  <si>
    <t>OpenDataSoft</t>
  </si>
  <si>
    <t>openkratio.org</t>
  </si>
  <si>
    <t>We are an association that actively supports transparency and citizen participation in public processes (#oGov #OpenData).</t>
  </si>
  <si>
    <t>Cuenta Comunitaria</t>
  </si>
  <si>
    <t>openkratio@gmail.com</t>
  </si>
  <si>
    <t>Openlink Group</t>
  </si>
  <si>
    <t>http://www.olf.com/</t>
  </si>
  <si>
    <t>OpenLink is a software developer specialising in Transaction Lifecycle Management (TLM) software</t>
  </si>
  <si>
    <t>Linked with subsidiary companies that specialise in the Virtuoso database product and also involved in Linked Open Data initiatives</t>
  </si>
  <si>
    <t>Opensensors IO</t>
  </si>
  <si>
    <t>https://opensensors.io/</t>
  </si>
  <si>
    <t>Opensensors is an Internet of Things data company which provides a hosted open source platform which processes real time and historical IOT data and consultancy on IOT projects.</t>
  </si>
  <si>
    <t>ODI Startup: allows and encourages users to publish data openly</t>
  </si>
  <si>
    <t>OpenSignal</t>
  </si>
  <si>
    <t>http://opensignal.com/</t>
  </si>
  <si>
    <t>OpenSignal is a wireless coverage mapping company that crowdsources data on carrier signal quality from its app users</t>
  </si>
  <si>
    <t>Publishes the data it collects from app users for free</t>
  </si>
  <si>
    <t>OpenStreetMap Foundation</t>
  </si>
  <si>
    <t>The OpenStreetMap Foundation is a not-for-profit organization supporting the OpenStreetMap Project, an initiative to create and provide open geographic data</t>
  </si>
  <si>
    <t>Publishes open geographic data</t>
  </si>
  <si>
    <t>OpenWeatherMap</t>
  </si>
  <si>
    <t>http://openweathermap.org/</t>
  </si>
  <si>
    <t>Extreme Electronics is the web-based company behing OpenWeatherMap, which provides current weather and forecast projections superimposed on a map in a free, open format</t>
  </si>
  <si>
    <t>Uses open weather data and open street map and publishes all data and API in open format (freemium model)</t>
  </si>
  <si>
    <t>Opta Sports</t>
  </si>
  <si>
    <t>http://www.optasports.com/</t>
  </si>
  <si>
    <t>Opta is a sports data company that collects, packages, analyses and distributes live data</t>
  </si>
  <si>
    <t>Collaborated with Manchester City FC in 2012/13 to provide sports performance open data</t>
  </si>
  <si>
    <t>Cloudlock</t>
  </si>
  <si>
    <t>Oracle</t>
  </si>
  <si>
    <t>http://www.oracle.com/uk/index.html</t>
  </si>
  <si>
    <t>Oracle Corporation is a multinational computer technology corporation specialising in developing and marketing computer hardware systems and enterprise software products</t>
  </si>
  <si>
    <t>BlueKai is a cloud-based big data platform that enables companies to personalize online, offline and mobile marketing campaigns with information on targeted audiences</t>
  </si>
  <si>
    <t>Oxford Analytics</t>
  </si>
  <si>
    <t>http://www.oxfordanalytics.org/home/</t>
  </si>
  <si>
    <t>Oxford Analytics is data analytics company which provides insight in the education and skills sector</t>
  </si>
  <si>
    <t>Use open education data, advocate open data usage, sister company of i3 Education</t>
  </si>
  <si>
    <t>PAERS</t>
  </si>
  <si>
    <t>http://www.paers.net/</t>
  </si>
  <si>
    <t>PAERS (Patient Access to Electronic Records) is a healthcare solutions software and hardware development company which provides patient-centred systems for many different healthcare sectors.</t>
  </si>
  <si>
    <t>Aims to make medical records open to patients</t>
  </si>
  <si>
    <t>Pam Technologies Pvt. Ltd.</t>
  </si>
  <si>
    <t>http://www.pamtech.biz/home.aspx</t>
  </si>
  <si>
    <t>Pam Technologies Pvt. Ltd. is a multidisciplinary organization offering technical services in the field of Geopgrahic Information Systems (GIS), Automated Mapping/Facility Mapping, Remote sensing and image processing, satellite photgrammetry, Environment monitoring, urban planning and solutions, etc. Their solutions are need based to meet macro to micro requirements of the clients. The organization uses open geographical data and satellite data to provide geospatial services that impact urban planning, mining, utilities and land information.</t>
  </si>
  <si>
    <t>Bhavin Shah</t>
  </si>
  <si>
    <t>PAOGA</t>
  </si>
  <si>
    <t>http://www.paoga.com/index.html</t>
  </si>
  <si>
    <t>PAOGA is a cloud storage company that provides private and secure platforms for individuals and organisations personal information and data storage</t>
  </si>
  <si>
    <t>Paradex</t>
  </si>
  <si>
    <t>http://paradex.co.uk/index.php</t>
  </si>
  <si>
    <t>Paradex is a technology and media services company that produces apps and websites, and also consult on a wide range of other areas across the media and technology sectors</t>
  </si>
  <si>
    <t>London Traffic LIVE uses TfL traffic feeds</t>
  </si>
  <si>
    <t>Parkopedia</t>
  </si>
  <si>
    <t>http://www.parkopedia.co.uk/</t>
  </si>
  <si>
    <t>Parkopedia is a website and app that allows users to contribute and access parking information about street parking, parking meters, car parks and private driveways</t>
  </si>
  <si>
    <t>Uses geospatial open data</t>
  </si>
  <si>
    <t>Participle</t>
  </si>
  <si>
    <t>http://www.participle.net/</t>
  </si>
  <si>
    <t>Participle is a public services consultancy which aims to transform the way public services by designing, developing alternative solutions to social challenges.</t>
  </si>
  <si>
    <t>Patient Opinion</t>
  </si>
  <si>
    <t>https://www.patientopinion.org.uk/</t>
  </si>
  <si>
    <t>Patient Opinion is a consumer advice non-profit providing a feedback platform for health services.</t>
  </si>
  <si>
    <t>Stories published under creative commons licences</t>
  </si>
  <si>
    <t>Peerby</t>
  </si>
  <si>
    <t>https://peerby.com/</t>
  </si>
  <si>
    <t>Peerby is a peer-to-peer sharing service which allows users to share or request items from people in their neighborhood online, via their mobile or via social media channels.</t>
  </si>
  <si>
    <t>Penrhys Partnership</t>
  </si>
  <si>
    <t>http://penrhys.com/</t>
  </si>
  <si>
    <t>Penrhys Partnership is a Registered Charitable Trust that creates basic social infrastructure for the community of Penrhys, including Click, a social enterprise that creates mobile apps and offers a range of training for people and groups</t>
  </si>
  <si>
    <t>People's Voice Media</t>
  </si>
  <si>
    <t>http://peoplesvoicemedia.co.uk/</t>
  </si>
  <si>
    <t>People's Voice Media is a community reporting network which provides empowerment to people by gathering stories about their lives and insights into the services, products and policies that impact on their lives.</t>
  </si>
  <si>
    <t>Pesky People</t>
  </si>
  <si>
    <t>http://www.peskypeople.co.uk/</t>
  </si>
  <si>
    <t>Pesky People's mission is a digital technology company providing solutions that improve digital access and inclusion</t>
  </si>
  <si>
    <t>Pew Research Center</t>
  </si>
  <si>
    <t>Photofoundation</t>
  </si>
  <si>
    <t>http://www.photofoundation.org/</t>
  </si>
  <si>
    <t>photofoundation is an online community for users to submit and share photographs to support causes</t>
  </si>
  <si>
    <t>pinkfroot</t>
  </si>
  <si>
    <t>http://my.pinkfroot.com/</t>
  </si>
  <si>
    <t>pinkfroot is a web and mobile application developer providing a number of apps which provide live tracking of various forms of transportation</t>
  </si>
  <si>
    <t>Apps use/create open data</t>
  </si>
  <si>
    <t>Piramal Waters now called Sarvajal</t>
  </si>
  <si>
    <t>http://www.sarvajal.com/#about</t>
  </si>
  <si>
    <t>Piramal Water operates under the brand "Sarvajal"; it is a for-profit business that is structured to provide cost leadership, technological innovations, and the appropriate incentives to create market-based solutions that can reach enough scale to impact the health of India's masses. They use Water ATMs to deliver safe drinking water to villages using a combination of RFID, cloud management systems and customized ERP solutions.
They make use of open data, the machines send data to a central server via SMS, which helps Sarvajal ensure regular supply of clean water. More than 8.8 Billion litres of clean drinking water served, 100,000 served daily in over 6 states, 400+ jobs that encourage safe water practices in local communities.</t>
  </si>
  <si>
    <t>Anuj Sharma</t>
  </si>
  <si>
    <t>anuj@sarvajal.com</t>
  </si>
  <si>
    <t>Pitchup.com</t>
  </si>
  <si>
    <t>Pitchup.com is website search engine and guide to all types of camping and caravanning in the UK and Ireland</t>
  </si>
  <si>
    <t>Uses geospatial, national park, water quality and other open datasets</t>
  </si>
  <si>
    <t>Plan Projects</t>
  </si>
  <si>
    <t>http://www.plan-art.co.uk/</t>
  </si>
  <si>
    <t>Plan Projects is an urban design company that works with public art, landscape architecture, economic development, community engagement, social and cultural infrastructure and event production</t>
  </si>
  <si>
    <t>Planning Pipe</t>
  </si>
  <si>
    <t>http://www.planningpipe.co.uk/about/</t>
  </si>
  <si>
    <t>Planning Pipe is a construction information company providing real-time information on planning applications in the UK</t>
  </si>
  <si>
    <t>Aggregates open planning application data, provides free basic service based on this</t>
  </si>
  <si>
    <t>Podium Infotech</t>
  </si>
  <si>
    <t>http://www.podiuminfotech.com/</t>
  </si>
  <si>
    <t>Podium Infotech Private Limited is a renowned Geospatial consultancy and service provider for innovative and advanced solutions. The organization provides the following services: Application development, geospatial services, photogrammetry, remote sensing. 
It uses satellite data and open geographical data to provide these services to planners in the following sectors: urban development, landuse management, disaster management, water resource management, transportation. The services provided by Podium Infotech are essential to these sectors as the planning phase in their work becomes validated by accurate visualizations provide by Podium Infotech.</t>
  </si>
  <si>
    <t>Ravi Mahalawat</t>
  </si>
  <si>
    <t>ravi@podiuminfotech.com</t>
  </si>
  <si>
    <t>Porism</t>
  </si>
  <si>
    <t>http://www.porism.com/</t>
  </si>
  <si>
    <t>Porism is a software company which develops bespoke and productised database systems to be run on the web.</t>
  </si>
  <si>
    <t>Facilitate Open Data publishing</t>
  </si>
  <si>
    <t>Postcode Anywhere</t>
  </si>
  <si>
    <t>http://www.postcodeanywhere.co.uk/</t>
  </si>
  <si>
    <t>Postcode Anywhere is a address management services company providing cloud-based address management services for ecommerce websites</t>
  </si>
  <si>
    <t>Praja.in</t>
  </si>
  <si>
    <t>http://praja.in/en</t>
  </si>
  <si>
    <t>Praja.in is a community driven organisation aiming “to be a bridge between those who serve us and those amongst us who care and want to participate. As per the founder, they aim to become a platform for debates of the Upper House of Bangalore, i.e. a virtual upper house. They believe that if issues are discussed in the virtual upper house, then taking a decision in the lower house will become much easier. 
Praja uses open data and crowdsourced data in their debates that have also had policy implications. The portal has 8000+ members who actively discuss and debate issues. Praja also has an initiative called RAAG-Research Analysis Advocacy Group that channels the discussions and further research into advocacy. The founder believes it is the youth engagement that keeps the portal going. They are currently a non-profit, but want to convert into a Section 25 company and professionalize the initiative as the founder sees great potential.</t>
  </si>
  <si>
    <t>Muralidhar Rao, Pranav Jha</t>
  </si>
  <si>
    <t>pranav@praja.in, murali772@gmail.com</t>
  </si>
  <si>
    <t>Pramuka Tecs</t>
  </si>
  <si>
    <t>http://www.pramuka.in/</t>
  </si>
  <si>
    <t>PRAMUKA TECS possess specialized expertise in the field of Geo-Informatics comprising both raster and vector data. They also provide solutions related to Ecology and Environment. They use geographical data and satellite data to provide the following services: Vegetation Classification / Tree Mapping, Land Use / Land Cover Mapping, Utility Mapping, Forestry Management System / Forest mapping, Hydrology &amp; Geological mapping, etc. These services have a positive development impact on urban planning, utilities, environment and ecology.</t>
  </si>
  <si>
    <t>Precise</t>
  </si>
  <si>
    <t>http://www.precise.co.uk</t>
  </si>
  <si>
    <t>Precise is a business information group that provides media monitoring and media analysis services and software applications to draws insight from news, opinions and conversations</t>
  </si>
  <si>
    <t>ODI Sponsor</t>
  </si>
  <si>
    <t>PretaGov</t>
  </si>
  <si>
    <t>http://www.pretagov.co.uk/</t>
  </si>
  <si>
    <t>PretaGov is a provider of CMS Software as a Service for Central Government, their agencies and Local Government and other public sector web solutions</t>
  </si>
  <si>
    <t>Project Oracle Evidence Hub</t>
  </si>
  <si>
    <t>http://project-oracle.com/</t>
  </si>
  <si>
    <t>Project Oracle is a children and youth evidence hub that seeks to improve the chances for children and young people in the capital by promoting quality evidence of what works, supporting services to improve the delivery of youth programmes and informing the funding process</t>
  </si>
  <si>
    <t>Written blog posts on open data and government transparency</t>
  </si>
  <si>
    <t>Project Provenance</t>
  </si>
  <si>
    <t>https://www.provenance.it</t>
  </si>
  <si>
    <t>Provenance is a supply chain data company providing a web platform that tells the stories of products through a union of open data and e-commerce</t>
  </si>
  <si>
    <t>ODI Startup: products and company stories are supported by open data feeds, which users can explore and add to</t>
  </si>
  <si>
    <t>Project00</t>
  </si>
  <si>
    <t>http://www.project00.cc/</t>
  </si>
  <si>
    <t>Zero zero is a collaborative studio of architects, strategic designers, programmers, social scientists, economists and urban designers</t>
  </si>
  <si>
    <t>Operates an open business model</t>
  </si>
  <si>
    <t>Protection Group International</t>
  </si>
  <si>
    <t>http://pgitl.com/</t>
  </si>
  <si>
    <t>PGI is an intelligence-led, risk management company specialising in the secure protection of human, physical, legal, intellectual, financial and operational assets</t>
  </si>
  <si>
    <t>Acquired Olton, a company that provided analysis, software and delivery mechanisms (a company identified by the ODI as open data relevant) in January 2013</t>
  </si>
  <si>
    <t>Public-i</t>
  </si>
  <si>
    <t>http://www.public-i.info/</t>
  </si>
  <si>
    <t>Public-I is a technology service provider specialising in strategies and technologies that support democratic engagement using webcasting products and Citizenscape technology</t>
  </si>
  <si>
    <t>PwC</t>
  </si>
  <si>
    <t>http://www.pwc.co.uk/</t>
  </si>
  <si>
    <t>PricewaterhouseCoopers is a global network of firms which provide quality assurance, tax and advisory services</t>
  </si>
  <si>
    <t>QMed Knowledge Foundation</t>
  </si>
  <si>
    <t>http://www.qmed.org.in/</t>
  </si>
  <si>
    <t>QMed trains health professionals and health consumers on how to use available medical databases for health-related issues. Thus, they use open source medical publications to create a training curriculum so as to ensure better medical facilities. They are also planning to introduce elearning facilities soon so as to access more people.</t>
  </si>
  <si>
    <t>Vasumathi Sriganesh</t>
  </si>
  <si>
    <t>vasu@qmedkf.org.in</t>
  </si>
  <si>
    <t>Quartet FS</t>
  </si>
  <si>
    <t>http://quartetfs.com/</t>
  </si>
  <si>
    <t>Quartet FS is a big data consultancy that provides business users with insight into large volumes of data for dynamic decision-making</t>
  </si>
  <si>
    <t>Qubit Digital</t>
  </si>
  <si>
    <t>http://www.qubitproducts.com/</t>
  </si>
  <si>
    <t>Qubit develops tools and technologies for modern ecommerce and marketing teams</t>
  </si>
  <si>
    <t>Open tag standard</t>
  </si>
  <si>
    <t>Rackspace</t>
  </si>
  <si>
    <t>http://www.rackspace.co.uk/</t>
  </si>
  <si>
    <t>Rackspace is an open cloud company providing hybrid clouds services using public cloud, private cloud or dedicated servers</t>
  </si>
  <si>
    <t>RadiumOne</t>
  </si>
  <si>
    <t>http://www.radiumone.com/index.html</t>
  </si>
  <si>
    <t>RadiumOne is an advertising platform which covers online, video, social and mobile advertising using real-time big data</t>
  </si>
  <si>
    <t>Railyatri.in</t>
  </si>
  <si>
    <t>http://railyatri.in/</t>
  </si>
  <si>
    <t>Railyatri.in simplifies travel by providing search, plan and tracking capability to more than 80% of India's Travel base.The company recently launched Rail Wisdom, a crowd sourcing platform built on Google maps. It provides contextual and location specific travel tips and trivia on trains, stations and destinations. It Launched the National RailYatri Alert Service (NRAS) in November last year. NRAS is an information system that helps passengers find information and sends them alerts on their route, train or destination on their internet enabled phone as well as the website.
Through open data, crowdsourced data and satellite data it uses customized algorithm to determine the impact of different types of major travel related announcements and enables people to plan their journey. Accessible across devices such as laptops, tablets and smart phones and compatible with all web browsers, Rail Wisdom allows travelers from all over India share trivia that profit everyone else.</t>
  </si>
  <si>
    <t>Mr.Manish Rathi</t>
  </si>
  <si>
    <t>manish.rathi@stellingtech.com</t>
  </si>
  <si>
    <t>Rainbow - Greeno Tech Solutions</t>
  </si>
  <si>
    <t>http://www.greeno.in/index.html</t>
  </si>
  <si>
    <t>Rainbow App helps farmers to assess suitable crop for their fields, available crop varieties, irrigated area and rainfall statistics, seed, pesticide, fertilizer dealer details, daily dam water level, live market price and weather report, latest news regarding agriculture. They have been the finalists of the open data apps challenge by Nasscom and NIC. 
It uses big data and open governmental data to help farmers in making informed decisions through out the life cycle of the crop.</t>
  </si>
  <si>
    <t>Selvakumar S
Thirukumar M</t>
  </si>
  <si>
    <t>kumar@greeno.in, thiru@greeno.in</t>
  </si>
  <si>
    <t>Rajeev George</t>
  </si>
  <si>
    <t>Rajeev George is involved in creating a digital map of squatter settlements and is advocating for pro-poor urban planning policies by making use of self generated and open map data.This helps in the better representation of the housing problem in Indian cities.</t>
  </si>
  <si>
    <t>Indore</t>
  </si>
  <si>
    <t>Caravan Studios</t>
  </si>
  <si>
    <t>http://www.caravanstudios.org/#!range/c1ht6</t>
  </si>
  <si>
    <t>Caravan Studios build apps for social good and we build them along with the community who needs them.</t>
  </si>
  <si>
    <t>agriculture; USA; regional | agriculture; USA; national</t>
  </si>
  <si>
    <t>new: apps, e.g. Range - a mobile app that locates the time and place where free summer meals are served to children who are hungry (especially during summer when no free school meals are available).</t>
  </si>
  <si>
    <t>Food Cowboy</t>
  </si>
  <si>
    <t>Raster Solutions</t>
  </si>
  <si>
    <t>http://www.rastersolutions.com/index.htm</t>
  </si>
  <si>
    <t>Raster solutions is a software and app development company</t>
  </si>
  <si>
    <t>London Traffic Cams use TfL feeds</t>
  </si>
  <si>
    <t>RateSetter</t>
  </si>
  <si>
    <t>http://www.ratesetter.com</t>
  </si>
  <si>
    <t>RateSetter is a peer-to-peer lending platform that connects lenders with borrowers in an open, mass-participant market</t>
  </si>
  <si>
    <t>Finance &amp; Investment</t>
  </si>
  <si>
    <t>https://www.ratesetter.com/home/legal</t>
  </si>
  <si>
    <t>Recollect</t>
  </si>
  <si>
    <t>https://recollect.net/</t>
  </si>
  <si>
    <t>Red C</t>
  </si>
  <si>
    <t>http://www.red-c.co.uk/</t>
  </si>
  <si>
    <t>Red C is a mobile and web development agency which produces projects for a wide variety of clients</t>
  </si>
  <si>
    <t>Developed BusGuru app which uses TFL open data</t>
  </si>
  <si>
    <t>Red Networks</t>
  </si>
  <si>
    <t>http://www.rednetworks.in/gis.html</t>
  </si>
  <si>
    <t>Red Networks has made partnerships with leading Geographical Information System (GIS) service providers in order to meet the global GIS requirements. It uses open geographical data and satellite data to provide geospatial services and solutions that provide clients with a deeper perspective on the geographical area they are working in and the natural conditions there, especially in areas like land use, watershed management, utilities.</t>
  </si>
  <si>
    <t>Anand</t>
  </si>
  <si>
    <t>anand@rednetworks.in</t>
  </si>
  <si>
    <t>Red Robot Studios</t>
  </si>
  <si>
    <t>http://www.redrobotstudios.com/</t>
  </si>
  <si>
    <t>Red Robot Studios is a software development company providing comprehensive systems, website and app solutions</t>
  </si>
  <si>
    <t>The Open Elm project is an all open data crowdsourcing project</t>
  </si>
  <si>
    <t>Redan Geomatics Pvt. Ltd.</t>
  </si>
  <si>
    <t>http://www.redan.in/gis.html</t>
  </si>
  <si>
    <t>Redan Geomatics Pvt. Ltd. provides the most refined and seasoned Geographic Information System (GIS) production facilities and is equipped and experienced to serve clients with the widest range of services. The organization provides the following services: GIS and remote sensing, digital photogrammetric mapping, surveying, CAD and engineering services and training. 
It uses open geographical data and satellite data to provide geospatial solutions, which aid the energy and public administration sectors in making decisions as it is very important for these sectors to get an accurate visualization of the space it works in to understand the viability of its acitivities.</t>
  </si>
  <si>
    <t>Mr. D.S. Dev</t>
  </si>
  <si>
    <t>info@redan.in</t>
  </si>
  <si>
    <t>Addepar</t>
  </si>
  <si>
    <t>Remote Sensing and GIS Research Services</t>
  </si>
  <si>
    <t>http://www.rsgisrs.com/</t>
  </si>
  <si>
    <t>RSGISRS (RSGIS Research Services®) provides Geographic Information System and related services to clients. The organization provides a variety of geospatial, survey and remote sensing services using open geographic data and satellite data so as to consult projects which have an impact on large geographic regions such as water resources development projects, environment, agriculture, forests, glaciers, hazards, health, land use, soil, terrain, urban planning.</t>
  </si>
  <si>
    <t>Dr. Rakesh</t>
  </si>
  <si>
    <t>info@rsgisrs.com</t>
  </si>
  <si>
    <t>Resurgence</t>
  </si>
  <si>
    <t>http://www.resurgence.io/</t>
  </si>
  <si>
    <t>Resurgence is an urban risk assessment, resilience building and ecosystems protection company that works to accelerate the adoption of new models and technologies for the inclusive use of data in such services</t>
  </si>
  <si>
    <t>ODI Startup: uses the power of open data and the unlocking of critical public domain information to address global and local issues</t>
  </si>
  <si>
    <t>Revolution Analytics</t>
  </si>
  <si>
    <t>http://www.revolutionanalytics.com/</t>
  </si>
  <si>
    <t>Revolution Analytics is a statistical software company focused on developing "open-core" versions of the free and open source software R for enterprise, academic and analytics customers</t>
  </si>
  <si>
    <t>Rewired State</t>
  </si>
  <si>
    <t>http://rewiredstate.org/</t>
  </si>
  <si>
    <t>Rewired State is a software solutions developer providing rapidly built “proof of concept” alternative ideas and technical solutions to problems, using collaborative event organisation and an ethical hacker mentality</t>
  </si>
  <si>
    <t>Organises hack days which use open data</t>
  </si>
  <si>
    <t>EZ-XBRL</t>
  </si>
  <si>
    <t>RM Education</t>
  </si>
  <si>
    <t>http://www.rm.com/home</t>
  </si>
  <si>
    <t>RM Education is an education company that focuses on developing solutions for the effective use of technology in education</t>
  </si>
  <si>
    <t>Rockshore</t>
  </si>
  <si>
    <t>http://rockshore.net/about/</t>
  </si>
  <si>
    <t>Rockshore provides real-time informational and operational products and services to customers in the transportation and telecomunication sectors</t>
  </si>
  <si>
    <t>Combines open datasets with others to form real-time products and services</t>
  </si>
  <si>
    <t>RSS</t>
  </si>
  <si>
    <t>http://www.rss.org.uk/</t>
  </si>
  <si>
    <t>The Royal Statistical Society is a learned society for statistics, a professional body for statisticians and a charity which promotes statistics, data and evidence for the public good.</t>
  </si>
  <si>
    <t>ODI Supporter: Advocate open statistical data and open access in statistical academic publication</t>
  </si>
  <si>
    <t>Rudman Consulting</t>
  </si>
  <si>
    <t>http://www.consultrudman.com/</t>
  </si>
  <si>
    <t>Rudman Consulting is a business transformation consultancy that seeks to empower enterprises to become resilient and to deal with the challenges and opportunities of continuous digital disruption</t>
  </si>
  <si>
    <t>AmbiTion - host events and provides thought leadership</t>
  </si>
  <si>
    <t>SafeNight app</t>
  </si>
  <si>
    <t>http://www.caravanstudios.org/#!safenight/cfvg</t>
  </si>
  <si>
    <t>SafeNight allows individuals to support hotel placements for people urgently in need of safe shelter.  The mobile service assists domestic violence organizations and engages individual donors in paying for hotel rooms when it is an appropriate option through crowdfunding</t>
  </si>
  <si>
    <t>app is a part of Caravan Studios. Doesn't seem to use open gov data for this app</t>
  </si>
  <si>
    <t>Samin TekMindz India Pvt Limited-Go Tourist Application</t>
  </si>
  <si>
    <t>http://www.tekmindz.com/</t>
  </si>
  <si>
    <t>Tekmindz is an IT consulting and technology services that enables business enterprises and governments to most effectively serve their customers and citizens.
TekMindz's full lifecycle product engineering offers application engineering services for all stages of the software product development lifecycle — from architecting, designing and implementing technology to sustaining technology footprints and supporting associated business functions and processes making use of open data.
                                                                                                                                                                                                                                                                                                                                               Their one of the many products is GoTourist which makes use of open data. GoTourist was among the finalists at Open Data Challenge by NIC &amp; NASSCOMM. The hotels, restaurants &amp; resorts available in the application are government approved ensuring safety of the tourists and avoiding agents reducing the cost for the common public. GoToursit makes use of google maps and helps people locate restaurants, hotels &amp; resorts through guide search based on region, address &amp; geo-coordinates.</t>
  </si>
  <si>
    <t>Nitin Rustagi
Saurabh Kumar Verma
Narendra Singh Rajput
Ashwin Rai
Madhur Bhati
Narender Saini
Abhishek Singh
Shafique
Nandan Singh</t>
  </si>
  <si>
    <t>ashwin.rai@tekmindz.com, saurabh.verma@tekmindz.com</t>
  </si>
  <si>
    <t>SamKnows</t>
  </si>
  <si>
    <t>https://www.samknows.com/</t>
  </si>
  <si>
    <t>SamKnows is a broadband performance measurement service that uses a special enterprise-grade ‘intelligent’ router to produce reliable and accurate statistics of broadband performance around the world</t>
  </si>
  <si>
    <t>Sandbag Climate Campaign</t>
  </si>
  <si>
    <t>http://www.sandbag.org.uk/</t>
  </si>
  <si>
    <t>Sandbag is a company seeking to improve the transparency and environmental performance of the European carbon market</t>
  </si>
  <si>
    <t>Satpalda Geospatial services</t>
  </si>
  <si>
    <t>http://www.satpalda.com/</t>
  </si>
  <si>
    <t>SATPALDA is a privately owned company and a leading provider of satellite imagery and GeoSpatial services to the user community, besides Orthorectification, aerial triangulation, terrain modelling, 3D modelling, LiDAR, topographic mapping and landcover mapping. The organization provides geographic visualization services using open geographical data and satellite data to the following industries: Infrastructure, mining, environment, agriculture, urban planning, and thereby creating a considerable impact.</t>
  </si>
  <si>
    <t>Rajneesh Singh</t>
  </si>
  <si>
    <t>info@satpalda.com, rajneesh.singh@satpalda.com</t>
  </si>
  <si>
    <t>Scanpoint Geomatics Ltd.</t>
  </si>
  <si>
    <t>http://www.scanpointgeomatics.com/</t>
  </si>
  <si>
    <t>Scanpoint Geomatics Limited (hereafter referred to as SGL) is a public limited company.SGL is a leading provider of end to end Geomatics products and services. SGL is a single point business solution provider specializing in the areas of Geographical Information System (GIS), Image Processing (IP), Global Positioning System (GPS), Ground Penetration Radar (GPR), Photogrammetry (PG), and Location Based Services (LBS) and Surveys. 
SGL specialises in the development of enterprise software and applications for Geomatics. By making use of uses open geographical data and satellite data ,SGL provides customised solutions for urban Planning, Utilities, Land Use, Disaster Management, Natural Resources, Land Information System, Forestry, Agriculture, Power and Vehicle Tracking System. For example, GIS is an excellent tool for military commanders during operations to visually monitoring possible terrorist.</t>
  </si>
  <si>
    <t>Ramesh K. Sojitra</t>
  </si>
  <si>
    <t>info@scanpointgeomatics.com</t>
  </si>
  <si>
    <t>Posiba</t>
  </si>
  <si>
    <t>School of Everything</t>
  </si>
  <si>
    <t>http://schoolofeverything.com/</t>
  </si>
  <si>
    <t>School of Everything is a website that helps users to learn by connecting learners to organisations, teachers and lessons</t>
  </si>
  <si>
    <t>Use open geospatial data and education data</t>
  </si>
  <si>
    <t>Scran</t>
  </si>
  <si>
    <t>http://www.scran.ac.uk/info/aboutscran.php</t>
  </si>
  <si>
    <t>Scran is a limited company established by the Scran Trust, which provides educational institutions such as schools, colleges, and institutions access to digital material</t>
  </si>
  <si>
    <t>ScraperWiki</t>
  </si>
  <si>
    <t>http://www.scraperwiki.com</t>
  </si>
  <si>
    <t>ScraperWiki is a data scraping platform and consultancy that allows businesses, data scientists and other users to get, clean and analyse data from PDFs, spreadsheet files and web pages</t>
  </si>
  <si>
    <t>ODI Supporter: has built a world wide community of data scientists who are creating value using open data</t>
  </si>
  <si>
    <t>Secon</t>
  </si>
  <si>
    <t>http://www.secon.in/</t>
  </si>
  <si>
    <t>SECON Private Limited is a GIS Driven Multidiscipline Engineering Company. Its services include: Highway Engineering &amp; Construction Supervision, Irrigation, Flood Control &amp; Water Management, Oil &amp; Gas Pipeline Transportation, Oil &amp; Gas Pipeline Transportation,GIS Based Land Information Systems,Environment Impact &amp; Management Plan, Town Planning &amp; Urban Development. These services are provided using open geographical data and satellite data and help these above mentioned sectors by giving them macro geographic perspectives albeit virtual of the areas they function in</t>
  </si>
  <si>
    <t>Dhyan Appachu</t>
  </si>
  <si>
    <t>dhyan.appachu@secon.in</t>
  </si>
  <si>
    <t>Seme4</t>
  </si>
  <si>
    <t>http://www.seme4.com/</t>
  </si>
  <si>
    <t>Seme4 uses world leading experience, knowledge and resources to help business utilise powerful and emerging Web 3.0 technology. It provides consultancy and education, app building and design and RDF conversion</t>
  </si>
  <si>
    <t>Uses open geospatial data in its app development</t>
  </si>
  <si>
    <t>Semetric</t>
  </si>
  <si>
    <t>http://www.semetric.com/</t>
  </si>
  <si>
    <t>Semetric is a data analytics company that tracks online trends covering activity on social media, mentions and sentiment on news and blogs, sales and file sharing activity</t>
  </si>
  <si>
    <t>MusicMetric publishes some of its data openly</t>
  </si>
  <si>
    <t>Shoothill</t>
  </si>
  <si>
    <t>http://www.shoothill.com/</t>
  </si>
  <si>
    <t>Shoothill is a software developer specialising in creating online mapping and data visualisation of statistical or geographic data</t>
  </si>
  <si>
    <t>Sibdocity</t>
  </si>
  <si>
    <t>http://www.sibdocity.com</t>
  </si>
  <si>
    <t>Sibdocity is a business intelligence tool that mashes complex data to give users the ability to share, integrate and visualise data of different formats</t>
  </si>
  <si>
    <t>Sirius</t>
  </si>
  <si>
    <t>http://www.siriusopensource.com/</t>
  </si>
  <si>
    <t>Sirius is an open source services company providing strategic consultancy, deployment consultancy, training and managed open source products and services through the Government G-Cloud</t>
  </si>
  <si>
    <t>sixteen25</t>
  </si>
  <si>
    <t>http://sixteen25.wordpress.com/</t>
  </si>
  <si>
    <t>sixteen25 is a social enterprise that provides tools which supports young people to get them involved in decision making and helps them become more employable.</t>
  </si>
  <si>
    <t>Skift</t>
  </si>
  <si>
    <t>http://skift.com</t>
  </si>
  <si>
    <t>Skift is a website that offers news, insight, data, tools and services to the travel industry</t>
  </si>
  <si>
    <t>Uses various open datasets to inform its services</t>
  </si>
  <si>
    <t>Skuwizz</t>
  </si>
  <si>
    <t>www.skuwizz.com</t>
  </si>
  <si>
    <t>Skuwizz is a product marketing consultancy providing management information cockpits and decision-making tools to clients.</t>
  </si>
  <si>
    <t>Demonstration commons cockpit uses open parliamentary data</t>
  </si>
  <si>
    <t>SKYSCRAPE Cloud Services</t>
  </si>
  <si>
    <t>http://www.skyscapecloud.com/</t>
  </si>
  <si>
    <t>Skyscape is the service provider of choice for Assured Cloud Services to the UK Public Sector, providing various cloud-based solutions</t>
  </si>
  <si>
    <t>Holds events to discuss the power of open data and what can be done by the UK Public Sector in the field</t>
  </si>
  <si>
    <t>Snips</t>
  </si>
  <si>
    <t>Social Blood</t>
  </si>
  <si>
    <t>http://socialblood.org/about</t>
  </si>
  <si>
    <t>Socialblood is a social network that connects blood donors and recipients of the same blood type through Facebook. It has created a social space for thousands of potential blood donors and recipients to meet and potentially donate. SocialBlood plugs into Facebook and on syncing with the service, pulls up list of connections that are already using the service.It uses social media data and builds an interface on the basis of user preference and makes available the relevant information. Using social media, maps and public data, Socialblood is focused towards finding solutions and building an ecosystem where blood centres and hospitals benefit from the technology it builds, thereby saving time, building trust and reliability.</t>
  </si>
  <si>
    <t>Karthik Naralasetty</t>
  </si>
  <si>
    <t>k@socialblood.org</t>
  </si>
  <si>
    <t>Social Chic Agency</t>
  </si>
  <si>
    <t>http://socialchicagency.com/</t>
  </si>
  <si>
    <t>Social Chic Agency is a digital communications agency of environmentalists who use digital technology to spread ideas</t>
  </si>
  <si>
    <t>Social Fabric</t>
  </si>
  <si>
    <t>http://thesocialfabric.com/</t>
  </si>
  <si>
    <t>Social Fabric is a digital consultancy which provides a strategic advisory to partners to allow them to innovate from within, through digital strategy, venture design, marketing communications and innovation training.</t>
  </si>
  <si>
    <t>Social Impact Tracker</t>
  </si>
  <si>
    <t>http://www.socialimpacttracker.org/</t>
  </si>
  <si>
    <t>Social Impact Tracker is the product of Cunamh ICT, a company providing consultation on the way digital technology can be used by organisations to achieve their social goals.</t>
  </si>
  <si>
    <t>Can facilitate publishing of open reporting data through Social Impact Tracker is an online data application for frontline organisations to report on their outputs, outcomes and measure impact.</t>
  </si>
  <si>
    <t>Social Life</t>
  </si>
  <si>
    <t>http://www.social-life.co/</t>
  </si>
  <si>
    <t>Social Life is a social enterprise that seeks to understand the social dimensions of placemaking and sustainability and how to accelerate local social innovation, then translating these insights into practice and policy</t>
  </si>
  <si>
    <t>Partner on Project Stentor with Mastadon C to create an open source city dashboard</t>
  </si>
  <si>
    <t>Social Stock Exchange</t>
  </si>
  <si>
    <t>http://www.socialstockexchange.com/</t>
  </si>
  <si>
    <t>Social Stock Exchange is a website that seeks to identify and list those organisations that deliver value to society and the environment</t>
  </si>
  <si>
    <t>Software for Data Analysis</t>
  </si>
  <si>
    <t>http://www.sda-ltd.com</t>
  </si>
  <si>
    <t>Software for Data Analysis is an education and data company that uses code and incisive presentation to explain and provide insight into schools</t>
  </si>
  <si>
    <t>Solidsoft Reply</t>
  </si>
  <si>
    <t>http://www.solidsoftreply.com/</t>
  </si>
  <si>
    <t>Solidsoft Reply is a technical consultancy that develops custom business applications and process integration solutions with Microsoft BizTalk Server and the Azure cloud platform.</t>
  </si>
  <si>
    <t>Spageo</t>
  </si>
  <si>
    <t>http://www.spageo.co.in/</t>
  </si>
  <si>
    <t>Spa Geo technologies Pvt Ltd (SpaGeo) (an ISO 9001:2008 certified company) is one of the leading Geo Spatial Engineering/Engineering Design and IT consultancy in India. The following services are provided by the organization: geospatial services, data integration and management, engineering design, geological services, urban planning, application development, data solution, consulting &amp; project management, capacity building and training, traffic intelligence system, road inventory and monitoring system, spatial multimedia. These services are provided using open data and satellite data to provide a macro perspective in field based sectors such as urban planning, geological services, and transport.</t>
  </si>
  <si>
    <t>Alok Shrivastava</t>
  </si>
  <si>
    <t>alok@spageo.co.in</t>
  </si>
  <si>
    <t>Spatial decisions</t>
  </si>
  <si>
    <t>http://www.spatialdecisions.com/about_sd/about_sd.htm</t>
  </si>
  <si>
    <t>Spatial Decisions is a firm of Planners, Environmentalists and Information Solutions Specialists providing consulting services to public, private, and international clients. The organization uses open geographical data and satellite data to provide geospatial visualization services to the following sectors: 
• Urban and Regional Planning
• Environment &amp; Ecology
• Urban Infrastructure &amp; Utilities
• Water Resource Management
• Natural Resource Management
• Energy &amp; Climate Change
• Disaster Risk Management
• Geospatial Solutions
• Training and Capacity Building</t>
  </si>
  <si>
    <t>Kapil Chaudhery</t>
  </si>
  <si>
    <t>info@spatialdecisions.com  kapil@spatialdecisions.com</t>
  </si>
  <si>
    <t>Spatial Ideas</t>
  </si>
  <si>
    <t>http://www.spatialideas.com/</t>
  </si>
  <si>
    <t>Spatial Ideas uses the power of mobile, enterprise and geographic information systems and offer services in the space of Social Media Engagement &amp; Analytics; and Enterprise Resource Management and Solutions. Its products include:
-- LocoBuzz- A social media, analytical, engagement platform
-- MoEGIS: A Mobile Enterprise
--GIS (Geographic Information System) platform.
It makes use of Social media data, open geographical data and self generated data to ensure that key technologies like geographic information systems (GIS), mobile applications and face recognition (biometrics) are converged to create effective and powerful e-governance solutions, as well as enterprise applications.This proves helpful to government and city municipal agencies to monitor and operate their various departments.</t>
  </si>
  <si>
    <t>Vishal Agrawal</t>
  </si>
  <si>
    <t>vishal.agarwal@spatialideas.com</t>
  </si>
  <si>
    <t>Spend Network</t>
  </si>
  <si>
    <t>https://spendnetwork.com//</t>
  </si>
  <si>
    <t>Spend Network is a data company which provides an online tool which compiles government spending and contracts data.</t>
  </si>
  <si>
    <t>ODI Startup: uses open spending data to create new insights for Government and its suppliers.</t>
  </si>
  <si>
    <t>https://spendnetwork.com/</t>
  </si>
  <si>
    <t>Spend Network collects spending statements and tender documents published by government in the UK and Europe and then publishes this data openly so that anyone can use it. The company currently hosts over £1.2 trillion of transactions from the UK and over 1.8 million tenders from across Europe.</t>
  </si>
  <si>
    <t>economic</t>
  </si>
  <si>
    <t>government operations; GBR;  national</t>
  </si>
  <si>
    <t>Spikes Cavell</t>
  </si>
  <si>
    <t>http://www.spikescavell.com</t>
  </si>
  <si>
    <t>Spikes Cavell is a management information and business intelligence company that improges spend visibility for for government bodies, educational institutions and large corporations by equiping decision makers with the data, online tools and analytics in order to change and manage the way they procure goods and services.</t>
  </si>
  <si>
    <t>Uses open government and local government data, helps facilitate and support the publishing of spend data by public bodies so that it is citizen friendly.</t>
  </si>
  <si>
    <t>Global IDs</t>
  </si>
  <si>
    <t>Starting Point Community Learning Partnership</t>
  </si>
  <si>
    <t>http://www.startpointwoodley.co.uk/</t>
  </si>
  <si>
    <t>Starting Point Community Learning Partnership is a social enterprise community café providing learning space and IT learning resources and classes to the community.</t>
  </si>
  <si>
    <t>Staveley Head</t>
  </si>
  <si>
    <t>http://www.staveleyhead.com/</t>
  </si>
  <si>
    <t>Staveley Head is an multi-service insurance provider and broker</t>
  </si>
  <si>
    <t>Use open traffic incident data</t>
  </si>
  <si>
    <t>Stellapps</t>
  </si>
  <si>
    <t>http://www.stellapps.com/</t>
  </si>
  <si>
    <t>Stellapps is India’s first dairy technology solutions company, building automation tools integrated with cloud, mobility, and data analytics for dairy farms, cooperatives, and private dairies. One of their products is ConTrak: Internet based, real-time management of cold-chain with enhanced reporting, pilferage reduction &amp; tamper proofing features. Second, Farm-Herd Management System (FMS) : A cloud based farm and herd management system for animal recording, productivity and peak-yield management, breeding, preventive health care, fodder and veterinary care, powered by a powerful proactive analytics module.
One of the ways they make use of public, open and sensor data is to help monitor individual cows, their health and productivity status and achieve highest breeding efficiency through computerised tracking of breeding cycles of cows.They provide cost effective end to end dairy farm solution, preventive healthcare thereby leading to higher milk produce, improved cull value and higher premium milk production.</t>
  </si>
  <si>
    <t>Ranjith Mukundan, Praveen Nale, Ravishankar Shiroor, Venkatesh</t>
  </si>
  <si>
    <t>ravi.shiroor@stellapps.com</t>
  </si>
  <si>
    <t>Ridescout</t>
  </si>
  <si>
    <t>STFC</t>
  </si>
  <si>
    <t>http://www.stfc.ac.uk/home.aspx</t>
  </si>
  <si>
    <t>The Science and Technology Facilities Council (STFC) is a British research council that funds and carries out research in science and engineering.</t>
  </si>
  <si>
    <t>ODI Supporter: Publishes open data, funds open data projects</t>
  </si>
  <si>
    <t>Stickyboard</t>
  </si>
  <si>
    <t>http://www.stickyboard.co.uk/</t>
  </si>
  <si>
    <t>Stickyboard is a web developer providing website building services for local organisations whilst also maintaining the "UK’s Village Noticeboard" project.</t>
  </si>
  <si>
    <t>Stolen Bikes UK</t>
  </si>
  <si>
    <t>http://stolen-bikes.co.uk/</t>
  </si>
  <si>
    <t>Stolen Bikes is the company behind a number of websites focused on the reporting, identification and retrieval of bicycles that have been stolen.</t>
  </si>
  <si>
    <t>Use, create and publish data on stolen bikes</t>
  </si>
  <si>
    <t>StoryThings</t>
  </si>
  <si>
    <t>http://storythings.com/</t>
  </si>
  <si>
    <t>Storythings is a creative company that develops new methods of telling brands' stories through media, using consultancy and production on major project, apps, films and events</t>
  </si>
  <si>
    <t>StreetBank</t>
  </si>
  <si>
    <t>http://www.streetbank.com/</t>
  </si>
  <si>
    <t>Streetbank is a website that connects neighbours and allows them to share objects and services</t>
  </si>
  <si>
    <t>Crown Agents</t>
  </si>
  <si>
    <t>http://www.crownagents.com/what-we-do/public-financial-management/e-procurement</t>
  </si>
  <si>
    <t>We are trying to help governments understand and then adopt e-procurement for public procurement as a way of improving the efficency of existing manually based procurement systems which are also an obstacle to them adopting an open contracting strategy.</t>
  </si>
  <si>
    <t>Surgerica</t>
  </si>
  <si>
    <t>http://surgerica.com/about_us.php</t>
  </si>
  <si>
    <t>Surgerica provides cost and quality transparency through a health care management suite that delivers proven, measurable results for patients. Surgerica offers Video consultation, cloud based EHR (Electronic Healthcare Records), Treatment Plan Verification (i.e. provide second opinion from medical practitioners all around the globe to ensure the right procedure of treatment for you) and Instant Treatment estimates. 
It uses open and big data ie they have three sets of data. 1st Data of a patients (pre &amp; post op data &amp; PHR) 2nd Data of Hospitals ( about doctors, pricing, surgery result, mortality rate etc) 3rd Insurance ( claims data ) to maintain the database of all the medical reports, providing credible, relevant, and precise cost and quality information. It provides an ecosystem comprising all stakeholders--doctors, hospitals, and patients--and helps to determine exactly how much a treatment would cost before the patient approaches healthcare providers. 
It also offers local &amp; ground support and maintains real time status of the patient. For hospitals and doctors, the platform opens up newer monetization channels (including medical tourism) and for patients, it brings more transparency in the system.</t>
  </si>
  <si>
    <t>Kolkata</t>
  </si>
  <si>
    <t>Amit Bhagat and Amarendra Kumar</t>
  </si>
  <si>
    <t>amit@surgerica.com</t>
  </si>
  <si>
    <t>Swasthya Slate - Public Health Foundation</t>
  </si>
  <si>
    <t>www.swasthyaslate.org</t>
  </si>
  <si>
    <t>Swasthya Slate is an integrative device with data analytics which allows reporting for monitoring and planning.  Swasthya Slate system provides multiple options for information gathering &amp; data acquisition. 
They use open geographical, sensor, and self-generated data. Their system provides end to end integration from diagnosis, referrals, followups to reporting, health communication and healthy behaviour promotion. E.g. diagnostics feed data directly into EMR so that PHC doctors can make further follow-ups using the patient data received on the MCTS.</t>
  </si>
  <si>
    <t>Kanav Kahol</t>
  </si>
  <si>
    <t>kanav.kahol@phfi.org</t>
  </si>
  <si>
    <t>Swirrl</t>
  </si>
  <si>
    <t>http://www.swirrl.com</t>
  </si>
  <si>
    <t>Swirrl is a specialist linked data company which makes data easy to find, understand and re-use by creating solutions for companies seeking to open up their data</t>
  </si>
  <si>
    <t>ODI Supporter: helps/facilitates the publishing of open data by businesses in linked data (machine readable) format</t>
  </si>
  <si>
    <t>Syngenta</t>
  </si>
  <si>
    <t>http://www3.syngenta.com/country/uk/en/Pages/home.aspx</t>
  </si>
  <si>
    <t>Syngenta AG is a global agribusiness that provides seeds and agrochemicals to the agriculture industry</t>
  </si>
  <si>
    <t>Looking into publishing open data to increase transparency, fuel research and dictate industry standards</t>
  </si>
  <si>
    <t>Systems in Context</t>
  </si>
  <si>
    <t>http://www.systemsincontext.co.uk/</t>
  </si>
  <si>
    <t>Systems In Context is a technical consultancy company specialising in architecture and design services to the private and public sectors and Business Intelligence and Management Information solutions</t>
  </si>
  <si>
    <t>Tableu Software</t>
  </si>
  <si>
    <t>http://www.tableausoftware.com/public/how-it-works</t>
  </si>
  <si>
    <t>Tableu Public provides a free and open visualisation tool</t>
  </si>
  <si>
    <t>Enables the use/publish of visualisations of open data</t>
  </si>
  <si>
    <t>Talis Education</t>
  </si>
  <si>
    <t>http://www.talis.com/</t>
  </si>
  <si>
    <t>Talis is a software company which applies technology and data to education; Talis Aspire enables academics and librarians to find, bookmark, manage and track usage of recommended learning resources for students</t>
  </si>
  <si>
    <t>Uses the Open Library</t>
  </si>
  <si>
    <t>TaxCalculator.co.uk</t>
  </si>
  <si>
    <t>http://www.taxcalculator.co.uk/</t>
  </si>
  <si>
    <t>Tax Calculator is a website that provides an estimate of income taxation based on Inland Revenue rates</t>
  </si>
  <si>
    <t>Uses open government tax data</t>
  </si>
  <si>
    <t>Taxfix.co.uk</t>
  </si>
  <si>
    <t>http://taxfix.co.uk/tax-refund.html</t>
  </si>
  <si>
    <t>Tax Fix is a company that helps users in claiming tax back from the UK Inland Revenue</t>
  </si>
  <si>
    <t>Provides a UK tax calculator based on open government tax data (http://taxfix.co.uk/how-much-tax-will-i-pay/)</t>
  </si>
  <si>
    <t>TaxiforSure.com</t>
  </si>
  <si>
    <t>http://www.taxiforsure.com/</t>
  </si>
  <si>
    <t>Taxiforsure.com is taxi aggregator aiming to be the country’s first choice to book a taxi. They operate in the burgeoning but hitherto unorganized radio taxi industry, which has the potential both to impact daily mode of travel as well as the livelihoods of thousands of operators and drivers.
Making use of open and crowdsourced data, they run a robust and scalable technology platform that allows them to gather and analyse data to help serve their customers and drivers even better. A highly data-driven culture ensures that decisions both big and small are guided by gut and numbers.</t>
  </si>
  <si>
    <t>Aprameya R, Raghunandan G</t>
  </si>
  <si>
    <t>ar@taxiforsure.com, raghu@taxiforsure.com</t>
  </si>
  <si>
    <t>TaxTastic</t>
  </si>
  <si>
    <t>http://www.taxtastic.co.uk/</t>
  </si>
  <si>
    <t>Taxtastic is a Chartered Accountancy practice that offers a range of accountancy and tax services</t>
  </si>
  <si>
    <t>Tech Britain</t>
  </si>
  <si>
    <t>http://techbritain.com/</t>
  </si>
  <si>
    <t>Tech Britain is an online resource that provides an overivew of the people, companies, community spaces, finance and groups that make up the United Kingdom's tech ecosystems</t>
  </si>
  <si>
    <t>Moving to open up its data</t>
  </si>
  <si>
    <t>Technium Labs</t>
  </si>
  <si>
    <t>http://lurnq.com/</t>
  </si>
  <si>
    <t>Technium Labs is a consumer web education technology company with a mission to empower learners and educators, with the ability to maximize the resources available to them in the digital age.
Through products such as LurnQ™, they connect learners with quality content, great teachers, a social community and an environment that encourages collaboration, all in one place. They use crowdsourced data and open data to improve learning outcomes.</t>
  </si>
  <si>
    <t>Tarun Mitra, Devvrat Arya</t>
  </si>
  <si>
    <t>tarun@technium.in, arya.devvrat@technium.in</t>
  </si>
  <si>
    <t>Technosoft corporation's rainfall forecasting webapp</t>
  </si>
  <si>
    <t>Technosoft Corporation is an IT and BPO services provider. As part of a capacity building activity in data science, they work on open data projects and wish to use them to increase their reputation in the industry. One such product was developed for the Nasscom and NIC open data apps challenge. The application used open time series rainfall data of 62 years along to develop a rainfall forecasting application for use in disaster management, by agriculturists, etc. Thus, they used open source data and competing predictive models to figure out the right way of prediction. The application was one of the 10 finalists in the challenge and is currently provided to the Government of India to be kept in their hostage server.</t>
  </si>
  <si>
    <t>Rajiv Tandon, Gopal Lakshmanan</t>
  </si>
  <si>
    <t>Gopal.L@technosoftcorp.com</t>
  </si>
  <si>
    <t>http://blog.digital.telefonica.com/</t>
  </si>
  <si>
    <t>Telefonica is a multinational telecommunications provider of broadband and mobile network communications</t>
  </si>
  <si>
    <t>ODI Partner: focused on creating economic and social value from aggregated and anonymous mobile network data and driving growth in digital services such as machine-to-machine, e-health, open web, mobile advertising, cloud and big data</t>
  </si>
  <si>
    <t>Territorial Prescience</t>
  </si>
  <si>
    <t>http://territorialprescience.co.in/</t>
  </si>
  <si>
    <t>Territorial Prescience is a  start-up firm that builds tools to acquire, explore and analyze spatial and non-spatial information to describe, assess and visually depict physical features and geographically referenced activities from real-time or asynchronous or historical or unstructured data sets. These visualizations are provided using open geographical data and satellite data and are focussed on the following sectors that create a development impact: Health Geography, utilities, social change and policy, community governance models.</t>
  </si>
  <si>
    <t>Dr. Awase Khirni Syed</t>
  </si>
  <si>
    <t>awasekhirni@gmail.com</t>
  </si>
  <si>
    <t>Tesco</t>
  </si>
  <si>
    <t>www.tesco.com</t>
  </si>
  <si>
    <t>Tesco PLC is a multinational grocery and general merchandise retailer</t>
  </si>
  <si>
    <t>Combines weather data from various sources with sales records across thousands of stores to create hour-by-hour demand models</t>
  </si>
  <si>
    <t>Tesobe</t>
  </si>
  <si>
    <t>http://tesobe.com/</t>
  </si>
  <si>
    <t>Tesobe is a team of software engineers, project managers and designers specialising in web and mobile application development</t>
  </si>
  <si>
    <t>ODI Startup: The Open Bank Project is an open source API and App store for banks that empowers financial institutions to securely and rapidly enhance their digital offerings using an ecosystem of 3rd party applications and services built on both protected and open transaction data</t>
  </si>
  <si>
    <t>The Association of Convenience Stores</t>
  </si>
  <si>
    <t>http://www.acs.org.uk/</t>
  </si>
  <si>
    <t>The Association of Convenience Stores is the trade association for local shops in the UK providing support to members through lobbying, comprehensive advice and innovative networking opportunities.</t>
  </si>
  <si>
    <t>The Audience Agency Services</t>
  </si>
  <si>
    <t>http://www.theaudienceagency.org/</t>
  </si>
  <si>
    <t>Audience Agency is a national audience data and development company that enables cultural organisations to build audiences and share, compare and apply data, intelligence and insight</t>
  </si>
  <si>
    <t>ODI Supporter: uses Big Data to make effective business decisions based on in-depth analysis of audiences' patterns of behaviour</t>
  </si>
  <si>
    <t>The Boffin Lab</t>
  </si>
  <si>
    <t>http://www.theboffinlab.com/</t>
  </si>
  <si>
    <t>The Boffin Lab is a software engeering company which builds website for clients and apps for consumers</t>
  </si>
  <si>
    <t>Postcode atlas app uses open geospatial data</t>
  </si>
  <si>
    <t>The British Library Trust</t>
  </si>
  <si>
    <t>http://www.bl.uk/</t>
  </si>
  <si>
    <t>The British Library is a research library and the national library of the United Kingdom</t>
  </si>
  <si>
    <t>The British Library has made the British National Bibliography available as linked data, EThOS hosts theses - some of which are delivered under open licences</t>
  </si>
  <si>
    <t>The British Museum</t>
  </si>
  <si>
    <t>http://www.britishmuseum.org/?ref=header</t>
  </si>
  <si>
    <t>The British Museum is a museum dedicated to human history and culture which houses a permanent collection of around 8 million works</t>
  </si>
  <si>
    <t>Provides access to collection records under the W3C open data standard, RDF, to add to linked data published by other organisations around the world interested in promoting accessibility and collaboration</t>
  </si>
  <si>
    <t>The Collections Trust</t>
  </si>
  <si>
    <t>http://www.collectionstrust.org.uk/</t>
  </si>
  <si>
    <t>Collections Trust is the professional association for people working in collections management professions</t>
  </si>
  <si>
    <t>Help lobby/launch open library list, advocate and advise on open publication, maintain find a library website</t>
  </si>
  <si>
    <t>The Democratic Society</t>
  </si>
  <si>
    <t>http://www.demsoc.org/</t>
  </si>
  <si>
    <t>Demsoc (The Democratic Society) is a membership organisation promoting participation, networked democracy and active citizenship</t>
  </si>
  <si>
    <t>The Good Data Cooperative</t>
  </si>
  <si>
    <t>https://thegooddata.org/</t>
  </si>
  <si>
    <t>The Good Data Cooperative is a data ownership company which provides a tool to allow users to control their personal data and sell anonymised data generated, which provides for micro loans to developing countries, as well as control the company itself through user ownership.</t>
  </si>
  <si>
    <t>Publishes all info on website under CC4.0 licence,</t>
  </si>
  <si>
    <t>The Guardian Media Group</t>
  </si>
  <si>
    <t>http://www.gmgplc.co.uk/</t>
  </si>
  <si>
    <t>The Guardian is a British national daily newspaper with an international multimedia and web presence</t>
  </si>
  <si>
    <t>Raw data for data journalism and API development published via Data Store and Data Blog</t>
  </si>
  <si>
    <t>The Institute for Government</t>
  </si>
  <si>
    <t>http://www.instituteforgovernment.org.uk/</t>
  </si>
  <si>
    <t>The Institute for Government is an independent charity and think tank which does research, advises the public sector and organises events in order to promote more effective government</t>
  </si>
  <si>
    <t>Advocates open government data: publishes reports and holds events on (open) data usage and government initiatives</t>
  </si>
  <si>
    <t>The Local Government Association</t>
  </si>
  <si>
    <t>http://www.local.gov.uk/</t>
  </si>
  <si>
    <t>The Local Government Association (LGA) is the association of local government promoting better local government, maintaining communication between local authorities and representing the interests of local government to national government and citizens</t>
  </si>
  <si>
    <t>Publishes lots of reports using open data, offers advice on/help with using open data, publishes information on legal powers and duties of all local councils in one single database</t>
  </si>
  <si>
    <t>The Open Knowledge Foundation</t>
  </si>
  <si>
    <t>https://okfn.org/</t>
  </si>
  <si>
    <t>Open Knowledge is a worldwide non-profit network promoting openness using advocacy, technology and training to unlock information and enable people to work with.</t>
  </si>
  <si>
    <t>Advocacy and training, lots of projects - CKAN data portal software</t>
  </si>
  <si>
    <t>The Point People</t>
  </si>
  <si>
    <t>http://thepointpeople.com/</t>
  </si>
  <si>
    <t>The Point People is a consultancy group specialising in the creation and facilitatation of network activity</t>
  </si>
  <si>
    <t>The Raspberry Pi Foundation</t>
  </si>
  <si>
    <t>http://www.raspberrypi.org/</t>
  </si>
  <si>
    <t>The Raspberry Pi Foundation is a computer science charity which produces the Raspberry Pi single-board computer which aims to promote computer science to young people</t>
  </si>
  <si>
    <t>The Server Labs</t>
  </si>
  <si>
    <t>http://www.theserverlabs.com/</t>
  </si>
  <si>
    <t>The Server Labs is a European IT company specialising in IT architecture, software engineering and Cloud Computing architecture and services.</t>
  </si>
  <si>
    <t>The Supernode Foundation</t>
  </si>
  <si>
    <t>http://thesupernode.org/</t>
  </si>
  <si>
    <t>The Supernode Foundation is a non-profit foundation which aims to create and maintain an open node-computation based platform for data, functions and visualisations</t>
  </si>
  <si>
    <t>Aims to create open platform for data</t>
  </si>
  <si>
    <t>Datasembly</t>
  </si>
  <si>
    <t>The Volunteer Centre Blackpool, Wyre and Fylde</t>
  </si>
  <si>
    <t>http://www.volunteercentrebwf.org.uk/</t>
  </si>
  <si>
    <t>The Volunteer Centre Blackpool, Wyre and Fylde is a volunteering coordinator which provides support and inspiration for volunteers, organisations and groups to develop volunteering in the community.</t>
  </si>
  <si>
    <t>theblueballroom</t>
  </si>
  <si>
    <t>http://www.theblueballroom.com/</t>
  </si>
  <si>
    <t>Theblueballroom is a business communication agency that delivers internal communications and PR solutions through content, creative and consultancy services</t>
  </si>
  <si>
    <t>TheCityUK</t>
  </si>
  <si>
    <t>http://www.thecityuk.com/#&amp;panel1-5</t>
  </si>
  <si>
    <t>TheCityUK is an organisation that champions the international competitiveness of the UK financial services industry by promoting UK financial services at home and overseas and engaging in regulatory and trade policy debate</t>
  </si>
  <si>
    <t>Theovel Surveys</t>
  </si>
  <si>
    <t>http://theovel.com/</t>
  </si>
  <si>
    <t>Theovel Surveys is an organization that provides survey, Geographic Information Systems, and remote sensing services, thus providing comprehensive end-to-end solutions to clients. These services are provided using open geographical data and satellite data and have implications in a wide number of sectors, namely those that require a macro geographic perspective to ensure better decision making. The services are provided to the following sectors: roadways, railways, development projects, urban infrastructure projects, hydroelectric projects, water supply information, themal and wind energy projects, oil pipeline and mineral exploration projects.</t>
  </si>
  <si>
    <t>Mr. Vinod Kumar</t>
  </si>
  <si>
    <t>vinod@theovel.com</t>
  </si>
  <si>
    <t>Thomson Reuters is a multinational media and information company providing information services to leading decision makers in the financial and risk, legal, tax and accounting, intellectual property and science and media markets</t>
  </si>
  <si>
    <t>ODI Partner</t>
  </si>
  <si>
    <t>ThoughtWorks</t>
  </si>
  <si>
    <t>http://www.thoughtworks.com/</t>
  </si>
  <si>
    <t>ThoughtWorks is a global software delivery and products company specialising in agile software devlopment and contributing to open source projects</t>
  </si>
  <si>
    <t>OKFN supporter and thought leader</t>
  </si>
  <si>
    <t>Thumbprint Cooperative</t>
  </si>
  <si>
    <t>http://thumbprint.coop/</t>
  </si>
  <si>
    <t>Thumbprint City allows users to sign up and use their page to send out text messages to selected groups of people, and to receive text messages from people who are involved in similar projects</t>
  </si>
  <si>
    <t>Uses local council and crowdsourced open data</t>
  </si>
  <si>
    <t>Thunderforest</t>
  </si>
  <si>
    <t>http://www.thunderforest.com</t>
  </si>
  <si>
    <t>Gravitystorm is a digital cartography company providing the Thunderforest map hosting platform</t>
  </si>
  <si>
    <t>Publishes all maps under Creative Commons (CC-by-SA 2.0) licence</t>
  </si>
  <si>
    <t>Thwaites Communications</t>
  </si>
  <si>
    <t>http://www.thwaitescommunications.co.uk</t>
  </si>
  <si>
    <t>Thwaites Communications is a strategic communications consultancy specialising in innovation and change communications solutions across a range of sectors</t>
  </si>
  <si>
    <t>Till Strategic Group Holdings</t>
  </si>
  <si>
    <t>http://www.thetillgroup.com/</t>
  </si>
  <si>
    <t>The Till Group incubates, finances and delivers innovative business solutions</t>
  </si>
  <si>
    <t>Timetric</t>
  </si>
  <si>
    <t>http://timetric.com/</t>
  </si>
  <si>
    <t>Timetric is a leading business information service, providing financial and economic research services based on proprietary data and analysis</t>
  </si>
  <si>
    <t>Provides visualisation on Guardian, made parts of open source software, and regularly participate in developer meets</t>
  </si>
  <si>
    <t>Tinder Foundation</t>
  </si>
  <si>
    <t>http://www.tinderfoundation.org/</t>
  </si>
  <si>
    <t>Tinder Foundation is a not-for-profit social enterprise that supports community partners to be smarter in how they use digital technology</t>
  </si>
  <si>
    <t>Tomorrow's Guides</t>
  </si>
  <si>
    <t>http://www.tomorrows.co.uk/</t>
  </si>
  <si>
    <t>Tomorrow's Guides are website publishers in the care and day nursery sectors and also publish mobile apps and sell care data for research and mailings</t>
  </si>
  <si>
    <t>Uses various open data sources for each website</t>
  </si>
  <si>
    <t>Total Car Check</t>
  </si>
  <si>
    <t>http://totalcarcheck.co.uk/</t>
  </si>
  <si>
    <t>Total Car Check is a company providing a web-tool which allows users to check the history of a given vehicle</t>
  </si>
  <si>
    <t>Use open data where possible</t>
  </si>
  <si>
    <t>Trading Times</t>
  </si>
  <si>
    <t>https://www.tradingtimes.org.uk/</t>
  </si>
  <si>
    <t>Trading Times is a recuitment agency which connects local employers with over 50s and family carers interested in part-time work</t>
  </si>
  <si>
    <t>Transactis</t>
  </si>
  <si>
    <t>http://www.transactis.co.uk</t>
  </si>
  <si>
    <t>Transactis is a data management company that seeks to turn large volumes of data into actionable insight and inform decision-making</t>
  </si>
  <si>
    <t>Transparency Data</t>
  </si>
  <si>
    <t>http://www.transparencydata.co.uk/about-the-service.php</t>
  </si>
  <si>
    <t>Transparency Data is the company behind Scores on the Doors, a website and app that allows users to see how hygienic and well-managed food preparation is at listed premises in the UK</t>
  </si>
  <si>
    <t>Scores on the Doors uses open hygiene inspection data</t>
  </si>
  <si>
    <t>Transparent Chennai (Initiative by Institute of Financial Management and Research)</t>
  </si>
  <si>
    <t>http://www.transparentchennai.com/about/</t>
  </si>
  <si>
    <t>Transparent Chennai aggregates, creates and disseminates data and research about important civic issues facing Chennai, including those issues facing the poor. Transparent Chennai was recently selected to participate in the Exploring the Emerging Impacts of Open Data in Developing Countries (ODDC) project. 
They use interactive maps representing civic issues. They access open data using the Right to Information (RTI) Act and then act as data intermediaries to translate the open data into meaningful data for development. They involve community participation and compile freely available data to clearly define development issues in Chennai that can be used for policy making.</t>
  </si>
  <si>
    <t>Placr is a public-transport-data aggregator providing users, developers and operators with timetables, departures, routes and performance information</t>
  </si>
  <si>
    <t>ODI Startup: use open public transport data</t>
  </si>
  <si>
    <t>Traveline</t>
  </si>
  <si>
    <t>http://traveline.info/index.html</t>
  </si>
  <si>
    <t>Traveline Information Ltd is a partnership of transport operators and local authorities formed to provide impartial and comprehensive information on public transport</t>
  </si>
  <si>
    <t>Uses/Publishes open transport data</t>
  </si>
  <si>
    <t>TSO</t>
  </si>
  <si>
    <t>http://www.tso.co.uk/</t>
  </si>
  <si>
    <t>TSO (The Stationery Office) is an information management and publishing solutions company providing services, consultancy and infrastructure to the public sector.</t>
  </si>
  <si>
    <t>Facilitate government publishing, primarily through OpenUp organisation and platform</t>
  </si>
  <si>
    <t>TST Technologies India Pvt. Ltd.</t>
  </si>
  <si>
    <t>http://tsttechnologies.com/ServicesnProducts.aspx</t>
  </si>
  <si>
    <t>TST Technologies India Pvt. Ltd provides all the IT solutions under one roof from maintaining hardware to undertaking specialized assignments such as consultancy, Networking projects, Software development, corporate IT training and web solutions. Right from the initial site survey, to installation and after sales support, their friendly team is with its clients at every step. 
Experienced in the following GIS operations: land use or cover mapping, soil mapping, watershed analysis, flood plain mapping, disaster information and management system, electricity distribution, water resource mapping, comprehensive road information system, the organisation provides these services using open geographical data and satellite data.</t>
  </si>
  <si>
    <t>Dhirendra Kumar</t>
  </si>
  <si>
    <t>info@TSTTechnologies.com,  tst.technologies@gmail.com (Dhirendra Kumar)</t>
  </si>
  <si>
    <t>Tudor Reilly Health</t>
  </si>
  <si>
    <t>http://www.tudor-reilly.com/</t>
  </si>
  <si>
    <t>Tudor Reilly Health is a digital agency focused on health producing online epatient communities, media and blogger outreach, stakeholder engagement, event management and patient retention.</t>
  </si>
  <si>
    <t>The ePatients platform aggregates drug development data, some (or all) of which is open</t>
  </si>
  <si>
    <t>UK Green Building Council</t>
  </si>
  <si>
    <t>http://www.ukgbc.org/</t>
  </si>
  <si>
    <t>The UK Green Building Council (UKGBC) is a charity and membership organisation which campaigns for a sustainable built environment</t>
  </si>
  <si>
    <t>UK Health Forum</t>
  </si>
  <si>
    <t>http://www.ukhealthforum.org.uk/</t>
  </si>
  <si>
    <t>The UK Health Forum is a health charity providing policy research and development, epidemiological and economic modelling, and information provision on chronic diseases.</t>
  </si>
  <si>
    <t>Provides Prevention Information &amp; Evidence (P.I.E) eLibrary and weekly briefing service and Public Health eLearning Toolkit (PHeLT)</t>
  </si>
  <si>
    <t>Uneecops</t>
  </si>
  <si>
    <t>http://www.uneecops.com/gis_services.html</t>
  </si>
  <si>
    <t>Uneecops' innovative multi-platform solutions solve key business challenges by providing effective tools to interpret, interrogate and visualize high volumes of complex data, giving businesses the ability to make more insightful and timely decisions. They are the preferred partner for all GIS needs of the Indian government. 
The organization uses open geographical data and satellite data to provide a variety of geospatial services that support urban planning, flood mapping, forestry mapping, geologic mapping, landuse tracking by allowing these sectors to validate their decisions before implementation through meaningful visualizations.</t>
  </si>
  <si>
    <t>Karan Jain, Meenu Malhotra</t>
  </si>
  <si>
    <t>meenu.malhotra@uneecops.in, karan.jain@uneecops.com</t>
  </si>
  <si>
    <t>Universal Geoinformatics</t>
  </si>
  <si>
    <t>http://www.universalgeoinformatics.com/</t>
  </si>
  <si>
    <t>Universal Geoinformatics specializes in GIS &amp; Remote Sensing and offer the complete range of Geospatial techniques to make the best output of the GIS data. The organization uses open geographical data and satellite data to create visualizations of this data for decision making regarding field based activities like roadways and highways. The organization also represents in a virtual meaningful way socioeconomic and demographic data for better decision making by planners.</t>
  </si>
  <si>
    <t>Upbeat Technologies</t>
  </si>
  <si>
    <t>http://www.upbeattech.com/</t>
  </si>
  <si>
    <t>Upbeat Technologies is one of the fastest growing Products and Software based Company. It possesses not only the latest satellite technology products but also the most knowledgeable and experienced hands to offer most user friendly customized solutions.
It provides geospatial and mapping services to their clients who may be the government, the education sector, and the oil industry. These services are provided using open geographical data and satellite data and help the clients get field visualizations and take better decisions.</t>
  </si>
  <si>
    <t>Mr.Shiva Kumar</t>
  </si>
  <si>
    <t>info@upbeattech.com, upbeattech@gmail.com</t>
  </si>
  <si>
    <t>Variac Systems</t>
  </si>
  <si>
    <t>http://www.variacsystems.com/gisgeospatial.html</t>
  </si>
  <si>
    <t>Variac offers solutions towards creating a complete spatial map database that conforms to the specifications, requirements and format of the customer. It is able to take care of the complete mapping requirements of a customer, be it a consulting organization, mapping agency or an end user. The organization uses open geographical data and satellite data to provide document management, CAD engineering, and geospatial services to environmental consultants, telecommunications industry, energy and utilities sector, land information systems and mapping agencies.</t>
  </si>
  <si>
    <t>Srikant Sitaraman</t>
  </si>
  <si>
    <t>variac@vsnl.com</t>
  </si>
  <si>
    <t>Vector Head Info Solutions</t>
  </si>
  <si>
    <t>http://vectorhead.co.in/index.html</t>
  </si>
  <si>
    <t>Vector Head Info Solutions or VH Info Solutions is a Young, Dynamic and World-class, Multidisciplinary Consulting, Technology &amp; Outsourcing Service Provider Firm catering to GIS, AECO, IT/ITES and wider Techno Intensive Industry. Their services include GIS, photogrammetry, remote sensing, LiDAR, 3D city modelling, mapping and cartography.
The organization uses open geographical data and satellite data to provide geospatial visualizations to the following core industries: land administration and urban planning, utilities, oil and gas, transportation, environment, forestry and natural resources, emergency management/natural hazards, flood and coastal zone management, public health, mining.</t>
  </si>
  <si>
    <t>Akash Sood</t>
  </si>
  <si>
    <t>Asd@vectorhead.co.in</t>
  </si>
  <si>
    <t>Ventutec</t>
  </si>
  <si>
    <t>http://www.ventutec.com/</t>
  </si>
  <si>
    <t>Ventutec are a web and smartphone application development company</t>
  </si>
  <si>
    <t>Crime Finder uses open crime stats data</t>
  </si>
  <si>
    <t>Vidyuth</t>
  </si>
  <si>
    <t>http://www.vidyuth.org/</t>
  </si>
  <si>
    <t>Vidyuth aims to inspire young people to take proactive action to tackle social issues by giving them access to relevant information and resources. So far, they have dealt with the youth issue of ragging and also created patrolling squads along with the police. They have conducted workshops on the Right to Information act and will possibly use this to access open government data as a means to tackle other social issues in future.</t>
  </si>
  <si>
    <t>Anshuman Sinha</t>
  </si>
  <si>
    <t>Virgin Media</t>
  </si>
  <si>
    <t>http://www.virginmedia.com/</t>
  </si>
  <si>
    <t>Virgin Media is a quadruple-play telecommunications company providing fixed and mobile telephone, television and broadband internet services to businesses and consumers</t>
  </si>
  <si>
    <t>Visceral Business</t>
  </si>
  <si>
    <t>http://www.visceralbusiness.com/</t>
  </si>
  <si>
    <t>Visceral Business is a specialist change management, social business design and brand identity consultancy helping businesses and brands develop their social business performance</t>
  </si>
  <si>
    <t>Thought leadership, advocacy</t>
  </si>
  <si>
    <t>VocalEyes</t>
  </si>
  <si>
    <t>http://about.vocaleyes.org/</t>
  </si>
  <si>
    <t>VocalEyes is a digital tool that provides a transparent, democratic and engaging process for improving your organisation or local community</t>
  </si>
  <si>
    <t>Voice of Bigdata</t>
  </si>
  <si>
    <t>http://www.voiceofbigdata.com/index.html</t>
  </si>
  <si>
    <t>Voice of Bigdata specialises in real-time facial recognition technology.They analyse big chunks of data to recognise faces real-time, despite superficial changes in appearance.Their product Facial Signature can identify a person's face out of a crowd, extract that face from the rest of the scene and compare it to a set of database full of stored images and create a unique id.
They make use of open and sensor data in the form of algorithm that create unique numerical code that will represent a unique face in the database. Facial signature can be used at the airport, government agencies, public and private organizations, product development centres, retail stores and offshore development centres where security is of prime importance.</t>
  </si>
  <si>
    <t>Srinivas Kishan Anapu, Sri Voddapu, Sudhakar Akurathi , Mr. BLV Rao (CTO)</t>
  </si>
  <si>
    <t>kishan@voiceofbigdata.com, blvrao@insightsofdata.com</t>
  </si>
  <si>
    <t>Voluntary Action Sheffield</t>
  </si>
  <si>
    <t>http://www.vas.org.uk/</t>
  </si>
  <si>
    <t>Voluntary Action Sheffield (VAS) that seeks to help Sheffield's communities by supporting voluntary and community action in the city</t>
  </si>
  <si>
    <t>voXup</t>
  </si>
  <si>
    <t>http://www.voxup.co.uk/</t>
  </si>
  <si>
    <t>voXup is an online social enterprise that creates feedback loops on topics in local communities</t>
  </si>
  <si>
    <t>Wapmerr Consultancy and Services Pvt. Ltd.</t>
  </si>
  <si>
    <t>http://wapmerr.in/</t>
  </si>
  <si>
    <t>Wapmerr Consultancy and Services Pvt. Ltd. is one of the leaders in the development of innovative geo information technologies using 3D-Modeling and Navigation Systems. Their Technology provides a straight forward view of the urban environment, and can be used in the various fields of city and regional administration. 
It uses open geographical data and satellite data to provide services like Surveys, navigator, flood management, 3D city modelling, tsunami early warning system- which are usefiul in urbal planning and disaster management (ex: tech for flood management, tsunami early warning system)</t>
  </si>
  <si>
    <t>Ishfaq Mir</t>
  </si>
  <si>
    <t>info@wapmerr.in</t>
  </si>
  <si>
    <t>WATCH</t>
  </si>
  <si>
    <t>http://www.watchcharity.org.uk/</t>
  </si>
  <si>
    <t>WATCH is a local charity which provides a wide range of programmes seeking to secure, co-ordinate and manage resources for the social, economic and environmental improvement of the area, for the benefit of people living and working in Hillfields.</t>
  </si>
  <si>
    <t>We are Snook</t>
  </si>
  <si>
    <t>http://wearesnook.com/snook/</t>
  </si>
  <si>
    <t>Snook is a social service innovator which provides a range of services around collaboration, innovation and creativity in designing changing public services and entire social systems.</t>
  </si>
  <si>
    <t>Weaverbird Engineering and Technology</t>
  </si>
  <si>
    <t>http://www.weavertec.com/</t>
  </si>
  <si>
    <t>Weaverbird Engineering &amp; Technology Pvt. Ltd. (WET) is a young vibrant organization providing solutions in the domain of GIS, Remote Sensing, Surveying &amp; Engineering applications worldwide clients since 2003. The organization provides the following services : GIS, LiDAR, remote sensing, photgrammetry, wireless telecom, data management systems, CAD services, civil engineering, location based surveys. 
These services are provided to the Health, utilities, transport and environmental sector using open geographical data and satellite data. These sectors use the services provided by this organization to properly understand and visualize the area and market that they are working in.</t>
  </si>
  <si>
    <t>Manoj Kumar Das, Ranjita Das</t>
  </si>
  <si>
    <t>info@weavertec.com</t>
  </si>
  <si>
    <t>Web note technologies-Open Data Project Application</t>
  </si>
  <si>
    <t>https://www.erpnext.com/</t>
  </si>
  <si>
    <t>Web Note Technologies is an internet engineering company developing own open source solutions.They developed an application called Open data project for the Open Data Apps challenge by Nasscom and National Informatics Centre and were one of the finalists. The app is a platform to visualize, discuss and rate open data in India.
Their main product ERPNext.com is an Open Source integrated Enterprise Resource Planning (ERP) software. They make use of open data and helps users to choose their cloud services for hosting ERPNext. They have been hosting ERP applications on their platform and have the necessary skills and resources to ensure that users' ERP is running most of the time and have backups managed when things really go wrong. It helps a number of small brands in managing functions like Sales, Purchase, Billing, Order Tracking and also generates their website</t>
  </si>
  <si>
    <t>Rushabh Amit Mehta</t>
  </si>
  <si>
    <t>rmehta@gmail.com</t>
  </si>
  <si>
    <t>Where's This From?</t>
  </si>
  <si>
    <t>http://www.wheresthisfrom.com/</t>
  </si>
  <si>
    <t>Where's This From is an app that provides consumer information about the supply chain provenence of meat bought in UK supermarkets</t>
  </si>
  <si>
    <t>Uses open FSA data based on EU codes</t>
  </si>
  <si>
    <t>Which?</t>
  </si>
  <si>
    <t>http://www.which.co.uk/</t>
  </si>
  <si>
    <t>Which? is a not for profit consumers' association that exists to protect consumer interests and promote informed consumer choice by various means including provides customer reviews and expert advice</t>
  </si>
  <si>
    <t>White October</t>
  </si>
  <si>
    <t>http://www.whiteoctober.co.uk/</t>
  </si>
  <si>
    <t>White October is a web development company that creates web and mobile applications</t>
  </si>
  <si>
    <t>Whitstable Umbrella Centre</t>
  </si>
  <si>
    <t>http://www.umbrellacentre.co.uk/home/4584243677</t>
  </si>
  <si>
    <t>Whitstable Umbrella Centre provides a dynamic venue where people can find support through a wide range of activities</t>
  </si>
  <si>
    <t>Whythawk</t>
  </si>
  <si>
    <t>http://www.whythawk.com/</t>
  </si>
  <si>
    <t>Whythawk is an open data consultancy firm delivering integrated open data solutions, training, software and infrastructure development, and capacity-building for open knowledge data services</t>
  </si>
  <si>
    <t>ODI Supporter: delivers open data consulting, publishing software and training for open knowledge projects and leading open data portals</t>
  </si>
  <si>
    <t>World Health Partners</t>
  </si>
  <si>
    <t>http://worldhealthpartners.org/?p=1</t>
  </si>
  <si>
    <t>World Health Partners (WHP) is committed to delivering health and reproductive health services to rural and marginalized communities in the developing world. Their solutions involve telemedicine, infrastructure, incentives, holistic, regulation and scalable and sustainable. Leveraging existing social and economic infrastructure, making use of open and sensor data, they utilize the latest advances in communication, diagnostic and medical technology to establish large scale, cost-effective health service networks.It delivers health and reproductive services making local market forces work for vulnerable communities.</t>
  </si>
  <si>
    <t>Gopi Gopalakrishnan</t>
  </si>
  <si>
    <t>whp-india@worldhealthpartners.org</t>
  </si>
  <si>
    <t>Wragge Lawrence Graham &amp; Co</t>
  </si>
  <si>
    <t>http://www.wragge-law.com/</t>
  </si>
  <si>
    <t>Wragge Lawrence Graham &amp; Co is an international law firm providing full-service legal advice to clients worldwide</t>
  </si>
  <si>
    <t>WTI Advanced Technologies Ltd. (Wholly owned subsidiary of Tata Consultancy Services)</t>
  </si>
  <si>
    <t>http://www.wtiatl.com/index.html</t>
  </si>
  <si>
    <t>Through its state-of-the art delivery centre at Chennai, WTI Advanced Technologies Limited has executed several complex projects in Geo Spatial Data Management/Applications for discerning global customers. The organization provides Geospatial IT services, engineering services, data conversion services to organizations involved in utilities, town planning and environment by using open geographical data and satellite data. These services help the utilities, town planning, environment and land information sectors take better decisions by providing unique visualizations of the region of their operations and data related to those regions.</t>
  </si>
  <si>
    <t>Mr. A. V. Ramana</t>
  </si>
  <si>
    <t>info@wtiatl.com</t>
  </si>
  <si>
    <t>Xcelris Labs Ltd.</t>
  </si>
  <si>
    <t>http://www.xcelrisgenomics.com/</t>
  </si>
  <si>
    <t>Xcelris is a Specialty Contract Research and Services Organization delivering end to end solutions to global biotechnology community.Their services include, NextGen Whole Genome Sequencing, Transcriptome Sequencing using Next Gen Technology, SOLiD-SAGE Assay (Serial Analysis of Gene Expression) Micro/Small RNA Expression &amp; Discovery by ABI SOLiD V4.0, Metagenomics using GS FLX+ System, DNA Sequencing, Microbial identification, SNP Disovery &amp; Genotyping, Microsatellite Discovery and Genotyping, Gene Expression and Fingerprinting.
They use genomic data i.e quality data generation and bioinformatics to lead the way to a healthier way by partnering with biotech community across the globe delivering high quality value added healthcare solutions</t>
  </si>
  <si>
    <t>Surendra Chikara</t>
  </si>
  <si>
    <t>bdgenomics.corp@xcelrislabs.com,</t>
  </si>
  <si>
    <t>Xively</t>
  </si>
  <si>
    <t>https://secure.logmein.com/</t>
  </si>
  <si>
    <t>Xively is a division of LogMeIn Inc (LOGM), a global, public company that provides remote and cloud-based services</t>
  </si>
  <si>
    <t>Provides API resources</t>
  </si>
  <si>
    <t>http://www.yelp.co.uk/</t>
  </si>
  <si>
    <t>Yelp is an online urban guide and business review service that seeks to connect users with local business</t>
  </si>
  <si>
    <t>Yet2.com</t>
  </si>
  <si>
    <t>http://www.yet2.com/</t>
  </si>
  <si>
    <t>Yet2.com is a global technology marketplace specialising in open innovation</t>
  </si>
  <si>
    <t>Creates open data infrastructure</t>
  </si>
  <si>
    <t>Yorkshire Water</t>
  </si>
  <si>
    <t>http://www.yorkshirewater.com/</t>
  </si>
  <si>
    <t>Yorkshire Water is a water supply and treatment utility company providing water collection, treatment and distribution services in Yorkshire.</t>
  </si>
  <si>
    <t>YourBus-Recently acquired by Ibibo</t>
  </si>
  <si>
    <t>http://www.yourbus.in/index.html</t>
  </si>
  <si>
    <t>YourBus is an application that allows passengers and bus operators to track buses. YourBus application on a smartphone shows the location of your bus in real time on a map. It also tells you the arrival time at your pickup point. It provides SMS updates, useful particularly for those with feature phones. Bus operators are able to track their buses and get detailed analytics on punctuality and efficiency of their buses. They can sort this information by route, bus driver and vehicle number and also get estimated time of arrival reports and other weekly/daily location based reports.The application uses open geographical data and satellite data to track the arrival of the buses and therefore help to increase efficiency.</t>
  </si>
  <si>
    <t>Rajesh Mallipeddi</t>
  </si>
  <si>
    <t>rajesh@yourbus.in</t>
  </si>
  <si>
    <t>Zaizi</t>
  </si>
  <si>
    <t>http://www.zaizi.com/</t>
  </si>
  <si>
    <t>Zaizi is an open source software development company that provides software and technology consultancy and solutions</t>
  </si>
  <si>
    <t>Zizo</t>
  </si>
  <si>
    <t>http://zizo.co.uk/</t>
  </si>
  <si>
    <t>Zizo is a database management company that specialises in combining technologies to enhance user database performance</t>
  </si>
  <si>
    <t>Zoomin Softech Pvt. Ltd.</t>
  </si>
  <si>
    <t>http://www.zoominsoftech.com/</t>
  </si>
  <si>
    <t>Zoomin Softech Pvt. Ltd., (ZOOMIN) is established with the mission objective of adopting technological interventions to provide management solutions to the current topical issues in Development Sector. Zoomin backed by vast domain experience and expertise in handling large clientele, provides tailor made solutions for field oriented services to customized application design, development and deployment. These services are provided using open geographical data and satellite data and are useful in  urban planning, infrastructure development, utilities, land revenue administration, demography and general administrations, electioneering process. Zoomin has grown to provide solutions on:
1.        Spatial Mapping and Web Solutions
2.        Travel – Time Tool
3.        Mapping Software and
4.        Geo-coding
5.        Business Information Processing and Solutions</t>
  </si>
  <si>
    <t>Dr V.R Hegde</t>
  </si>
  <si>
    <t>mail@zoominsoftech.com  vrhegde@zoominsoftech.com</t>
  </si>
  <si>
    <t>Zopa</t>
  </si>
  <si>
    <t>http://www.zopa.com/</t>
  </si>
  <si>
    <t>Zopa is a peer-to-peer lending facilitator which brings together individuals who have money to lend and individuals who wish to borrow money</t>
  </si>
  <si>
    <t>Publish market interest rate and risk data in an open format</t>
  </si>
  <si>
    <t>Zubed Geospatial</t>
  </si>
  <si>
    <t>http://www.triadgroup.plc.uk/</t>
  </si>
  <si>
    <t>Zubed Geospatial is a location intelligence business providing web-GIS mapping solutions for organisations that want to identify geographical patterns in their data, or provide a user friendly map-based interface to their products or services</t>
  </si>
  <si>
    <t>Uses various datasets and facilitates mapping of open data</t>
  </si>
  <si>
    <t>http://lavacunacontralacorrupcion.blogspot.mx/2014_05_01_archive.html</t>
  </si>
  <si>
    <t>https://www.youtube.com/watch?v=XmSh2LfbNRM</t>
  </si>
  <si>
    <t>1) La Transparencia en el origen y destino de los recursos públicos desde los municipios y</t>
  </si>
  <si>
    <t>2) La participación preventiva de los ciudadanos, como contrapeso efectivo y oportuno contra la corrupción o desviación de los recursos públicos de funcionarios de cualquier partido político.</t>
  </si>
  <si>
    <t>http://lavacunacontralacorrupcion.blogspot.mx/2014_02_01_archive.html</t>
  </si>
  <si>
    <t>Beneficia a ciudadanos en general y la actividad de los empresarios:
 1) Al empoderar a los ciudadanos para que sean contrapeso preventivo y oportuno contra la corrupción, y puedan participar en la deliberación de prioridades y toma de decisiones en el uso de los recursos públicos de procedencia federal, estatal y municipal;
 2) A los empresarios, les dará certeza de que, para hacer sus inversiones no tienen que pagar comisiones o beneficios indebidos a funcionarios y la inversión pública y privada, tendrá un mayor efecto multiplicador en beneficio del crecimiento del mercado interno, que redundará favorablemente en el desarrollo económico y humano y social de la población en los municipios.</t>
  </si>
  <si>
    <t>http://yourcandidates.org.uk</t>
  </si>
  <si>
    <t>Combines data on who is running for parliament in each constituency with other information relevant for voters, such as party policies and poll predictions.</t>
  </si>
  <si>
    <t>Aleksi Knuutila</t>
  </si>
  <si>
    <t>aleksi.knuutila@gmail.com</t>
  </si>
  <si>
    <t>Increase voter participation and knowledge by presenting engaging information. Also, make it more likely that voters will build links with representatives through social media.</t>
  </si>
  <si>
    <t>SiteCompli</t>
  </si>
  <si>
    <t>Housing;USA;National</t>
  </si>
  <si>
    <t>Socrata Userbase</t>
  </si>
  <si>
    <t>Boulevard 4</t>
  </si>
  <si>
    <t>http://www.boulevard4.com/</t>
  </si>
  <si>
    <t>Datos Buenos Aires</t>
  </si>
  <si>
    <t>http://www.buenosaires.gob.ar/aplicacionesmoviles/calles-historicas</t>
  </si>
  <si>
    <t>EntrenaYa</t>
  </si>
  <si>
    <t>http://www.entrenaya.com/</t>
  </si>
  <si>
    <t>EntrenaYa es una plataforma web dedicada exclusivamente a la promoción y difusión de las actividades de gimnasios y otros establecimientos de la industria del fitness como Crossfit, Yoga, Pilates, Danza, entre otros.</t>
  </si>
  <si>
    <t>Nicolas, Javier</t>
  </si>
  <si>
    <t>nicolas@entrenaya.com.ar, javier@entrenaya.com.ar</t>
  </si>
  <si>
    <t>http://www.buenosaires.gob.ar/aplicacionesmoviles/entrenaya</t>
  </si>
  <si>
    <t>Punto a Partes</t>
  </si>
  <si>
    <t>http://www.puntoapartes.com.ar/</t>
  </si>
  <si>
    <t>info@puntoapartes.com.ar, apps@puntoapartes.com.ar</t>
  </si>
  <si>
    <t>http://www.buenosaires.gob.ar/aplicacionesmoviles/donde</t>
  </si>
  <si>
    <t>Paisanos Creando</t>
  </si>
  <si>
    <t>http://paisanoscreando.com/</t>
  </si>
  <si>
    <t>Paisanos-Creando es la unión de un equipo multidisciplinario especializado en la estrategia, el arte, el pensamiento creativo, la experiencia de usuario, el diseño visual, el desarrollo de software, el contenido, la tecnología y los medios de comunicación para ayudar a las empresas que tienen un fuerte enfoque en el marketing moderno.</t>
  </si>
  <si>
    <t>a.vazquez@paisanoscreando.com</t>
  </si>
  <si>
    <t>http://www.buenosaires.gob.ar/aplicacionesmoviles/me-voy-en-bici</t>
  </si>
  <si>
    <t>Cruz Roja Argentina</t>
  </si>
  <si>
    <t>http://cruzroja.org.ar/</t>
  </si>
  <si>
    <t>info@cruzroja.org.ar</t>
  </si>
  <si>
    <t>http://www.buenosaires.gob.ar/aplicacionesmoviles/cruz-roja-argentina</t>
  </si>
  <si>
    <t>Acadeu</t>
  </si>
  <si>
    <t>https://acadeu.com/</t>
  </si>
  <si>
    <t>Acadeu es una herramienta web colaborativa orientada a mejorar la educación.</t>
  </si>
  <si>
    <t>info@acadeu.com</t>
  </si>
  <si>
    <t>(+54-11)5263-0579</t>
  </si>
  <si>
    <t>http://www.buenosaires.gob.ar/aplicacionesmoviles/acadeu</t>
  </si>
  <si>
    <t>Mushapps</t>
  </si>
  <si>
    <t>http://mushapps.com/</t>
  </si>
  <si>
    <t>Mushapps has been a specialist in iOS application development since 2010, but with a professional background of more than 10 years in the software industry.</t>
  </si>
  <si>
    <t>http://www.buenosaires.gob.ar/aplicacionesmoviles/biciplus</t>
  </si>
  <si>
    <t>Fundación Huésped</t>
  </si>
  <si>
    <t>http://www.huesped.org.ar/</t>
  </si>
  <si>
    <t>Fundación Huésped es un centro de referencia de relevancia nacional e internacional en la investigación en VIH/sida, hepatitis y otras enfermedades transmisibles y en la formación de recursos del equipo de salud.</t>
  </si>
  <si>
    <t>info@huesped.org.ar</t>
  </si>
  <si>
    <t>http://www.buenosaires.gob.ar/aplicacionesmoviles/donde-0</t>
  </si>
  <si>
    <t>Laboratorio de Gobierno</t>
  </si>
  <si>
    <t>https://www.facebook.com/labgcba</t>
  </si>
  <si>
    <t>Espacio de innovación abierta para conectar equipos, acelerar ideas e incubar proyectos innovadores.</t>
  </si>
  <si>
    <t>http://blog.properati.com.ar/el-platano-de-la-discordia/</t>
  </si>
  <si>
    <t>La Nacion</t>
  </si>
  <si>
    <t>http://www.lanacion.com.ar/</t>
  </si>
  <si>
    <t>La Nación es un diario matutino de Argentina</t>
  </si>
  <si>
    <t>http://www.lanacion.com.ar/1760016-reclamos-barrios-buenos-aires-2014</t>
  </si>
  <si>
    <t>Open Knowledge Denmark</t>
  </si>
  <si>
    <t>http://dk.okfn.org</t>
  </si>
  <si>
    <t>As part of the Open Knowledge Network, Open Knowledge Denmark strive to spread and combine Open Data networks.</t>
  </si>
  <si>
    <t>DNK</t>
  </si>
  <si>
    <t>Niels Kaaber Rasmussen </t>
  </si>
  <si>
    <t>@okfnDK, Niels: niels@buhlrasmussen.eu</t>
  </si>
  <si>
    <t>Danish Supermarckets Developer </t>
  </si>
  <si>
    <t>https://developer.dansksupermarked.dk/v1/overview/</t>
  </si>
  <si>
    <t>The first version of the Dansk Supermarked public API, an open source for developers to information about all of our 1200+ stores: Country, city, zip code, GPS coordinates and of course opening hours.</t>
  </si>
  <si>
    <t>apisupport@dsg.dk</t>
  </si>
  <si>
    <t>^ Provider of Danish Store Open Data  </t>
  </si>
  <si>
    <t>OrganiCity Aarhus</t>
  </si>
  <si>
    <t>Other (EU consortium)</t>
  </si>
  <si>
    <t>http://organicity.projects.cavi.au.dk/</t>
  </si>
  <si>
    <t>OrganiCity consists of a close collaboration between Aarhus, London and Santander – three cities which all have extensive experience using so-called “smart city” technologies. These technologies include ways to improve cities’ services for citizens while at the same time reducing resource consumption.</t>
  </si>
  <si>
    <t>Aarhus</t>
  </si>
  <si>
    <t>http://organicity.projects.cavi.au.dk/organicity</t>
  </si>
  <si>
    <t>Kl7</t>
  </si>
  <si>
    <t>http://kl7.dk/en</t>
  </si>
  <si>
    <t>We use Behavioural Science and evidence for solving business problems. We call this Behavioural Design.</t>
  </si>
  <si>
    <t>Copenhagen</t>
  </si>
  <si>
    <t>Mikkel Holm Sørensen (Managing Director), Simon Bentholm (Behavioural Designer - Data)</t>
  </si>
  <si>
    <t>Mikkel: mikkel@kl7.dk, Simon: simon@kl7.dk, </t>
  </si>
  <si>
    <t>Simon: 0045 6016 3091</t>
  </si>
  <si>
    <t>^ Data Analytics Firm </t>
  </si>
  <si>
    <t>Sundhedsinnovation Sjælland (Zealand Healthcare Innovation)</t>
  </si>
  <si>
    <t>http://sundhedsinnovationsjaelland.dk/projekter/open-data</t>
  </si>
  <si>
    <t>How can we create growth and innovation with Open Data?</t>
  </si>
  <si>
    <t>Berit Madsen (Communication)</t>
  </si>
  <si>
    <t>berma@regionsjaelland.dk</t>
  </si>
  <si>
    <t>0045 61 14 09 77</t>
  </si>
  <si>
    <t>Xpleo </t>
  </si>
  <si>
    <t>http://xpleo.dk/</t>
  </si>
  <si>
    <t>With Xpleo you can communicate directly with designers, manufactures, politicians and of course all other users - for free. Using a simple vote-system you can have your say on anything, even in languages you don’t understand. No typing, nothing lost in translation, just point, click and vote.</t>
  </si>
  <si>
    <t>Nicholas (Content/Administration) Jesper (Content/Administration)</t>
  </si>
  <si>
    <t>http://xpleo.dk/contact</t>
  </si>
  <si>
    <t>Statistikbank API (Statistics Bank API)</t>
  </si>
  <si>
    <t>http://www.dst.dk/da/Statistik/statistikbanken/api.aspx</t>
  </si>
  <si>
    <t>Denmark's Statistics API to Statistics Bank gives direct access to most of its dataset for open use by everyone.</t>
  </si>
  <si>
    <t>dst@dst.dk</t>
  </si>
  <si>
    <t>0045 39 17 31 50</t>
  </si>
  <si>
    <t>OpenData.se                 </t>
  </si>
  <si>
    <t>http://www.opendata.se/</t>
  </si>
  <si>
    <t>Opendata.se provide an overview of Open Data sources available in Sweden. </t>
  </si>
  <si>
    <t>SWE</t>
  </si>
  <si>
    <t>ted@tedvalentin.com </t>
  </si>
  <si>
    <t>Openaid.se</t>
  </si>
  <si>
    <t>http://www.openaid.se/</t>
  </si>
  <si>
    <t>Openaid.se is a web-based information service about Swedish aid built on open government data.</t>
  </si>
  <si>
    <t> openaid@sida.se</t>
  </si>
  <si>
    <t>Statistics Sweden</t>
  </si>
  <si>
    <t>http://www.scb.se/en_/About-us/Open-data-API/</t>
  </si>
  <si>
    <t>Companies and private individuals have access to Statistics Sweden’s statistics, which can be used for new products and services. This involves data from the Statistical Database that can be digitally transferred via a programming interface called an API.</t>
  </si>
  <si>
    <t>Stockholm</t>
  </si>
  <si>
    <t>scb@scb.se</t>
  </si>
  <si>
    <t>0046 8 506 948 01</t>
  </si>
  <si>
    <t>Open Knowledge Sweden</t>
  </si>
  <si>
    <t>http://se.okfn.org/</t>
  </si>
  <si>
    <t>As part of the Open Knowledge Network, Open Knowledge Sweden strive to spread and combine Open Data networks.</t>
  </si>
  <si>
    <t>Mattias Axell (Community Manager)</t>
  </si>
  <si>
    <t>mattias@okfn.se</t>
  </si>
  <si>
    <t>Open Nordics</t>
  </si>
  <si>
    <t>http://www.opennordics.org/</t>
  </si>
  <si>
    <t>Nordic Open Data Ecosystem is an attempt to incubate Open Knowledge co-operation within the Nordic region.</t>
  </si>
  <si>
    <t> opennordics@kika.dk</t>
  </si>
  <si>
    <t>0045 22 25 69 51</t>
  </si>
  <si>
    <t>Ninnova </t>
  </si>
  <si>
    <t>http://www.vinnova.se/sv/Var-verksamhet/Strategiskt-viktiga-kunskapsomraden/Tjanster-och-IKT/Oppen-innovation/Oppna-data/</t>
  </si>
  <si>
    <t>VINNOVA is a Swedish government agency working under the Ministry of Enterprise, Energy and Communications and acts as the national contact agency for the EU Framework Programme for R&amp;D. We are also the Swedish government’s expert agency within the field of innovation policy.</t>
  </si>
  <si>
    <t>VINNOVA@VINNOVA.se</t>
  </si>
  <si>
    <t>0046 8 473 30 00  </t>
  </si>
  <si>
    <t>OpenNorth</t>
  </si>
  <si>
    <t>http://www.opennorth.se/</t>
  </si>
  <si>
    <t>OpenNorth is a partnership between Luleå University of Technology, Skelleteå county, Umeå county, and University of Umeå. The partnership revolves around Open Data and aims to increase both supply and reuse of data. </t>
  </si>
  <si>
    <t>Luleå</t>
  </si>
  <si>
    <t>http://www.opennorth.se/?page_id=11</t>
  </si>
  <si>
    <t>unclear what the work is</t>
  </si>
  <si>
    <t>data.norge.no</t>
  </si>
  <si>
    <t>http://data.norge.no/</t>
  </si>
  <si>
    <t>Data.norge.no provide an overview of Open Data sources available in Norway. </t>
  </si>
  <si>
    <t>NOR</t>
  </si>
  <si>
    <t>opnedata@difi.no</t>
  </si>
  <si>
    <t>0047 22 45 10 00</t>
  </si>
  <si>
    <t>Septima</t>
  </si>
  <si>
    <t>http://www.septima.dk/</t>
  </si>
  <si>
    <t>Septima provides consulting, system development, services and products that ensure the optimal use of spatial data</t>
  </si>
  <si>
    <t>Niels kjellow (Founder), Karsten Pihl (Founder)</t>
  </si>
  <si>
    <t>
kontakt@septima.dk</t>
  </si>
  <si>
    <t>0045 7230 0672</t>
  </si>
  <si>
    <t>Geomatic </t>
  </si>
  <si>
    <t>http://www.geomatic.dk/</t>
  </si>
  <si>
    <t>Geomatic is a Nordic development and knowledge center specializing in geographic and demographic data analysis, business intelligence and segmentation. </t>
  </si>
  <si>
    <t>Martin K. Glarvig (CEO), Lars Groth (Market Manager/Partner)</t>
  </si>
  <si>
    <t>Martin: mkg@geomatic.dk, Lars: lag@geomatic.dk, general:info@geomatic.dk </t>
  </si>
  <si>
    <t>0045 7020 5046 </t>
  </si>
  <si>
    <t>Findtoilet</t>
  </si>
  <si>
    <t>http://beta.findtoilet.dk/</t>
  </si>
  <si>
    <t>A woman in Denmark built findtoilet.dk, which shows all the Danish public toilets, so that people with bladder problems can now trust themselves to go out more again.</t>
  </si>
  <si>
    <t>Tine Muller</t>
  </si>
  <si>
    <t>tinem@email.dk</t>
  </si>
  <si>
    <t>Dopter</t>
  </si>
  <si>
    <t>http://dopter.se/</t>
  </si>
  <si>
    <t>We are a Swedish company and many of our customers are Swedish companies or the government, eg Trafiklab.se, media companies, municipalities and Nobel Media. What we can help with the consulting services around the APIs and open data.</t>
  </si>
  <si>
    <t>Andreas Krohn (API), Kemie Guaida (UI Designer)</t>
  </si>
  <si>
    <t>andreas: andreas@dopter.se, kemie: kemie@dopter.se</t>
  </si>
  <si>
    <t>0046 (0)709 780 794</t>
  </si>
  <si>
    <t>ODI Gothenburg</t>
  </si>
  <si>
    <t>https://theodi.org/nodes/gothenburg</t>
  </si>
  <si>
    <t>Big Apps West Sweden is a unique platform for developers, entrepreneurs, open data enthusiasts and designers among others to develop and market new apps and digital solutions.</t>
  </si>
  <si>
    <t>Gothenburg</t>
  </si>
  <si>
    <t>Karin Ahlin</t>
  </si>
  <si>
    <t>@karinahlin, karin@bigapps.se</t>
  </si>
  <si>
    <t>0046 7084 63372</t>
  </si>
  <si>
    <t>Meta Solutions</t>
  </si>
  <si>
    <t>http://metasolutions.se/</t>
  </si>
  <si>
    <t>MetaSolutions is a company based in Sweden, dedicated to innovative solutions for advanced information management with a focus on modern Web architecture and Linked Data.</t>
  </si>
  <si>
    <t>Hannes Ebner (Co-founder), Matthias Palmer (Co-founder)</t>
  </si>
  <si>
    <t>info@metasolutions.se</t>
  </si>
  <si>
    <t>Code for Africa</t>
  </si>
  <si>
    <t>http://www.codeforafrica.org/</t>
  </si>
  <si>
    <t>Code for America</t>
  </si>
  <si>
    <t>Code for Nigeria</t>
  </si>
  <si>
    <t>Website down</t>
  </si>
  <si>
    <t>Hacking Monterrey</t>
  </si>
  <si>
    <t>Open Brazil</t>
  </si>
  <si>
    <t>http://openbrazil.org/</t>
  </si>
  <si>
    <t>Come join developers, designers, nerds, data geeks, leaders, and idea-makers who volunteer to help government and civic organizations adopt open web technologies for Brazil. We are technology and civic activists fostering community-authored projects.</t>
  </si>
  <si>
    <t>Avoin Ministry (Open Ministry)</t>
  </si>
  <si>
    <t>http://www.avoinministerio.fi/</t>
  </si>
  <si>
    <t>Open the Ministry is a service aimed at producing crowdsourcing that enables high-quality civic initiatives. Anyone can submit their own ideas for a legislative initiative and comment on other people's ideas under his own name. </t>
  </si>
  <si>
    <t>Center for Neighborhood Technology</t>
  </si>
  <si>
    <t>http://www.cnt.org/</t>
  </si>
  <si>
    <t>CNT delivers game-changing research, tools, and solutions to create sustainable + equitable communities.</t>
  </si>
  <si>
    <t>Created Transit Future</t>
  </si>
  <si>
    <t>Get Opinionated</t>
  </si>
  <si>
    <t>null; DEU; null</t>
  </si>
  <si>
    <t>new: http://codefor.de/projekte/ </t>
  </si>
  <si>
    <t>Duplicate of Code For...</t>
  </si>
  <si>
    <t>Loomio</t>
  </si>
  <si>
    <t>https://www.loomio.org/</t>
  </si>
  <si>
    <t>Loomio empowers organisations and communities to turn discussion into action, wherever people are. It is an online tool for collaborative decision-making, built by a team of technologists, activists and social entrepreneurs in New Zealand.</t>
  </si>
  <si>
    <t>NZL</t>
  </si>
  <si>
    <t>contact@loomio.org</t>
  </si>
  <si>
    <t>Wasa2il</t>
  </si>
  <si>
    <t>https://x.piratar.is</t>
  </si>
  <si>
    <t>Wasa2il is a participatory democracy software project. It is based around the core idea of polities - political entities - which users of the system can join or leave, make proposals in, alter existing proposals, and adopt laws to self-govern.</t>
  </si>
  <si>
    <t>skraning@piratar.is</t>
  </si>
  <si>
    <t>A PETICIÓ EDICIONS</t>
  </si>
  <si>
    <t>datos.gob.es</t>
  </si>
  <si>
    <t>ABC Concursos</t>
  </si>
  <si>
    <t>Absis</t>
  </si>
  <si>
    <t>Act 2Lead</t>
  </si>
  <si>
    <t>Ad Hoc Investigación de Mercados, S.L.</t>
  </si>
  <si>
    <t>Adams</t>
  </si>
  <si>
    <t>ADG - Estudios de Mercado</t>
  </si>
  <si>
    <t>Adimen Investigación, S.L.</t>
  </si>
  <si>
    <t>ADSL Zone</t>
  </si>
  <si>
    <t>Advice Strategic Consultants, S.L.</t>
  </si>
  <si>
    <t>Aema Hispanica, S.L.</t>
  </si>
  <si>
    <t>Afinet Mediterránea, S.L.</t>
  </si>
  <si>
    <t>Ágora Estudios de Mercado, S.L.</t>
  </si>
  <si>
    <t>Agora Networks SL</t>
  </si>
  <si>
    <t>AHORRE LUZ SL</t>
  </si>
  <si>
    <t>Ahorre luz.es</t>
  </si>
  <si>
    <t>Álava Reyes Consultores, S.L.</t>
  </si>
  <si>
    <t>Alben Ingeniería y Marketing</t>
  </si>
  <si>
    <t>Alimarket</t>
  </si>
  <si>
    <t>Alma Media</t>
  </si>
  <si>
    <t>Alpred, S.L.</t>
  </si>
  <si>
    <t>Alter Experience, S.L.</t>
  </si>
  <si>
    <t>AM Research</t>
  </si>
  <si>
    <t>Amber Marketing Research &amp; Consulting</t>
  </si>
  <si>
    <t>Amint Consulting Company, S.L.</t>
  </si>
  <si>
    <t>Análisis e Investigación SL</t>
  </si>
  <si>
    <t>Análisis e Investigación, S.L.</t>
  </si>
  <si>
    <t>Análisis y Servicios de Marketing, S.A.- ASM Grupo</t>
  </si>
  <si>
    <t>Andago Ingeniería SL</t>
  </si>
  <si>
    <t>ANSWARE</t>
  </si>
  <si>
    <t>Antonio Valdivia Consultores</t>
  </si>
  <si>
    <t>Aranzadi</t>
  </si>
  <si>
    <t>Ardan</t>
  </si>
  <si>
    <t>Arvato</t>
  </si>
  <si>
    <t>Asep (Anál. Soc., Económ. y Polít.), S.A.</t>
  </si>
  <si>
    <t>Así da gusto</t>
  </si>
  <si>
    <t>Asnef-Equifax</t>
  </si>
  <si>
    <t>Asomo</t>
  </si>
  <si>
    <t>Atento Servicios Técnicos y Consultoría, S.L.</t>
  </si>
  <si>
    <t>Atmosferica Productos Meteorologicos</t>
  </si>
  <si>
    <t>ATOS SPAIN SA</t>
  </si>
  <si>
    <t>Atres Advertising, S.L.U.</t>
  </si>
  <si>
    <t>Autoplus</t>
  </si>
  <si>
    <t>Avalón</t>
  </si>
  <si>
    <t>Avante</t>
  </si>
  <si>
    <t>Axesor Grupo Infotel</t>
  </si>
  <si>
    <t>Bajolalínea, S.A.</t>
  </si>
  <si>
    <t>BANKIMIA</t>
  </si>
  <si>
    <t>Baratz</t>
  </si>
  <si>
    <t>Bayes Forecast</t>
  </si>
  <si>
    <t>Benosque Proyectos, S.L.</t>
  </si>
  <si>
    <t>Berbés Asociados</t>
  </si>
  <si>
    <t>Bestiario</t>
  </si>
  <si>
    <t>Big Band Inspire your Brand, S.L.</t>
  </si>
  <si>
    <t>Bitcarrier</t>
  </si>
  <si>
    <t>Bityvip Business Solutions</t>
  </si>
  <si>
    <t>Bizilan, S.A.</t>
  </si>
  <si>
    <t>Block de Ideas, S.L</t>
  </si>
  <si>
    <t>Bolsa.es</t>
  </si>
  <si>
    <t>Bolsagrafica.com</t>
  </si>
  <si>
    <t>Bolsamanía</t>
  </si>
  <si>
    <t>Brekia Data</t>
  </si>
  <si>
    <t>Business Quality Research, S.L.</t>
  </si>
  <si>
    <t>Caleidoscopia Grupo de Investigación</t>
  </si>
  <si>
    <t>Camerdata</t>
  </si>
  <si>
    <t>Capital Media</t>
  </si>
  <si>
    <t>Carritus</t>
  </si>
  <si>
    <t>Cartografia E Medicions, S.L.</t>
  </si>
  <si>
    <t>Cegedim Strategic Data</t>
  </si>
  <si>
    <t>Central de Análisis de Balance SA</t>
  </si>
  <si>
    <t>Centro De Estudios Financieros</t>
  </si>
  <si>
    <t>CENTRO DE OBSERVACION Y TELEDETECCION ESPACIAL S.A. (COTESA)</t>
  </si>
  <si>
    <t>Centro de Plastificados</t>
  </si>
  <si>
    <t>CHF Research</t>
  </si>
  <si>
    <t>CICtourGUNE</t>
  </si>
  <si>
    <t>Cides, Estudios de Mercado, S.L.</t>
  </si>
  <si>
    <t>Cies, S.L.</t>
  </si>
  <si>
    <t>Cimec Investigación, S.L.</t>
  </si>
  <si>
    <t>Cimop, S.A.</t>
  </si>
  <si>
    <t>Cipesa</t>
  </si>
  <si>
    <t>CITIC</t>
  </si>
  <si>
    <t>Citiservi</t>
  </si>
  <si>
    <t>City Hood</t>
  </si>
  <si>
    <t>Clevermaps</t>
  </si>
  <si>
    <t>Click Trade</t>
  </si>
  <si>
    <t>Code&amp;Syntax</t>
  </si>
  <si>
    <t>Collaborabrands, S.A.</t>
  </si>
  <si>
    <t>Commentia, S.C</t>
  </si>
  <si>
    <t>Comogastan.com</t>
  </si>
  <si>
    <t>Compara dentistas</t>
  </si>
  <si>
    <t>Comparador Total</t>
  </si>
  <si>
    <t>Comparatifasenergia.es</t>
  </si>
  <si>
    <t>Concursos Públicos</t>
  </si>
  <si>
    <t>Conecta Research &amp; Consulting</t>
  </si>
  <si>
    <t>Conento, S.L.</t>
  </si>
  <si>
    <t>Confidalia Data</t>
  </si>
  <si>
    <t>Consumolab</t>
  </si>
  <si>
    <t>Contraluz Investigación y Consultoría Social, S.L.</t>
  </si>
  <si>
    <t>Conzoom f S.L. focus on consumers</t>
  </si>
  <si>
    <t>CoREGISTROS 2013</t>
  </si>
  <si>
    <t>CSD</t>
  </si>
  <si>
    <t>Cti Tecnologia Y Gestion</t>
  </si>
  <si>
    <t>Cuestiona. Est. de Mercado y Opinión Pública S.L</t>
  </si>
  <si>
    <t>Cylstat Asesoramiento Estadístico SL</t>
  </si>
  <si>
    <t>Darts-Ip Case Law</t>
  </si>
  <si>
    <t>Data shop</t>
  </si>
  <si>
    <t>Data’n’Press</t>
  </si>
  <si>
    <t>Datacentric</t>
  </si>
  <si>
    <t>Datasalt</t>
  </si>
  <si>
    <t>Dato Capital</t>
  </si>
  <si>
    <t>Datum Store</t>
  </si>
  <si>
    <t>Deker Consultores Marketing</t>
  </si>
  <si>
    <t>Demo NRC, S.L.U.</t>
  </si>
  <si>
    <t>Demométrica, S.L.</t>
  </si>
  <si>
    <t>Dentsu Aegis Network Iberia, S.L.U.</t>
  </si>
  <si>
    <t>Deplat (Desarrollo Y Planificación Territorial, S.L.)</t>
  </si>
  <si>
    <t>Desidedatum</t>
  </si>
  <si>
    <t>Desoños</t>
  </si>
  <si>
    <t>Dialogs &amp; Beyond</t>
  </si>
  <si>
    <t>Dices</t>
  </si>
  <si>
    <t>Dif Broker</t>
  </si>
  <si>
    <t>Difusion Juridica Y Temas De Actualidad, S.A.</t>
  </si>
  <si>
    <t>DIMAP DIGITAL IMAGE PROCCOSSING S.L.</t>
  </si>
  <si>
    <t>Doxa, S.A.</t>
  </si>
  <si>
    <t>Ducksboard</t>
  </si>
  <si>
    <t>Dvuelta Asistencia Legal, S.L</t>
  </si>
  <si>
    <t>Dykinson S.L</t>
  </si>
  <si>
    <t>Econet SL</t>
  </si>
  <si>
    <t>Editorial de Negocios, S.L.</t>
  </si>
  <si>
    <t>Editorial Francis Lefebvre</t>
  </si>
  <si>
    <t>Editorial Juridica Sepin</t>
  </si>
  <si>
    <t>Editorial Mad, S.L.</t>
  </si>
  <si>
    <t>Editorial Tecnos</t>
  </si>
  <si>
    <t>Editorial Tirant Lo Blanch</t>
  </si>
  <si>
    <t>Eibisa Norte, S.L.</t>
  </si>
  <si>
    <t>EINSTEINNET S.L.</t>
  </si>
  <si>
    <t>Elimco, Soluciones Integrales, S.A.</t>
  </si>
  <si>
    <t>Emagister, Servicios de Formación, S.L.</t>
  </si>
  <si>
    <t>Emergia</t>
  </si>
  <si>
    <t>EMO INSIGHTS reinventing research</t>
  </si>
  <si>
    <t>Empirica Influentials &amp; Research</t>
  </si>
  <si>
    <t>Enchufados</t>
  </si>
  <si>
    <t>Enciclopèdia Catalana, S.A.</t>
  </si>
  <si>
    <t>Enquest Estudios, S.L.U.</t>
  </si>
  <si>
    <t>Entona</t>
  </si>
  <si>
    <t>Entusiasmo y mucho valor.dos, S.L.</t>
  </si>
  <si>
    <t>eprivacidad</t>
  </si>
  <si>
    <t>Eptisa</t>
  </si>
  <si>
    <t>Ergates</t>
  </si>
  <si>
    <t>ESRI ESPAÑA GEOSISTEMAS, S.A.</t>
  </si>
  <si>
    <t>Estinca Ingenieria Cartografica</t>
  </si>
  <si>
    <t>Estudio Silvia Roca, S.L.</t>
  </si>
  <si>
    <t>Estudios de Opinión y Mercado, Investrategia, S.L.</t>
  </si>
  <si>
    <t>Estudios Gis S.L.</t>
  </si>
  <si>
    <t>Euroalert.net</t>
  </si>
  <si>
    <t>Europ Assistance</t>
  </si>
  <si>
    <t>Europea De Derecho (del Grupo Wolters Kluwer)</t>
  </si>
  <si>
    <t>Ezentis</t>
  </si>
  <si>
    <t>Farisa Asesores y Consultores, S.L.</t>
  </si>
  <si>
    <t>Ficheros asnef</t>
  </si>
  <si>
    <t>FIM Ibérica</t>
  </si>
  <si>
    <t>Financial Red</t>
  </si>
  <si>
    <t>Flash Maps</t>
  </si>
  <si>
    <t>Focus Media, S.L.</t>
  </si>
  <si>
    <t>Formaten SLU</t>
  </si>
  <si>
    <t>Gabinet d`Estudis Socials i Opinió Pública, S.L.</t>
  </si>
  <si>
    <t>Gabinete Profesional Santolalla</t>
  </si>
  <si>
    <t>Gage Data, S.L.</t>
  </si>
  <si>
    <t>Gaia Investigación y Consultoría, S.L.</t>
  </si>
  <si>
    <t>Geoactio (Alestis Consulting SL)</t>
  </si>
  <si>
    <t>GEOGRAMA S.L.</t>
  </si>
  <si>
    <t>Geovirtual</t>
  </si>
  <si>
    <t>Gestiker, Estudios de Mercado y Opinión, S.L.</t>
  </si>
  <si>
    <t>Gestión Tributaria Territorial</t>
  </si>
  <si>
    <t>Gestionet Multimedia</t>
  </si>
  <si>
    <t>Gestions Urquizar (Grupo Incofisa, Informacion Comercial)</t>
  </si>
  <si>
    <t>GfK</t>
  </si>
  <si>
    <t>GfK Emer Ad Hoc Research, S.L.</t>
  </si>
  <si>
    <t>Gimark, Investigación y Marketing</t>
  </si>
  <si>
    <t>GroupM Publicidad Worldwide, S.A.</t>
  </si>
  <si>
    <t>Grupo 1 Investigación, S.L.</t>
  </si>
  <si>
    <t>Grupo 3 Est. Mercado, Marketing y Opinión, S.L.</t>
  </si>
  <si>
    <t>Grupo Editorial El Derecho Y Quantor, S.L</t>
  </si>
  <si>
    <t>Grupo Tecnipublicaciones</t>
  </si>
  <si>
    <t>Guadaltel, S.A.</t>
  </si>
  <si>
    <t>Guianova SL</t>
  </si>
  <si>
    <t>HI-IBERIA</t>
  </si>
  <si>
    <t>Hispavista, S.L.</t>
  </si>
  <si>
    <t>I.T.E. Investigaciones Técnicas y Empíricas, S.L.</t>
  </si>
  <si>
    <t>I2Mapp</t>
  </si>
  <si>
    <t>Iber Bolsa/Bolsa Trader</t>
  </si>
  <si>
    <t>Ibérica MultiWeb</t>
  </si>
  <si>
    <t>Iberinform Internacional</t>
  </si>
  <si>
    <t>Iberley Informacion Legal, S.L.</t>
  </si>
  <si>
    <t>IBES - Inst. Estudios Sociales Avanzados</t>
  </si>
  <si>
    <t>ICR Invest Control Rating</t>
  </si>
  <si>
    <t>IDEA Strategic Research Solutions</t>
  </si>
  <si>
    <t>Idearium Consultores</t>
  </si>
  <si>
    <t>Ideas Originales de Investigación, S.A.</t>
  </si>
  <si>
    <t>Ikap</t>
  </si>
  <si>
    <t>Ikusi</t>
  </si>
  <si>
    <t>Imop Encuestas, S.A.</t>
  </si>
  <si>
    <t>In Market Research</t>
  </si>
  <si>
    <t>In Tune Research Trends, S.L.</t>
  </si>
  <si>
    <t>In-Depth Investigación de Mercado, S.L.</t>
  </si>
  <si>
    <t>INDRA ESPACIO S.A.</t>
  </si>
  <si>
    <t>Info Is Info</t>
  </si>
  <si>
    <t>Infoconcurso</t>
  </si>
  <si>
    <t>INFOMERCADOS SERVICIOS FINANCIEROS S.L.</t>
  </si>
  <si>
    <t>Infomorosos.com</t>
  </si>
  <si>
    <t>Inforalia,SL.</t>
  </si>
  <si>
    <t>Inforglobal 2000</t>
  </si>
  <si>
    <t>Inforiesgos</t>
  </si>
  <si>
    <t>Informaria SL, Grupo de Comunicación</t>
  </si>
  <si>
    <t>Inforsa</t>
  </si>
  <si>
    <t>Infoterra</t>
  </si>
  <si>
    <t>Ingecarto</t>
  </si>
  <si>
    <t>Ingenio Data and Visualizations</t>
  </si>
  <si>
    <t>Inmark Estudios y Estrategias, S.A.</t>
  </si>
  <si>
    <t>Instituto Datakey, S.L.</t>
  </si>
  <si>
    <t>Instituto de Marketing y Comunicación, S.L.</t>
  </si>
  <si>
    <t>Instituto DYM, S.A.</t>
  </si>
  <si>
    <t>Instituto Markin, S.L.</t>
  </si>
  <si>
    <t>Instituto Tecnológico de Informática</t>
  </si>
  <si>
    <t>Inteligencia Ymedia, S.A.</t>
  </si>
  <si>
    <t>Intellectia Bank</t>
  </si>
  <si>
    <t>Intergraph España, S.A.</t>
  </si>
  <si>
    <t>Internet Construdata, 21</t>
  </si>
  <si>
    <t>Invesco</t>
  </si>
  <si>
    <t>Invesmarket, Consult. y Estud. de Mercado,S.L.</t>
  </si>
  <si>
    <t>Investgroup, Investigación de Mercado, S.L.</t>
  </si>
  <si>
    <t>Investing</t>
  </si>
  <si>
    <t>IPSOS</t>
  </si>
  <si>
    <t>IRIS DATA S.L</t>
  </si>
  <si>
    <t>iSOCO S.A</t>
  </si>
  <si>
    <t>Iteisa, Codigo Abierto Y Comunicación Global</t>
  </si>
  <si>
    <t>Iver</t>
  </si>
  <si>
    <t>Jdos Estudio de Mercado, S.L.</t>
  </si>
  <si>
    <t>JFT Comunicación</t>
  </si>
  <si>
    <t>Kelisto</t>
  </si>
  <si>
    <t>Kelisto Iberia, SL</t>
  </si>
  <si>
    <t>Kelkoo.es</t>
  </si>
  <si>
    <t>KnM, Know Media, S.L.</t>
  </si>
  <si>
    <t>KNOSOS - Grupo AMPER</t>
  </si>
  <si>
    <t>Kompass España</t>
  </si>
  <si>
    <t>LA FÁBRICA DEL MÁRKETING SL</t>
  </si>
  <si>
    <t>Lambdoop</t>
  </si>
  <si>
    <t>Laya (Longo Ansa Y Asociados S.L.)</t>
  </si>
  <si>
    <t>Le Fac.com</t>
  </si>
  <si>
    <t>Listademorosos.info</t>
  </si>
  <si>
    <t>Listado empresas</t>
  </si>
  <si>
    <t>LKS</t>
  </si>
  <si>
    <t>Localidata</t>
  </si>
  <si>
    <t>Logisnet</t>
  </si>
  <si>
    <t>Lostium Project CB</t>
  </si>
  <si>
    <t>Maninvest</t>
  </si>
  <si>
    <t>Mapgenia</t>
  </si>
  <si>
    <t>Marcial Pons Ediciones Jurídicas y Sociales, S.A.</t>
  </si>
  <si>
    <t>Marketing Diagnosis &amp; Action, S.L.</t>
  </si>
  <si>
    <t>Marketing Independiente, S.C.</t>
  </si>
  <si>
    <t>Master-D</t>
  </si>
  <si>
    <t>Maxtersolutions, C.B.</t>
  </si>
  <si>
    <t>MCV CONSULTING NETORK TEAM, SL</t>
  </si>
  <si>
    <t>MDK Investigación de Mercados</t>
  </si>
  <si>
    <t>Media Work´s, S.A.</t>
  </si>
  <si>
    <t>Megabolsa</t>
  </si>
  <si>
    <t>Mejora, Marketing &amp; Innovation Solutions</t>
  </si>
  <si>
    <t>Mercatec, Investigación Estratégica, S.L.</t>
  </si>
  <si>
    <t>Meteogroup</t>
  </si>
  <si>
    <t>Meteologica</t>
  </si>
  <si>
    <t>Meteosim</t>
  </si>
  <si>
    <t>MetrixLab España, S.L.</t>
  </si>
  <si>
    <t>Metroo</t>
  </si>
  <si>
    <t>Metroscopia, S.L.</t>
  </si>
  <si>
    <t>Mi base de Datos</t>
  </si>
  <si>
    <t>Microart SL</t>
  </si>
  <si>
    <t>Millward Brown Iberia, S.A.U.</t>
  </si>
  <si>
    <t>Minderest</t>
  </si>
  <si>
    <t>Minerva Editores Y Andromedra, S.L.</t>
  </si>
  <si>
    <t>Minube</t>
  </si>
  <si>
    <t>Móviles.com</t>
  </si>
  <si>
    <t>MovilesyMas.es</t>
  </si>
  <si>
    <t>My News</t>
  </si>
  <si>
    <t>MyBest.es</t>
  </si>
  <si>
    <t>N2BOLSA, ASESORIA Y SERVICIOS INFORMÁTICOS S.L</t>
  </si>
  <si>
    <t>Navteq</t>
  </si>
  <si>
    <t>Neometrics</t>
  </si>
  <si>
    <t>Netamo Systems</t>
  </si>
  <si>
    <t>Netquest</t>
  </si>
  <si>
    <t>Nicenova Consulting, S.L.</t>
  </si>
  <si>
    <t>Njoycity</t>
  </si>
  <si>
    <t>Norbolsa Sociedad de Valores</t>
  </si>
  <si>
    <t>Nueva Investigación, S.L.</t>
  </si>
  <si>
    <t>Ogimet</t>
  </si>
  <si>
    <t>Open Data Consulting</t>
  </si>
  <si>
    <t>Open Met, S.L.</t>
  </si>
  <si>
    <t>Opentenea</t>
  </si>
  <si>
    <t>Opinática</t>
  </si>
  <si>
    <t>Opinòmetre, S.L.</t>
  </si>
  <si>
    <t>Optimedia, S.L.U.</t>
  </si>
  <si>
    <t>OTC Territorial, S.L.</t>
  </si>
  <si>
    <t>PAGA MENOS LUZ S.L.</t>
  </si>
  <si>
    <t>Páginas amarillas</t>
  </si>
  <si>
    <t>Partal, Maresma &amp; Associats</t>
  </si>
  <si>
    <t>PDM, Marketing Y Publicidad Directa</t>
  </si>
  <si>
    <t>PHD Media Spain, S.L.U.</t>
  </si>
  <si>
    <t>Planol.Info</t>
  </si>
  <si>
    <t>Playence SL</t>
  </si>
  <si>
    <t>Portal Derecho, S.A.</t>
  </si>
  <si>
    <t>Portal Web Guias 11811/Telegate España, 11 8 11 Nit Sau</t>
  </si>
  <si>
    <t>Portic</t>
  </si>
  <si>
    <t>Power Data</t>
  </si>
  <si>
    <t>Pretenium</t>
  </si>
  <si>
    <t>PRM Market Intelligence</t>
  </si>
  <si>
    <t>Proactis Soluciones Globales,s.l.</t>
  </si>
  <si>
    <t>Prodevelop integración de tecnologías</t>
  </si>
  <si>
    <t>Provimad</t>
  </si>
  <si>
    <t>Publiactivos Comunicación y Marketing, S.L.</t>
  </si>
  <si>
    <t>Publicidad directa y servicios postales s l</t>
  </si>
  <si>
    <t>PYRAMID Consulting, S.L.</t>
  </si>
  <si>
    <t>Qualispace</t>
  </si>
  <si>
    <t>Quid Cualitativo, S.L.</t>
  </si>
  <si>
    <t>Quota Research, S.A.</t>
  </si>
  <si>
    <t>Qype</t>
  </si>
  <si>
    <t>R&amp;B Prop Traders</t>
  </si>
  <si>
    <t>railistados.com//asnefcancelaciones.com</t>
  </si>
  <si>
    <t>RANDOM strategy</t>
  </si>
  <si>
    <t>Rankia</t>
  </si>
  <si>
    <t>Recrea Investigación</t>
  </si>
  <si>
    <t>REDPYME MEDITERRANEO S.L.U</t>
  </si>
  <si>
    <t>Resoluciones Judiciales, S.L. Editorial</t>
  </si>
  <si>
    <t>Reus, S.A., Editorial</t>
  </si>
  <si>
    <t>RIAM Intelearning LAB S.L</t>
  </si>
  <si>
    <t>Rodalia.INFO</t>
  </si>
  <si>
    <t>Rooter</t>
  </si>
  <si>
    <t>Rosenthal Research S.L.</t>
  </si>
  <si>
    <t>SADIM S.A.</t>
  </si>
  <si>
    <t>Salvetti &amp; Llombart</t>
  </si>
  <si>
    <t>SARENET SA</t>
  </si>
  <si>
    <t>Satadata</t>
  </si>
  <si>
    <t>SATEC</t>
  </si>
  <si>
    <t>SEAS, ESTUDIOS SUPERIORES ABIERTOS S.A.U.</t>
  </si>
  <si>
    <t>Seguros.es</t>
  </si>
  <si>
    <t>Servi Reach SA</t>
  </si>
  <si>
    <t>Servicios Avanzados de Opinión, S.L.</t>
  </si>
  <si>
    <t>Servyteam</t>
  </si>
  <si>
    <t>Seys</t>
  </si>
  <si>
    <t>Sigma Dos, S.A.</t>
  </si>
  <si>
    <t>Sigrid, S.L.</t>
  </si>
  <si>
    <t>Simple Lógica Investigación, S.A.</t>
  </si>
  <si>
    <t>Sinergia SolucionesTecnológicas</t>
  </si>
  <si>
    <t>SITEP</t>
  </si>
  <si>
    <t>Sixtema</t>
  </si>
  <si>
    <t>Skut Finanza, S.L.</t>
  </si>
  <si>
    <t>Smart Media Solutions, S.L.</t>
  </si>
  <si>
    <t>Sociedad Rectora de la Bolsa de Valores de Madrid (Bolsamadrid)</t>
  </si>
  <si>
    <t>Socsoft</t>
  </si>
  <si>
    <t>Solucions On Hand, S.L.</t>
  </si>
  <si>
    <t>Stereocarto, S.L.</t>
  </si>
  <si>
    <t>Stratebi</t>
  </si>
  <si>
    <t>Strategic Research 2000, S.A.</t>
  </si>
  <si>
    <t>Suelo Solar</t>
  </si>
  <si>
    <t>Sumiconsulting</t>
  </si>
  <si>
    <t>Super Buscador</t>
  </si>
  <si>
    <t>Synergic Partners</t>
  </si>
  <si>
    <t>Tàctica, Investigació i Estratègia, S.L.</t>
  </si>
  <si>
    <t>Tagenata</t>
  </si>
  <si>
    <t>Taiss Investigación, S.L.</t>
  </si>
  <si>
    <t>Target Marketing Research, S.L.</t>
  </si>
  <si>
    <t>Target Point</t>
  </si>
  <si>
    <t>Tarifas de Luz</t>
  </si>
  <si>
    <t>Tarifas gas y luz</t>
  </si>
  <si>
    <t>Tecnos Editorial</t>
  </si>
  <si>
    <t>Teficar, S.A.</t>
  </si>
  <si>
    <t>Telecoming Information Services</t>
  </si>
  <si>
    <t>Telespazio Iberica, SLU</t>
  </si>
  <si>
    <t>Tender Service Spain KHI, Sl</t>
  </si>
  <si>
    <t>TERRA XXI, S.L.</t>
  </si>
  <si>
    <t>Terysos, S.L.</t>
  </si>
  <si>
    <t>THE APP DATE GLOBAL SL.</t>
  </si>
  <si>
    <t>The room, Investigaciones de Mercado, S.L.</t>
  </si>
  <si>
    <t>TNS / KANTAR</t>
  </si>
  <si>
    <t>Todomultas Networks, S.L.</t>
  </si>
  <si>
    <t>Todo-Tiendas</t>
  </si>
  <si>
    <t>Tragsa</t>
  </si>
  <si>
    <t>Treelogic</t>
  </si>
  <si>
    <t>Trivago</t>
  </si>
  <si>
    <t>TuGuíaLegal.com</t>
  </si>
  <si>
    <t>Tutiempo Network, S.L.</t>
  </si>
  <si>
    <t>Two Much Research Studio</t>
  </si>
  <si>
    <t>Universal McCann, S.A.</t>
  </si>
  <si>
    <t>Urproven</t>
  </si>
  <si>
    <t>USE-IT</t>
  </si>
  <si>
    <t>Village</t>
  </si>
  <si>
    <t>Vlex</t>
  </si>
  <si>
    <t>Vorago</t>
  </si>
  <si>
    <t>Vulka.Es</t>
  </si>
  <si>
    <t>Wannaplan</t>
  </si>
  <si>
    <t>Webnovias.com</t>
  </si>
  <si>
    <t>Wellnes Telecom</t>
  </si>
  <si>
    <t>Wikiloc</t>
  </si>
  <si>
    <t>Xercode: Servicios bibliotecarios</t>
  </si>
  <si>
    <t>XTB online trading</t>
  </si>
  <si>
    <t>Zenith, S.L.U.</t>
  </si>
  <si>
    <t>Zink Direct</t>
  </si>
  <si>
    <t>Vasmajetek</t>
  </si>
  <si>
    <t>http://www.vasmajetek.cz/</t>
  </si>
  <si>
    <t>A comprehensive database with information on auctions, auctions and estate sales state, counties, cities and municipalities and executory confiscated.</t>
  </si>
  <si>
    <t>housing; CZE; regional</t>
  </si>
  <si>
    <t>Open Data CZ</t>
  </si>
  <si>
    <t>http://www.opendata.cz/en/node/23</t>
  </si>
  <si>
    <t>Open Data CZ is an initiative for transparent data infrastructure. </t>
  </si>
  <si>
    <t>business; CZE; national | education; CZE; national | government operations; CZE; national</t>
  </si>
  <si>
    <t>new  | optimization</t>
  </si>
  <si>
    <t>La Voz Publica</t>
  </si>
  <si>
    <t>http://chequeado.com/acerca-de-la-fundacion/</t>
  </si>
  <si>
    <t> The organization's main project is the web site of public discourse and verification data journalism, Chequeado .</t>
  </si>
  <si>
    <t>Fugro</t>
  </si>
  <si>
    <t>www.fugro.com</t>
  </si>
  <si>
    <t>Fugro N.V. provides geotechnical, survey, subsea, and geoscience services for clients, typically oil and gas, telecommunications cable, and infrastructure companies.</t>
  </si>
  <si>
    <t>Leidschendam</t>
  </si>
  <si>
    <t>Geospatial/mapping;null;national</t>
  </si>
  <si>
    <t>Capgemini Group</t>
  </si>
  <si>
    <t>Digital soil research, process optimization </t>
  </si>
  <si>
    <t>Stedin</t>
  </si>
  <si>
    <t>https://www.stedin.net</t>
  </si>
  <si>
    <t>Stedin provides safe and continuous transport of gas and electricity to more than two million customers in and around three of the four big cities in Randstad, as well as the Rotterdam harbour area.</t>
  </si>
  <si>
    <t>Rotterdam</t>
  </si>
  <si>
    <t>Predictive maintenance, data warehouse -&gt; big opportunity</t>
  </si>
  <si>
    <t>Community Energy Manager</t>
  </si>
  <si>
    <t>http://www.communityenergymanager.org/</t>
  </si>
  <si>
    <t>Community Energy Manager helps community groups support their local area by brokering energy efficiency improvements and generating savings for their community, helping to reduce carbon emissions, fuel bills and reduce fuel poverty.</t>
  </si>
  <si>
    <t>Energy;GBR; national</t>
  </si>
  <si>
    <t>Helps support local people to reduce their energy usage and fuel bills. Uses information to negotiate retrofit and renewable energy projects with energy companies, retail outlets and renewable energy installers. </t>
  </si>
  <si>
    <t>http://www.epsiplatform.eu/content/community-energy-manager-save-communities-thousands-pounds-through-open-data-0</t>
  </si>
  <si>
    <t>Achmea</t>
  </si>
  <si>
    <t>https://www.achmea.nl</t>
  </si>
  <si>
    <t>Achmea is a leading insurance company based in the Netherlands that provides customers with Health, Life and Non-life insurance.</t>
  </si>
  <si>
    <t>Zeist</t>
  </si>
  <si>
    <t>Probability models for risk calculation</t>
  </si>
  <si>
    <t>BlindSquare</t>
  </si>
  <si>
    <t>http://blindsquare.com/</t>
  </si>
  <si>
    <t>BlindSquare is a GPS-app developed for the blind and visually impaired. It describes the environment, announces points of interest and street intersections as you travel.</t>
  </si>
  <si>
    <t>Helsinki</t>
  </si>
  <si>
    <t>Data-driven app for the blind &amp; visually impaired</t>
  </si>
  <si>
    <t>http://www.epsiplatform.eu/content/how-data-driven-app-blind-visually-impaired-grew-international-business-0</t>
  </si>
  <si>
    <t>Philips</t>
  </si>
  <si>
    <t>www.philips.nl</t>
  </si>
  <si>
    <t>Royal Philips is a diversified health and well-being company, focused on improving people’s lives through meaningful innovation in the areas of Healthcare, Consumer Lifestyle and Lighting.</t>
  </si>
  <si>
    <t>Amsterdam</t>
  </si>
  <si>
    <t>Personal health assisting services and probability model calculations</t>
  </si>
  <si>
    <t>Akzo Nobel</t>
  </si>
  <si>
    <t>https://www.akzonobel.com/</t>
  </si>
  <si>
    <t>Akzo Nobel is a Dutch multinational, active in the fields of decorative paints, performance coatings and specialty chemicals</t>
  </si>
  <si>
    <t>Painting as a service</t>
  </si>
  <si>
    <t>Cargill / Corbion</t>
  </si>
  <si>
    <t>http://www.cargill.com/</t>
  </si>
  <si>
    <t>Cargill provides food, agriculture, financial and industrial products and services to the world.</t>
  </si>
  <si>
    <t>Minnetonka</t>
  </si>
  <si>
    <t>Better be able to respond on price changes of rice, corn etc</t>
  </si>
  <si>
    <t>Heineken</t>
  </si>
  <si>
    <t>http://www.theheinekencompany.com/</t>
  </si>
  <si>
    <t>Heineken International is a Dutch brewing company.</t>
  </si>
  <si>
    <t>Optimize purchase of barley</t>
  </si>
  <si>
    <t>FrieslandCampina</t>
  </si>
  <si>
    <t>www.frieslandcampina.com</t>
  </si>
  <si>
    <t>FrieslandCampina is a Dutch dairy cooperative.</t>
  </si>
  <si>
    <t>Amersfoort</t>
  </si>
  <si>
    <t>Pre-assessment based on probability model of proteins in milk based on grass-quality</t>
  </si>
  <si>
    <t>Bing Thom Architects</t>
  </si>
  <si>
    <t>http://www.bingthomarchitects.com/</t>
  </si>
  <si>
    <t>Architectural firm with a holistic approach to project design and implementation. </t>
  </si>
  <si>
    <t>Vancouver</t>
  </si>
  <si>
    <t>British Columbia</t>
  </si>
  <si>
    <t>Geospatial/mapping;CAN;local</t>
  </si>
  <si>
    <t>Used public data about Vancouver’s shorelines to examine the impact of a rising sea level on development in the city</t>
  </si>
  <si>
    <t>http://www.bcbusiness.ca/your-business/the-difference-data-makes</t>
  </si>
  <si>
    <t>DigitalGlobe </t>
  </si>
  <si>
    <t>https://www.digitalglobe.com/</t>
  </si>
  <si>
    <t>DigitalGlobe is an American commercial vendor of space imagery and geospatial content, and operator of civilian remote sensing spacecraft.</t>
  </si>
  <si>
    <t>Longmont</t>
  </si>
  <si>
    <t>Geospatial/mapping;null;national | Geospatial/mapping;null;local</t>
  </si>
  <si>
    <t>Creators of project Tomnod. By means of analysing before and after satellite data, damaged buildings and areas can be identified in order to optimize the aid process</t>
  </si>
  <si>
    <t>http://www.tomnod.com/campaign/nepal_earthquake_2015/map/3gox33y7</t>
  </si>
  <si>
    <t>Sona</t>
  </si>
  <si>
    <t>www.sonagroup.com</t>
  </si>
  <si>
    <t>The Sona Group manufactures components for the automotive industry and has engineering capabilities in the areas of machining and assembly, precision forging, cold &amp; hot forging and heat treatment.</t>
  </si>
  <si>
    <t>München</t>
  </si>
  <si>
    <t>Housing;DEU;national | Transportation;DEU;national</t>
  </si>
  <si>
    <t>Combines real estate data with transportation data to help choose the best location to live in terms of travel time to important places, like schools</t>
  </si>
  <si>
    <t>Digitales gold article</t>
  </si>
  <si>
    <t>Douane</t>
  </si>
  <si>
    <t>Already working on optimalisation of data-analytics -&gt; Contact Nannette Broeks for the contactperson within the Douane</t>
  </si>
  <si>
    <t>can't find any info on this org</t>
  </si>
  <si>
    <t>https://recollect.net</t>
  </si>
  <si>
    <t>ReCollect Systems is a technology company specializing in digital solutions for the waste management sector.</t>
  </si>
  <si>
    <t>Government operations;CAN;local | Government operations;USA;local</t>
  </si>
  <si>
    <t>Website that digitizes the garbage schedule and sends users an email the day before their garbage day</t>
  </si>
  <si>
    <t>Bundesagentur für Arbeit</t>
  </si>
  <si>
    <t>Tailored interventions for unemployed citizens based on historical data</t>
  </si>
  <si>
    <t>not eligible</t>
  </si>
  <si>
    <t>Rode Kruis</t>
  </si>
  <si>
    <t>http://www.rodekruis.nl/</t>
  </si>
  <si>
    <t>The Dutch Red Cross is part of the largest humanitarian network in the world, the international Red Cross movement. Our logo stands for many synonymous with direct assistance in conflict, post-disaster and domestically. </t>
  </si>
  <si>
    <t>Den Hague</t>
  </si>
  <si>
    <t>Other(Disaster management)</t>
  </si>
  <si>
    <t>Geospatial/mapping;NLD;national | Geospatial/mapping;NLD;local</t>
  </si>
  <si>
    <t>Creator of Ready2Help. Using satellite images to compare surface before and after a major disaster such as an earthquake</t>
  </si>
  <si>
    <t>Berlinwahlkarte</t>
  </si>
  <si>
    <t>Visualisation of the different voting districts of Berlin for the parlementary elections</t>
  </si>
  <si>
    <t>Delhaize</t>
  </si>
  <si>
    <t>http://delhaizegroup.com</t>
  </si>
  <si>
    <t>Delhaize is a Belgium-based food retailer</t>
  </si>
  <si>
    <t>Demographics and social;null;national</t>
  </si>
  <si>
    <t>Analyze customer behaviour and use it for targeted in store marketing via an app that uses bluetooth location</t>
  </si>
  <si>
    <t>ITO World Ltd </t>
  </si>
  <si>
    <t>http://www.itoworld.com/</t>
  </si>
  <si>
    <t>Ito World Ltd. focuses on collecting, aggregating, managing, and analyzing complex public transport and spatial data, including real time data feeds.</t>
  </si>
  <si>
    <t>Ipswich</t>
  </si>
  <si>
    <t>Transportation</t>
  </si>
  <si>
    <t>Geospatial/mapping;GBR;national | Transportation;GBR;national | Geospatial/mapping;GBR;local | Transportation;GBR;local</t>
  </si>
  <si>
    <t>Utilized official Transport for London data as open data source to plan and map services for daily travelers in London</t>
  </si>
  <si>
    <t>Research India</t>
  </si>
  <si>
    <t>Wild! van de spits</t>
  </si>
  <si>
    <t>Breda</t>
  </si>
  <si>
    <t>Transportation;NLD;national | Transportation;NLD;local</t>
  </si>
  <si>
    <t>Government agency. Use number plates registration of traffic camera's to select people driving during rush hours and invite them to participate with the project to decrease traffic jams</t>
  </si>
  <si>
    <t>https://www.wildvandespits.nl/</t>
  </si>
  <si>
    <t>Moet ik rennen?</t>
  </si>
  <si>
    <t>Transportation;NLD;national | Transportation;NLD;national</t>
  </si>
  <si>
    <t>Free app. We seem to have enough examples from NL. An app that uses real-time public transportation data, geospatial and GPS to calculate whether you need to run to catch your train or not</t>
  </si>
  <si>
    <t>http://moetikrennen.nl/</t>
  </si>
  <si>
    <t>Annenberg Public Policy Center - Fact Check</t>
  </si>
  <si>
    <t>http://www.factcheck.org/</t>
  </si>
  <si>
    <t>The Center is a nonpartisan, nonprofit “consumer advocate” for voters that aims to reduce the level of deception and confusion in U.S. politics. We monitor the factual accuracy of what is said by major U.S. political players in the form of TV ads, debates, speeches, interviews and news releases. </t>
  </si>
  <si>
    <t>Tampa Bay Times - Politifact</t>
  </si>
  <si>
    <t>http://www.politifact.com/</t>
  </si>
  <si>
    <t>Channel 4 FactCheck</t>
  </si>
  <si>
    <t>http://blogs.channel4.com/factcheck/</t>
  </si>
  <si>
    <t>Le Monde - Les Decodeurs </t>
  </si>
  <si>
    <t>http://www.lemonde.fr/les-decodeurs/</t>
  </si>
  <si>
    <t>La Sillavacia</t>
  </si>
  <si>
    <t>http://lasillavacia.com/hilos-tematicos/detector-de-mentiras</t>
  </si>
  <si>
    <t>Agencia Publica</t>
  </si>
  <si>
    <t>http://apublica.org/truco/</t>
  </si>
  <si>
    <t>O Globo</t>
  </si>
  <si>
    <t>http://oglobo.globo.com/blogs/preto-no-branco/</t>
  </si>
  <si>
    <t>UYCheck</t>
  </si>
  <si>
    <t>http://uycheck.com/noticias/</t>
  </si>
  <si>
    <t>Elfero - Politigrafo</t>
  </si>
  <si>
    <t>http://www.elfaro.net/es/201501/politigrafo/</t>
  </si>
  <si>
    <t>Animal Politico</t>
  </si>
  <si>
    <t>http://www.animalpolitico.com/elsabueso/el-sabueso/</t>
  </si>
  <si>
    <t>Surface Deployment and Distribution Command</t>
  </si>
  <si>
    <t>www.sddc.army.mil</t>
  </si>
  <si>
    <t>Department within the Army</t>
  </si>
  <si>
    <t>SumoBrain</t>
  </si>
  <si>
    <t>http://www.sumobrain.com/</t>
  </si>
  <si>
    <t>SumoBrain provides intellectual property searching for attorneys, corporate researchers and inventors.</t>
  </si>
  <si>
    <t>Student Veterans of America</t>
  </si>
  <si>
    <t>Spire</t>
  </si>
  <si>
    <t>SolarNexus</t>
  </si>
  <si>
    <t>Social and Decision Analytics Lab</t>
  </si>
  <si>
    <t>ScoopMonkey</t>
  </si>
  <si>
    <t>Schneider Electric</t>
  </si>
  <si>
    <t>RPX</t>
  </si>
  <si>
    <t>Rock Health</t>
  </si>
  <si>
    <t>Relecura</t>
  </si>
  <si>
    <t>REEEP</t>
  </si>
  <si>
    <t>ReedTech (LexisNexis)</t>
  </si>
  <si>
    <t>Red Cross</t>
  </si>
  <si>
    <t>Questel</t>
  </si>
  <si>
    <t>ProQuest</t>
  </si>
  <si>
    <t>Potential Energy DC</t>
  </si>
  <si>
    <t>Pos Rep</t>
  </si>
  <si>
    <t>Planet Ecosystems</t>
  </si>
  <si>
    <t>Pepco</t>
  </si>
  <si>
    <t>PatSeer</t>
  </si>
  <si>
    <t>Patent Information Users Group (PIUG)</t>
  </si>
  <si>
    <t>OPTUM Labs</t>
  </si>
  <si>
    <t>Open Referrals</t>
  </si>
  <si>
    <t>NEST</t>
  </si>
  <si>
    <t>University of Missouri School of Law</t>
  </si>
  <si>
    <t>640 Labs</t>
  </si>
  <si>
    <t>AAA National</t>
  </si>
  <si>
    <t>AAASHTO</t>
  </si>
  <si>
    <t>Agricultural Resources</t>
  </si>
  <si>
    <t>AgSquared</t>
  </si>
  <si>
    <t>American Institutes for Research (AIR)</t>
  </si>
  <si>
    <t>Aldevra</t>
  </si>
  <si>
    <t>Alliance of Automobile Manufacturers</t>
  </si>
  <si>
    <t>American Association of Motor Vehicle Administrators (AAMVA)</t>
  </si>
  <si>
    <t>Anheuser-Busch</t>
  </si>
  <si>
    <t>Apigee</t>
  </si>
  <si>
    <t>American Truckers Association (ATA)</t>
  </si>
  <si>
    <t>Avizor Capital Management</t>
  </si>
  <si>
    <t>Battelle Transportation</t>
  </si>
  <si>
    <t>Baumann Consulting</t>
  </si>
  <si>
    <t>Beam Farms</t>
  </si>
  <si>
    <t>Black Hills</t>
  </si>
  <si>
    <t>BOX</t>
  </si>
  <si>
    <t>Buster</t>
  </si>
  <si>
    <t>Cambia</t>
  </si>
  <si>
    <t>Cambridge Systematics</t>
  </si>
  <si>
    <t>Capital Post</t>
  </si>
  <si>
    <t>Bunker</t>
  </si>
  <si>
    <t>Clean Power Research</t>
  </si>
  <si>
    <t>Code for Northern Virginia</t>
  </si>
  <si>
    <t>Collective IP</t>
  </si>
  <si>
    <t>Conveyal</t>
  </si>
  <si>
    <t>CPA Gloval</t>
  </si>
  <si>
    <t>Data Transparency Coalition</t>
  </si>
  <si>
    <t>NC Clean Energy Technology Center</t>
  </si>
  <si>
    <t>DC News &amp; Data Inc</t>
  </si>
  <si>
    <t>DC Open 211</t>
  </si>
  <si>
    <t>Disabled American Veterans (DAV)</t>
  </si>
  <si>
    <t>Dovel Technologies</t>
  </si>
  <si>
    <t>EagleForce Associates</t>
  </si>
  <si>
    <t>Edmunds</t>
  </si>
  <si>
    <t>National Safety Council</t>
  </si>
  <si>
    <t>Mission:data</t>
  </si>
  <si>
    <t>Energy Policy &amp; Analysis</t>
  </si>
  <si>
    <t>EnerKnol Inc</t>
  </si>
  <si>
    <t>Minesoft</t>
  </si>
  <si>
    <t>EnergyHub</t>
  </si>
  <si>
    <t>EnergySage</t>
  </si>
  <si>
    <t>Faraday</t>
  </si>
  <si>
    <t>First Solar</t>
  </si>
  <si>
    <t>MDB Capital</t>
  </si>
  <si>
    <t>Folsom Labs</t>
  </si>
  <si>
    <t>Manifest Mind</t>
  </si>
  <si>
    <t>Mackson Consulting</t>
  </si>
  <si>
    <t>Maalka</t>
  </si>
  <si>
    <t>FPO (FreePatentsOnline)</t>
  </si>
  <si>
    <t>Gazelle Technologies</t>
  </si>
  <si>
    <t>Geostellar</t>
  </si>
  <si>
    <t>Global Quest Communications</t>
  </si>
  <si>
    <t>Lex Machina</t>
  </si>
  <si>
    <t>Juristat</t>
  </si>
  <si>
    <t>Great West Casualty Co</t>
  </si>
  <si>
    <t>Green Button Alliance</t>
  </si>
  <si>
    <t>Hack for Change</t>
  </si>
  <si>
    <t>Hatsumei</t>
  </si>
  <si>
    <t>ITIF  &amp; Centre for Innovation</t>
  </si>
  <si>
    <t>Iraq and Afghanistan Veterans of America (IAVA)</t>
  </si>
  <si>
    <t>IP.com</t>
  </si>
  <si>
    <t>Hunch Analytics</t>
  </si>
  <si>
    <t>IFI Claims</t>
  </si>
  <si>
    <t>IHS</t>
  </si>
  <si>
    <t>Independent Data Management</t>
  </si>
  <si>
    <t>Insurance Institute for Highway Safety</t>
  </si>
  <si>
    <t>Institute for Veterans and Military Families at Syracuse University (IVMF)</t>
  </si>
  <si>
    <t>Innovation Accelerator</t>
  </si>
  <si>
    <t>Black Knight Financial Services</t>
  </si>
  <si>
    <t>http://www.bkfs.com/Pages/default.aspx</t>
  </si>
  <si>
    <t>Black Knight is a mortgage and finance industry provider of integrated technology, services and data solutions that facilitates and automates many of the business processes across the entire loan lifecycle. </t>
  </si>
  <si>
    <t>Jacksonville</t>
  </si>
  <si>
    <t>Housing;USA; national</t>
  </si>
  <si>
    <t>http://www.bloomberg.com/news/articles/2015-05-11/thomas-h-lee-backed-mortgage-venture-seeks-425-million-in-ipo</t>
  </si>
  <si>
    <t>Cubic</t>
  </si>
  <si>
    <t>http://www.cubic.com/</t>
  </si>
  <si>
    <t>Cubic's businesses are primarily engaged in the design, development, manufacturing, integration, and sustainment of high technology systems, products, and services for government and commercial customers. </t>
  </si>
  <si>
    <t>evodevo</t>
  </si>
  <si>
    <t>http://www.evodevo.it/en/</t>
  </si>
  <si>
    <t>Evodevo works on innovative solutions using artificial intelligence and knowledge management techniques.</t>
  </si>
  <si>
    <t>Roma</t>
  </si>
  <si>
    <t>http://www.evodevo.it/en/about-us/our-company.html</t>
  </si>
  <si>
    <t>Twaweza</t>
  </si>
  <si>
    <t>http://twaweza.org/</t>
  </si>
  <si>
    <t>Twaweza means “we can make it happen” in Swahili and is a ten year citizen-centered initiative, focusing on large-scale change in East Africa.</t>
  </si>
  <si>
    <t>Dar es Salaam</t>
  </si>
  <si>
    <t>Education;USA; national</t>
  </si>
  <si>
    <t>Created Shule.info</t>
  </si>
  <si>
    <t>http://education.okfn.org/open-education-tanzania/</t>
  </si>
  <si>
    <t>http://illustreets.co.uk</t>
  </si>
  <si>
    <t>illustreets aims help you discover the best places to live in England, whether you know which area you want to move to, or on the contrary, don’t have any idea at all.</t>
  </si>
  <si>
    <t>Transportation;GBR; national | Geospatial/mapping;GBR; national |  Demographics and social;GBR;national |  Environment;GBR;national |  Education;GBR;national |  Public safety;GBR;national</t>
  </si>
  <si>
    <t>http://illustreets.co.uk/contact-illustreets/</t>
  </si>
  <si>
    <t>upReach</t>
  </si>
  <si>
    <t>Other(Charitable Company)</t>
  </si>
  <si>
    <t>http://www.upreach.org.uk/</t>
  </si>
  <si>
    <t>upReach is committed to equal access to graduate jobs, regardless of social background.</t>
  </si>
  <si>
    <t>Education;GBR;national</t>
  </si>
  <si>
    <t>Created solution "‘In Context - Brenda’"</t>
  </si>
  <si>
    <t>FutureEverything is an award-winning innovation lab for digital culture and annual festival. For 20 years FutureEverything has been exploring the meeting point of technology, society and culture which lies at the heart of the digital debate.</t>
  </si>
  <si>
    <t>Other(cultural)</t>
  </si>
  <si>
    <t>Integrated in CitySDK</t>
  </si>
  <si>
    <t>http://www.citysdk.eu/partners/</t>
  </si>
  <si>
    <t>Sanoma Oyj</t>
  </si>
  <si>
    <t>https://www.sanoma.com</t>
  </si>
  <si>
    <t>Sanoma News is Finland’s leading newspaper publisher and online media operator.</t>
  </si>
  <si>
    <t>Lynx</t>
  </si>
  <si>
    <t>http://www.lynxlab.com/</t>
  </si>
  <si>
    <t>Lynx aims to offer a wide range of highly personalized services to companies that wish to innovate through the use of open source software and a better knowledge management, from distance learning up to the use of open data.</t>
  </si>
  <si>
    <t>ISA – Intelligent Sensing Anywhere</t>
  </si>
  <si>
    <t>www.isasensing.com</t>
  </si>
  <si>
    <t>ISA – Intelligent Sensing Anywhere is a specialist in the development of solutions for Smart Cities towards the improvement of efficiency and processes in every home, building or water, gas and electricity distribution network.</t>
  </si>
  <si>
    <t>Coimbra</t>
  </si>
  <si>
    <t>PRT</t>
  </si>
  <si>
    <t>Gnosis Computers</t>
  </si>
  <si>
    <t>www.gnosis.com.gr</t>
  </si>
  <si>
    <t>The company is specialized in providing complete turnkey solutions for administration and delivery of public information services for Municipalities in the area of ICT</t>
  </si>
  <si>
    <t>Lamia</t>
  </si>
  <si>
    <t>GRC</t>
  </si>
  <si>
    <t>Alfamicro</t>
  </si>
  <si>
    <t>www.alfamicro.pt/</t>
  </si>
  <si>
    <t>Alfamicro's main objective is to provide research consultancy and engineering services to support the development and implementation of advanced ICT solutions for private and public organizations.</t>
  </si>
  <si>
    <t>Cascais</t>
  </si>
  <si>
    <t>Founding year</t>
  </si>
  <si>
    <t>SOURCE</t>
  </si>
  <si>
    <t>Notes</t>
  </si>
  <si>
    <t>JM</t>
  </si>
  <si>
    <t>http://www.edicionsapeticio.com/</t>
  </si>
  <si>
    <t>The main service offered by Edicions A Petició is that of providing the authors of these texts the real possibility to publish them. Through the technology of Printing On Demand, it is possible to eliminate the typical expenses that substantially increase the price of the product: financing a minimum print run and the storage of the stocks of the type of book known by its characteristics as a longseller. The technology of Printing On Demand makes the publication available in the long-term without the need for printing and storing the product, since the copy or copies are only published when a buyer has requested the work.</t>
  </si>
  <si>
    <t>Girona </t>
  </si>
  <si>
    <t>Consumer Services</t>
  </si>
  <si>
    <t>http://absisspain.com/?lang=en</t>
  </si>
  <si>
    <t>ABSIS SPAIN CONSULTING is a company specialising in international consulting with headquarters in Barcelona (Spain). Our company specialises in channelling investments in Spain, structuring products and investment vehicles, selecting opportunities and providing legal and corporate supervision and representation to foreign clients with significant Purchasing Power who wish to receive a highly personalised service, considering it an exceptional opportunity to invest and position themselves in Spain. We are also experts in offering advice and assistance in organising and preparing all details and papers needed to quickly obtain a permanent resident’s permit in Spain, known as the “Golden Visa."</t>
  </si>
  <si>
    <t>Barcelona </t>
  </si>
  <si>
    <t>Research and Consulting </t>
  </si>
  <si>
    <t>http://act2lead.es/index.html</t>
  </si>
  <si>
    <t>Act 2Lead is a group made up of marketing professionals with different academic profiles, with extensive professional experience, both nationally and internationally. We work for large but also for small and medium enterprises that are committed to the scientific marketing as a way of business growth and sustainability in the market.</t>
  </si>
  <si>
    <t>Bilbao </t>
  </si>
  <si>
    <t>http://adhocinvestigacion.com/en/</t>
  </si>
  <si>
    <t>Ad hoc consists of a multidisciplinary technical team of economists , sociologists , psychologists and statisticians, experts in market research and marketing consulting. Our mission is to provide our customers with useful information. Help reduce uncertainty in decision -making. Market research quality . Working with our clients as if they were its own research department. Provide "ad hoc " solutions tailored to the needs of our customers. Optimizing resources , achieving lower operating costs. Provide a solid structure of flexible working.</t>
  </si>
  <si>
    <t>Madrid </t>
  </si>
  <si>
    <t>http://adginvestigacion.com/</t>
  </si>
  <si>
    <t>ADG was born in 2012 as a supplier of field, in order to output the demand in the Navarre. We currently offer a full service commercial research. We develop their own projects for public and private companies, as well as collaborating with the most prestigious companies in the country.</t>
  </si>
  <si>
    <t>Pamplona </t>
  </si>
  <si>
    <t>http://www.adimen.es/default.aspx</t>
  </si>
  <si>
    <t>ADIMEN Research is a Basque company created and composed by professionals with extensive experience in project management and execution of market research, sociological studies and consulting. We are also linked to the Group of independent market research and most important national capital, Analysis and Research Group , with more than 300 employees and 4,000 m 2 of offices in different provinces.</t>
  </si>
  <si>
    <t>Bilbao</t>
  </si>
  <si>
    <t>http://www.adslzone.net/</t>
  </si>
  <si>
    <t>Latest news about technology , internet , broadband, mobile and video games.</t>
  </si>
  <si>
    <t>http://advicestrategicconsultants.com/</t>
  </si>
  <si>
    <t>Strategic Advice Consultants is a business and economic consulting firm, that by using data and predictive econometrics, aims to help its clients succeed.
</t>
  </si>
  <si>
    <t>http://www.aema.info/</t>
  </si>
  <si>
    <t>EEA is an ICC (engineering-consulting-construction) agile and modern, which develops work primarily in the field of Renewable Energy, Environment, Energy Efficiency, Historical and Artistic Heritage, Engineering and Civil Engineering, Management and Control of Works.</t>
  </si>
  <si>
    <t>null  </t>
  </si>
  <si>
    <t>http://www.agoraestudiosdemercado.com/</t>
  </si>
  <si>
    <t>AGORA MARKET RESEARCH SL is a company with extensive experience in social research and market research, and providing field service. Our company is formed by a team of sociologists, psychologists and statisticians, and a network of own field and experienced in all types of 
investigations.</t>
  </si>
  <si>
    <t>Valladolid</t>
  </si>
  <si>
    <t>http://www.agoranetworks.es/</t>
  </si>
  <si>
    <t>Agora Networks is a company created in 2009 by a young but extensive experience and training in the field of computer Information Technology, Communication and Software Development . They guarantee many years of experience in simulation projects, defense, aeronautics, engineering, GIS, public administration, web spaces, management and leadership communication.</t>
  </si>
  <si>
    <t>Data/Information technology?</t>
  </si>
  <si>
    <t>http://www.ahorreluz.es/index.php</t>
  </si>
  <si>
    <t>AhorreLuz allows you to compare prices for your electricity and gas bill in under a minute, offering the best prices in the market through our web tool. We are dedicated to offer the best service, as we work with the best distributors of energy in Spain. Besides offering a totally free online tool, we offer a service of free customer service to help you find the best price, assigning a personal adviser who will provide everything you need. We offer the market a simple, quick tool and continuously adapting to the needs of the user, so we value quality above all, maintaining our independence from all energy companies with which AhorreLuz works.</t>
  </si>
  <si>
    <t>Badalona </t>
  </si>
  <si>
    <t>Energy/Consumer Services </t>
  </si>
  <si>
    <t>http://apertia-consulting.com/</t>
  </si>
  <si>
    <t>Apertia Consulting is specialized in integrated projects to improve people's management and operations division. Through joint action, we obtain important results. (Consulting part of Alava Reyes) </t>
  </si>
  <si>
    <t>Research and Consulting</t>
  </si>
  <si>
    <t>http://www.alben.es/</t>
  </si>
  <si>
    <t>ALBEN company is a market research and marketing consultancy and computer engineering located in Asturias with extensive experience in both sectors.</t>
  </si>
  <si>
    <t>Asturias </t>
  </si>
  <si>
    <t>http://www.alimarket.es/home</t>
  </si>
  <si>
    <t>Alimarket publications, SA is the leader in content generation economic-sector information in Spain. These contents are developed by a broad wording of journalists specialized in different markets and segments, as well as an important documentary crew. Our contents are distributed in different formats: paper (newsletters, magazines and Annual Reports), digital (BD Business and Establishments Census) and through our website (www.alimarket.es).</t>
  </si>
  <si>
    <t>Media and Communications </t>
  </si>
  <si>
    <t>http://www.almamedia.es/</t>
  </si>
  <si>
    <t>Alma Media is an independent Media Agency. Alma Media's vision is a globalized, interconnected and fast-paced world that revalues ​​the role of communication in business success. Our performance focuses on communication management that adds value to the company.</t>
  </si>
  <si>
    <t>https://www.appannie.com/apps/ios/publisher/alpred-s.l./ </t>
  </si>
  <si>
    <t>Alpred S.L. appears to be an app publisher that primarily makes applications related to weather &amp; weather data. </t>
  </si>
  <si>
    <t>Weather </t>
  </si>
  <si>
    <t>unable to find website </t>
  </si>
  <si>
    <t>http://www.ambermarketing.com/</t>
  </si>
  <si>
    <t>Amber Marketing Research and Consulting is the number 1 healthcare market research agency in Spain. The excellence of Amber resides in its highly-skilled team of professionals, with over 18 years experience of doing market research with passion and creativity. Recognized as a leading specialist in pharma, Amber team is also knowledgeable in other research areas such as FMCG, retail, financial, leisure industry, games &amp; lottery, automotive, luxury goods and services.</t>
  </si>
  <si>
    <t>Barcelona</t>
  </si>
  <si>
    <t>http://www.analisiseinvestigacion.com/ </t>
  </si>
  <si>
    <t>Analysis and Research is an independent market research institute in Spain. The offer qualitative, quantitative, and desk research as well as computer services to examine data and mystery shopping services. </t>
  </si>
  <si>
    <t>http://www.grupoasm.com/</t>
  </si>
  <si>
    <t>Grupo ASM is a market research consultant group. ASM Group has specialized personnel and resources in the implementation of the main techniques for market research. They use both quantitative and qualitative research methods.</t>
  </si>
  <si>
    <t>Madrid</t>
  </si>
  <si>
    <t>http://www.ines.org.es/node/92</t>
  </si>
  <si>
    <t>Andago is a consultancy group dedicated to global solutionsand associated servies fron Information Technology. It pioneered the use of GNU/Linux Technology in Spain and specializes in Open Source or Free Software systems. </t>
  </si>
  <si>
    <t>Data/Information Technology </t>
  </si>
  <si>
    <t>https://www.linkedin.com/company/answare-tech</t>
  </si>
  <si>
    <t>Answare -Tech is a consultancy group that provides services to technology companies and organizations in Spain as well as to European organizations. Answare Tech provides high-quality software development services for technological environments. </t>
  </si>
  <si>
    <t>http://www.av-consultores.com/ </t>
  </si>
  <si>
    <t>Antonio Valdivia Consultores is a consulting group that helps companies and organizations with marketing and management strategies. </t>
  </si>
  <si>
    <t>ISO3166-1-UNLOC</t>
  </si>
  <si>
    <t>COUNTRY-NAME</t>
  </si>
  <si>
    <t>COUNTRY</t>
  </si>
  <si>
    <t>COUNTRY CODE</t>
  </si>
  <si>
    <t>REGION</t>
  </si>
  <si>
    <t>REGION CODE</t>
  </si>
  <si>
    <t>INCOME</t>
  </si>
  <si>
    <t>INCOME CODE</t>
  </si>
  <si>
    <t>AF</t>
  </si>
  <si>
    <t>Afghanistan</t>
  </si>
  <si>
    <t>AFG</t>
  </si>
  <si>
    <t>South Asia</t>
  </si>
  <si>
    <t>Low income</t>
  </si>
  <si>
    <t>LIC</t>
  </si>
  <si>
    <t>AX</t>
  </si>
  <si>
    <t>Åland Islands</t>
  </si>
  <si>
    <t>AL</t>
  </si>
  <si>
    <t>Albania</t>
  </si>
  <si>
    <t>ALB</t>
  </si>
  <si>
    <t>Europe &amp; Central Asia</t>
  </si>
  <si>
    <t>ECA</t>
  </si>
  <si>
    <t>Upper middle income</t>
  </si>
  <si>
    <t>UMC</t>
  </si>
  <si>
    <t>DZ</t>
  </si>
  <si>
    <t>Algeria</t>
  </si>
  <si>
    <t>DZA</t>
  </si>
  <si>
    <t>Middle East &amp; North Africa</t>
  </si>
  <si>
    <t>MNA</t>
  </si>
  <si>
    <t>AS</t>
  </si>
  <si>
    <t>American Samoa</t>
  </si>
  <si>
    <t>ASM</t>
  </si>
  <si>
    <t>East Asia &amp; Pacific</t>
  </si>
  <si>
    <t>EAP</t>
  </si>
  <si>
    <t>AD</t>
  </si>
  <si>
    <t>Andorra</t>
  </si>
  <si>
    <t>ADO</t>
  </si>
  <si>
    <t>High income</t>
  </si>
  <si>
    <t>HIC</t>
  </si>
  <si>
    <t>AO</t>
  </si>
  <si>
    <t>Angola</t>
  </si>
  <si>
    <t>AGO</t>
  </si>
  <si>
    <t>Sub-Saharan Africa</t>
  </si>
  <si>
    <t>SSA</t>
  </si>
  <si>
    <t>AI</t>
  </si>
  <si>
    <t>Anguilla</t>
  </si>
  <si>
    <t>AQ</t>
  </si>
  <si>
    <t>Antarctica</t>
  </si>
  <si>
    <t>AG</t>
  </si>
  <si>
    <t>Antigua and Barbuda</t>
  </si>
  <si>
    <t>ATG</t>
  </si>
  <si>
    <t>Latin America &amp; Caribbean</t>
  </si>
  <si>
    <t>LAC</t>
  </si>
  <si>
    <t>Argentina</t>
  </si>
  <si>
    <t>AM</t>
  </si>
  <si>
    <t>Armenia</t>
  </si>
  <si>
    <t>ARM</t>
  </si>
  <si>
    <t>Lower middle income</t>
  </si>
  <si>
    <t>LMC</t>
  </si>
  <si>
    <t>AW</t>
  </si>
  <si>
    <t>Aruba</t>
  </si>
  <si>
    <t>ABW</t>
  </si>
  <si>
    <t>AU</t>
  </si>
  <si>
    <t>Australia</t>
  </si>
  <si>
    <t>AT</t>
  </si>
  <si>
    <t>Austria</t>
  </si>
  <si>
    <t>AUT</t>
  </si>
  <si>
    <t>Azerbaijan</t>
  </si>
  <si>
    <t>AZE</t>
  </si>
  <si>
    <t>BS</t>
  </si>
  <si>
    <t>Bahamas</t>
  </si>
  <si>
    <t>Bahamas, The</t>
  </si>
  <si>
    <t>BHS</t>
  </si>
  <si>
    <t>BH</t>
  </si>
  <si>
    <t>Bahrain</t>
  </si>
  <si>
    <t>BD</t>
  </si>
  <si>
    <t>Bangladesh</t>
  </si>
  <si>
    <t>BB</t>
  </si>
  <si>
    <t>Barbados</t>
  </si>
  <si>
    <t>BRB</t>
  </si>
  <si>
    <t>BY</t>
  </si>
  <si>
    <t>Belarus</t>
  </si>
  <si>
    <t>BLR</t>
  </si>
  <si>
    <t>BE</t>
  </si>
  <si>
    <t>Belgium</t>
  </si>
  <si>
    <t>BZ</t>
  </si>
  <si>
    <t>Belize</t>
  </si>
  <si>
    <t>BLZ</t>
  </si>
  <si>
    <t>BJ</t>
  </si>
  <si>
    <t>Benin</t>
  </si>
  <si>
    <t>BEN</t>
  </si>
  <si>
    <t>BM</t>
  </si>
  <si>
    <t>Bermuda</t>
  </si>
  <si>
    <t>BMU</t>
  </si>
  <si>
    <t>BT</t>
  </si>
  <si>
    <t>Bhutan</t>
  </si>
  <si>
    <t>BTN</t>
  </si>
  <si>
    <t>BO</t>
  </si>
  <si>
    <t>Bolivia</t>
  </si>
  <si>
    <t>BQ</t>
  </si>
  <si>
    <t>Bonaire, Sint Eustatius and Saba</t>
  </si>
  <si>
    <t>BA</t>
  </si>
  <si>
    <t>Bosnia and Herzegovina</t>
  </si>
  <si>
    <t>BIH</t>
  </si>
  <si>
    <t>BW</t>
  </si>
  <si>
    <t>Botswana</t>
  </si>
  <si>
    <t>BWA</t>
  </si>
  <si>
    <t>BR</t>
  </si>
  <si>
    <t>Brazil</t>
  </si>
  <si>
    <t>IO</t>
  </si>
  <si>
    <t>British Indian Ocean Territory</t>
  </si>
  <si>
    <t>BN</t>
  </si>
  <si>
    <t>Brunei Darussalam</t>
  </si>
  <si>
    <t>BRN</t>
  </si>
  <si>
    <t>BG</t>
  </si>
  <si>
    <t>Bulgaria</t>
  </si>
  <si>
    <t>BF</t>
  </si>
  <si>
    <t>Burkina Faso</t>
  </si>
  <si>
    <t>BFA</t>
  </si>
  <si>
    <t>BI</t>
  </si>
  <si>
    <t>Burundi</t>
  </si>
  <si>
    <t>BDI</t>
  </si>
  <si>
    <t>KH</t>
  </si>
  <si>
    <t>Cambodia</t>
  </si>
  <si>
    <t>KHM</t>
  </si>
  <si>
    <t>CM</t>
  </si>
  <si>
    <t>Cameroon</t>
  </si>
  <si>
    <t>CMR</t>
  </si>
  <si>
    <t>Canada</t>
  </si>
  <si>
    <t>North America</t>
  </si>
  <si>
    <t>NAM</t>
  </si>
  <si>
    <t>CV</t>
  </si>
  <si>
    <t>Cape Verde</t>
  </si>
  <si>
    <t>Cabo Verde</t>
  </si>
  <si>
    <t>CPV</t>
  </si>
  <si>
    <t>Cayman Islands</t>
  </si>
  <si>
    <t>CYM</t>
  </si>
  <si>
    <t>CF</t>
  </si>
  <si>
    <t>Central African Republic</t>
  </si>
  <si>
    <t>CAF</t>
  </si>
  <si>
    <t>TD</t>
  </si>
  <si>
    <t>Chad</t>
  </si>
  <si>
    <t>TCD</t>
  </si>
  <si>
    <t>CL</t>
  </si>
  <si>
    <t>Chile</t>
  </si>
  <si>
    <t>CN</t>
  </si>
  <si>
    <t>China</t>
  </si>
  <si>
    <t>CX</t>
  </si>
  <si>
    <t>Christmas Island</t>
  </si>
  <si>
    <t>U1</t>
  </si>
  <si>
    <t>Channel Islands</t>
  </si>
  <si>
    <t>CHI</t>
  </si>
  <si>
    <t>CC</t>
  </si>
  <si>
    <t>Cocos (Keeling) Islands</t>
  </si>
  <si>
    <t>Colombia</t>
  </si>
  <si>
    <t>KM</t>
  </si>
  <si>
    <t>Comoros</t>
  </si>
  <si>
    <t>COM</t>
  </si>
  <si>
    <t>CG</t>
  </si>
  <si>
    <t>Congo</t>
  </si>
  <si>
    <t>Congo, Rep.</t>
  </si>
  <si>
    <t>COG</t>
  </si>
  <si>
    <t>CD</t>
  </si>
  <si>
    <t>Congo, The Democratic Republic of the</t>
  </si>
  <si>
    <t>Congo, Dem. Rep.</t>
  </si>
  <si>
    <t>ZAR</t>
  </si>
  <si>
    <t>CK</t>
  </si>
  <si>
    <t>Cook Islands</t>
  </si>
  <si>
    <t>CR</t>
  </si>
  <si>
    <t>Costa Rica</t>
  </si>
  <si>
    <t>CI</t>
  </si>
  <si>
    <t>Côte d'Ivoire</t>
  </si>
  <si>
    <t>CIV</t>
  </si>
  <si>
    <t>HR</t>
  </si>
  <si>
    <t>Croatia</t>
  </si>
  <si>
    <t>HRV</t>
  </si>
  <si>
    <t>CU</t>
  </si>
  <si>
    <t>Cuba</t>
  </si>
  <si>
    <t>CUB</t>
  </si>
  <si>
    <t>CW</t>
  </si>
  <si>
    <t>Curaçao</t>
  </si>
  <si>
    <t>CUW</t>
  </si>
  <si>
    <t>CY</t>
  </si>
  <si>
    <t>Cyprus</t>
  </si>
  <si>
    <t>CYP</t>
  </si>
  <si>
    <t>CZ</t>
  </si>
  <si>
    <t>Czech Republic</t>
  </si>
  <si>
    <t>DK</t>
  </si>
  <si>
    <t>Denmark</t>
  </si>
  <si>
    <t>DJ</t>
  </si>
  <si>
    <t>Djibouti</t>
  </si>
  <si>
    <t>DJI</t>
  </si>
  <si>
    <t>DM</t>
  </si>
  <si>
    <t>Dominica</t>
  </si>
  <si>
    <t>DMA</t>
  </si>
  <si>
    <t>DO</t>
  </si>
  <si>
    <t>Dominican Republic</t>
  </si>
  <si>
    <t>DOM</t>
  </si>
  <si>
    <t>EC</t>
  </si>
  <si>
    <t>Ecuador</t>
  </si>
  <si>
    <t>EG</t>
  </si>
  <si>
    <t>Egypt</t>
  </si>
  <si>
    <t>Egypt, Arab Rep.</t>
  </si>
  <si>
    <t>EGY</t>
  </si>
  <si>
    <t>SV</t>
  </si>
  <si>
    <t>El Salvador</t>
  </si>
  <si>
    <t>GQ</t>
  </si>
  <si>
    <t>Equatorial Guinea</t>
  </si>
  <si>
    <t>GNQ</t>
  </si>
  <si>
    <t>ER</t>
  </si>
  <si>
    <t>Eritrea</t>
  </si>
  <si>
    <t>ERI</t>
  </si>
  <si>
    <t>EE</t>
  </si>
  <si>
    <t>Estonia</t>
  </si>
  <si>
    <t>EST</t>
  </si>
  <si>
    <t>ET</t>
  </si>
  <si>
    <t>Ethiopia</t>
  </si>
  <si>
    <t>ETH</t>
  </si>
  <si>
    <t>FK</t>
  </si>
  <si>
    <t>Falkland Islands (Malvinas)</t>
  </si>
  <si>
    <t>FO</t>
  </si>
  <si>
    <t>Faroe Islands</t>
  </si>
  <si>
    <t>Faeroe Islands</t>
  </si>
  <si>
    <t>FRO</t>
  </si>
  <si>
    <t>FJ</t>
  </si>
  <si>
    <t>Fiji</t>
  </si>
  <si>
    <t>FJI</t>
  </si>
  <si>
    <t>FI</t>
  </si>
  <si>
    <t>Finland</t>
  </si>
  <si>
    <t>FR</t>
  </si>
  <si>
    <t>France</t>
  </si>
  <si>
    <t>GF</t>
  </si>
  <si>
    <t>French Guiana</t>
  </si>
  <si>
    <t>PF</t>
  </si>
  <si>
    <t>French Polynesia</t>
  </si>
  <si>
    <t>PYF</t>
  </si>
  <si>
    <t>TF</t>
  </si>
  <si>
    <t>French Southern Territories</t>
  </si>
  <si>
    <t>Gabon</t>
  </si>
  <si>
    <t>GAB</t>
  </si>
  <si>
    <t>GM</t>
  </si>
  <si>
    <t>Gambia</t>
  </si>
  <si>
    <t>Gambia, The</t>
  </si>
  <si>
    <t>GMB</t>
  </si>
  <si>
    <t>GE</t>
  </si>
  <si>
    <t>Georgia</t>
  </si>
  <si>
    <t>DE</t>
  </si>
  <si>
    <t>Germany</t>
  </si>
  <si>
    <t>GH</t>
  </si>
  <si>
    <t>Ghana</t>
  </si>
  <si>
    <t>GI</t>
  </si>
  <si>
    <t>Gibraltar</t>
  </si>
  <si>
    <t>GR</t>
  </si>
  <si>
    <t>Greece</t>
  </si>
  <si>
    <t>GL</t>
  </si>
  <si>
    <t>Greenland</t>
  </si>
  <si>
    <t>GRL</t>
  </si>
  <si>
    <t>GD</t>
  </si>
  <si>
    <t>Grenada</t>
  </si>
  <si>
    <t>GRD</t>
  </si>
  <si>
    <t>GP</t>
  </si>
  <si>
    <t>Guadeloupe</t>
  </si>
  <si>
    <t>GU</t>
  </si>
  <si>
    <t>Guam</t>
  </si>
  <si>
    <t>GUM</t>
  </si>
  <si>
    <t>GT</t>
  </si>
  <si>
    <t>Guatemala</t>
  </si>
  <si>
    <t>GG</t>
  </si>
  <si>
    <t>Guernsey</t>
  </si>
  <si>
    <t>GN</t>
  </si>
  <si>
    <t>Guinea</t>
  </si>
  <si>
    <t>GIN</t>
  </si>
  <si>
    <t>GW</t>
  </si>
  <si>
    <t>Guinea-Bissau</t>
  </si>
  <si>
    <t>GNB</t>
  </si>
  <si>
    <t>GY</t>
  </si>
  <si>
    <t>Guyana</t>
  </si>
  <si>
    <t>GUY</t>
  </si>
  <si>
    <t>HT</t>
  </si>
  <si>
    <t>Haiti</t>
  </si>
  <si>
    <t>HTI</t>
  </si>
  <si>
    <t>HM</t>
  </si>
  <si>
    <t>Heard Island and McDonald Islands</t>
  </si>
  <si>
    <t>Holy See (Vatican City State)</t>
  </si>
  <si>
    <t>HN</t>
  </si>
  <si>
    <t>Honduras</t>
  </si>
  <si>
    <t>HND</t>
  </si>
  <si>
    <t>HK</t>
  </si>
  <si>
    <t>Hong Kong</t>
  </si>
  <si>
    <t>Hong Kong SAR, China</t>
  </si>
  <si>
    <t>HKG</t>
  </si>
  <si>
    <t>HU</t>
  </si>
  <si>
    <t>Hungary</t>
  </si>
  <si>
    <t>IS</t>
  </si>
  <si>
    <t>Iceland</t>
  </si>
  <si>
    <t>India</t>
  </si>
  <si>
    <t>ID</t>
  </si>
  <si>
    <t>Indonesia</t>
  </si>
  <si>
    <t>XZ</t>
  </si>
  <si>
    <t>Installations in International Waters</t>
  </si>
  <si>
    <t>IR</t>
  </si>
  <si>
    <t>Iran, Islamic Republic of</t>
  </si>
  <si>
    <t>Iran, Islamic Rep.</t>
  </si>
  <si>
    <t>IRN</t>
  </si>
  <si>
    <t>IQ</t>
  </si>
  <si>
    <t>Iraq</t>
  </si>
  <si>
    <t>IRQ</t>
  </si>
  <si>
    <t>IE</t>
  </si>
  <si>
    <t>Ireland</t>
  </si>
  <si>
    <t>IM</t>
  </si>
  <si>
    <t>Isle of Man</t>
  </si>
  <si>
    <t>IMY</t>
  </si>
  <si>
    <t>Israel</t>
  </si>
  <si>
    <t>IT</t>
  </si>
  <si>
    <t>Italy</t>
  </si>
  <si>
    <t>Jamaica</t>
  </si>
  <si>
    <t>c</t>
  </si>
  <si>
    <t>JP</t>
  </si>
  <si>
    <t>Japan</t>
  </si>
  <si>
    <t>JE</t>
  </si>
  <si>
    <t>Jersey</t>
  </si>
  <si>
    <t>JO</t>
  </si>
  <si>
    <t>Jordan</t>
  </si>
  <si>
    <t>JOR</t>
  </si>
  <si>
    <t>KZ</t>
  </si>
  <si>
    <t>Kazakhstan</t>
  </si>
  <si>
    <t>KAZ</t>
  </si>
  <si>
    <t>KE</t>
  </si>
  <si>
    <t>Kenya</t>
  </si>
  <si>
    <t>KI</t>
  </si>
  <si>
    <t>Kiribati</t>
  </si>
  <si>
    <t>KIR</t>
  </si>
  <si>
    <t>KP</t>
  </si>
  <si>
    <t>Korea, Democratic People's Republic of</t>
  </si>
  <si>
    <t>Korea, Dem. Rep.</t>
  </si>
  <si>
    <t>PRK</t>
  </si>
  <si>
    <t>KR</t>
  </si>
  <si>
    <t>Korea, Republic of</t>
  </si>
  <si>
    <t>Korea, Rep.</t>
  </si>
  <si>
    <t>U2</t>
  </si>
  <si>
    <t>Kosovo</t>
  </si>
  <si>
    <t>KSV</t>
  </si>
  <si>
    <t>KW</t>
  </si>
  <si>
    <t>Kuwait</t>
  </si>
  <si>
    <t>KWT</t>
  </si>
  <si>
    <t>KG</t>
  </si>
  <si>
    <t>Kyrgyzstan</t>
  </si>
  <si>
    <t>Kyrgyz Republic</t>
  </si>
  <si>
    <t>LA</t>
  </si>
  <si>
    <t>Lao People's Democratic Republic</t>
  </si>
  <si>
    <t>Lao PDR</t>
  </si>
  <si>
    <t>LAO</t>
  </si>
  <si>
    <t>LV</t>
  </si>
  <si>
    <t>Latvia</t>
  </si>
  <si>
    <t>LVA</t>
  </si>
  <si>
    <t>LB</t>
  </si>
  <si>
    <t>Lebanon</t>
  </si>
  <si>
    <t>LBN</t>
  </si>
  <si>
    <t>LS</t>
  </si>
  <si>
    <t>Lesotho</t>
  </si>
  <si>
    <t>LSO</t>
  </si>
  <si>
    <t>LR</t>
  </si>
  <si>
    <t>Liberia</t>
  </si>
  <si>
    <t>LBR</t>
  </si>
  <si>
    <t>LY</t>
  </si>
  <si>
    <t>Libya</t>
  </si>
  <si>
    <t>LBY</t>
  </si>
  <si>
    <t>LI</t>
  </si>
  <si>
    <t>Liechtenstein</t>
  </si>
  <si>
    <t>LIE</t>
  </si>
  <si>
    <t>LT</t>
  </si>
  <si>
    <t>Lithuania</t>
  </si>
  <si>
    <t>LTU</t>
  </si>
  <si>
    <t>LU</t>
  </si>
  <si>
    <t>Luxembourg</t>
  </si>
  <si>
    <t>LUX</t>
  </si>
  <si>
    <t>Macao</t>
  </si>
  <si>
    <t>Macao SAR, China</t>
  </si>
  <si>
    <t>MAC</t>
  </si>
  <si>
    <t>MK</t>
  </si>
  <si>
    <t>Macedonia, The former Yugoslav Republic of</t>
  </si>
  <si>
    <t>Macedonia, FYR</t>
  </si>
  <si>
    <t>MG</t>
  </si>
  <si>
    <t>Madagascar</t>
  </si>
  <si>
    <t>MW</t>
  </si>
  <si>
    <t>Malawi</t>
  </si>
  <si>
    <t>MY</t>
  </si>
  <si>
    <t>Malaysia</t>
  </si>
  <si>
    <t>MV</t>
  </si>
  <si>
    <t>Maldives</t>
  </si>
  <si>
    <t>MDV</t>
  </si>
  <si>
    <t>ML</t>
  </si>
  <si>
    <t>Mali</t>
  </si>
  <si>
    <t>MLI</t>
  </si>
  <si>
    <t>Malta</t>
  </si>
  <si>
    <t>MLT</t>
  </si>
  <si>
    <t>MH</t>
  </si>
  <si>
    <t>Marshall Islands</t>
  </si>
  <si>
    <t>MHL</t>
  </si>
  <si>
    <t>MQ</t>
  </si>
  <si>
    <t>Martinique</t>
  </si>
  <si>
    <t>MR</t>
  </si>
  <si>
    <t>Mauritania</t>
  </si>
  <si>
    <t>MRT</t>
  </si>
  <si>
    <t>MU</t>
  </si>
  <si>
    <t>Mauritius</t>
  </si>
  <si>
    <t>MUS</t>
  </si>
  <si>
    <t>YT</t>
  </si>
  <si>
    <t>Mayotte</t>
  </si>
  <si>
    <t>MX</t>
  </si>
  <si>
    <t>Mexico</t>
  </si>
  <si>
    <t>FM</t>
  </si>
  <si>
    <t>Micronesia, Federated States of</t>
  </si>
  <si>
    <t>Micronesia, Fed. Sts.</t>
  </si>
  <si>
    <t>FSM</t>
  </si>
  <si>
    <t>Moldova, Republic of</t>
  </si>
  <si>
    <t>Moldova</t>
  </si>
  <si>
    <t>MC</t>
  </si>
  <si>
    <t>Monaco</t>
  </si>
  <si>
    <t>MCO</t>
  </si>
  <si>
    <t>Mongolia</t>
  </si>
  <si>
    <t>MNG</t>
  </si>
  <si>
    <t>Montenegro</t>
  </si>
  <si>
    <t>MNE</t>
  </si>
  <si>
    <t>MS</t>
  </si>
  <si>
    <t>Montserrat</t>
  </si>
  <si>
    <t>Morocco</t>
  </si>
  <si>
    <t>MZ</t>
  </si>
  <si>
    <t>Mozambique</t>
  </si>
  <si>
    <t>MOZ</t>
  </si>
  <si>
    <t>MM</t>
  </si>
  <si>
    <t>Myanmar</t>
  </si>
  <si>
    <t>MMR</t>
  </si>
  <si>
    <t>Namibia</t>
  </si>
  <si>
    <t>NR</t>
  </si>
  <si>
    <t>Nauru</t>
  </si>
  <si>
    <t>NP</t>
  </si>
  <si>
    <t>Nepal</t>
  </si>
  <si>
    <t>NL</t>
  </si>
  <si>
    <t>Netherlands</t>
  </si>
  <si>
    <t>New Caledonia</t>
  </si>
  <si>
    <t>NCL</t>
  </si>
  <si>
    <t>NZ</t>
  </si>
  <si>
    <t>New Zealand</t>
  </si>
  <si>
    <t>NI</t>
  </si>
  <si>
    <t>Nicaragua</t>
  </si>
  <si>
    <t>Niger</t>
  </si>
  <si>
    <t>NER</t>
  </si>
  <si>
    <t>NG</t>
  </si>
  <si>
    <t>Nigeria</t>
  </si>
  <si>
    <t>NU</t>
  </si>
  <si>
    <t>Niue</t>
  </si>
  <si>
    <t>NF</t>
  </si>
  <si>
    <t>Norfolk Island</t>
  </si>
  <si>
    <t>MP</t>
  </si>
  <si>
    <t>Northern Mariana Islands</t>
  </si>
  <si>
    <t>MNP</t>
  </si>
  <si>
    <t>NO</t>
  </si>
  <si>
    <t>Norway</t>
  </si>
  <si>
    <t>OM</t>
  </si>
  <si>
    <t>Oman</t>
  </si>
  <si>
    <t>OMN</t>
  </si>
  <si>
    <t>PK</t>
  </si>
  <si>
    <t>Pakistan</t>
  </si>
  <si>
    <t>PW</t>
  </si>
  <si>
    <t>Palau</t>
  </si>
  <si>
    <t>PLW</t>
  </si>
  <si>
    <t>PS</t>
  </si>
  <si>
    <t>Palestine, State of</t>
  </si>
  <si>
    <t>Panama</t>
  </si>
  <si>
    <t>PAN</t>
  </si>
  <si>
    <t>PG</t>
  </si>
  <si>
    <t>Papua New Guinea</t>
  </si>
  <si>
    <t>PNG</t>
  </si>
  <si>
    <t>PY</t>
  </si>
  <si>
    <t>Paraguay</t>
  </si>
  <si>
    <t>PE</t>
  </si>
  <si>
    <t>Peru</t>
  </si>
  <si>
    <t>PH</t>
  </si>
  <si>
    <t>Philippines</t>
  </si>
  <si>
    <t>PN</t>
  </si>
  <si>
    <t>Pitcairn</t>
  </si>
  <si>
    <t>PL</t>
  </si>
  <si>
    <t>Poland</t>
  </si>
  <si>
    <t>PT</t>
  </si>
  <si>
    <t>Portugal</t>
  </si>
  <si>
    <t>PR</t>
  </si>
  <si>
    <t>Puerto Rico</t>
  </si>
  <si>
    <t>QA</t>
  </si>
  <si>
    <t>Qatar</t>
  </si>
  <si>
    <t>QAT</t>
  </si>
  <si>
    <t>RE</t>
  </si>
  <si>
    <t>Reunion</t>
  </si>
  <si>
    <t>RO</t>
  </si>
  <si>
    <t>Romania</t>
  </si>
  <si>
    <t>ROM</t>
  </si>
  <si>
    <t>RU</t>
  </si>
  <si>
    <t>Russian Federation</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</si>
  <si>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</si>
  <si>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</si>
  <si>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</si>
  <si>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</si>
  <si>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</si>
  <si>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</si>
  <si>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</si>
  <si>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</si>
  <si>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</si>
  <si>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</si>
  <si>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</si>
  <si>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</si>
  <si>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</si>
  <si>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</si>
  <si>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</si>
  <si>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</si>
  <si>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</si>
  <si>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</si>
  <si>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WSM</t>
  </si>
  <si>
    <t>SM</t>
  </si>
  <si>
    <t>San Marino</t>
  </si>
  <si>
    <t>SMR</t>
  </si>
  <si>
    <t>ST</t>
  </si>
  <si>
    <t>Sao Tome and Principe</t>
  </si>
  <si>
    <t>São Tomé and Principe</t>
  </si>
  <si>
    <t>STP</t>
  </si>
  <si>
    <t>SA</t>
  </si>
  <si>
    <t>Saudi Arabia</t>
  </si>
  <si>
    <t>SAU</t>
  </si>
  <si>
    <t>SN</t>
  </si>
  <si>
    <t>Senegal</t>
  </si>
  <si>
    <t>SEN</t>
  </si>
  <si>
    <t>RS</t>
  </si>
  <si>
    <t>Serbia</t>
  </si>
  <si>
    <t>SRB</t>
  </si>
  <si>
    <t>SC</t>
  </si>
  <si>
    <t>Seychelles</t>
  </si>
  <si>
    <t>SYC</t>
  </si>
  <si>
    <t>SL</t>
  </si>
  <si>
    <t>Sierra Leone</t>
  </si>
  <si>
    <t>SLE</t>
  </si>
  <si>
    <t>SG</t>
  </si>
  <si>
    <t>Singapore</t>
  </si>
  <si>
    <t>SGP</t>
  </si>
  <si>
    <t>SX</t>
  </si>
  <si>
    <t>Sint Maarten (Dutch Part)</t>
  </si>
  <si>
    <t>Sint Maarten (Dutch part)</t>
  </si>
  <si>
    <t>SXM</t>
  </si>
  <si>
    <t>SK</t>
  </si>
  <si>
    <t>Slovakia</t>
  </si>
  <si>
    <t>Slovak Republic</t>
  </si>
  <si>
    <t>SI</t>
  </si>
  <si>
    <t>Slovenia</t>
  </si>
  <si>
    <t>SB</t>
  </si>
  <si>
    <t>Solomon Islands</t>
  </si>
  <si>
    <t>SLB</t>
  </si>
  <si>
    <t>SO</t>
  </si>
  <si>
    <t>Somalia</t>
  </si>
  <si>
    <t>SOM</t>
  </si>
  <si>
    <t>ZA</t>
  </si>
  <si>
    <t>South Africa</t>
  </si>
  <si>
    <t>GS</t>
  </si>
  <si>
    <t>South Georgia and the South Sandwich Islands</t>
  </si>
  <si>
    <t>SS</t>
  </si>
  <si>
    <t>South Sudan</t>
  </si>
  <si>
    <t>SSD</t>
  </si>
  <si>
    <t>ES</t>
  </si>
  <si>
    <t>Spain</t>
  </si>
  <si>
    <t>LK</t>
  </si>
  <si>
    <t>Sri Lanka</t>
  </si>
  <si>
    <t>LKA</t>
  </si>
  <si>
    <t>St. Kitts and Nevis</t>
  </si>
  <si>
    <t>KNA</t>
  </si>
  <si>
    <t>U4</t>
  </si>
  <si>
    <t>St. Lucia</t>
  </si>
  <si>
    <t>LCA</t>
  </si>
  <si>
    <t>U5</t>
  </si>
  <si>
    <t>St. Martin (French part)</t>
  </si>
  <si>
    <t>MAF</t>
  </si>
  <si>
    <t>U6</t>
  </si>
  <si>
    <t>St. Vincent and the Grenadines</t>
  </si>
  <si>
    <t>VCT</t>
  </si>
  <si>
    <t>SD</t>
  </si>
  <si>
    <t>Sudan</t>
  </si>
  <si>
    <t>SDN</t>
  </si>
  <si>
    <t>SR</t>
  </si>
  <si>
    <t>Suriname</t>
  </si>
  <si>
    <t>SUR</t>
  </si>
  <si>
    <t>SJ</t>
  </si>
  <si>
    <t>Svalbard and Jan Mayen</t>
  </si>
  <si>
    <t>SZ</t>
  </si>
  <si>
    <t>Swaziland</t>
  </si>
  <si>
    <t>SWZ</t>
  </si>
  <si>
    <t>SE</t>
  </si>
  <si>
    <t>Sweden</t>
  </si>
  <si>
    <t>CH</t>
  </si>
  <si>
    <t>Switzerland</t>
  </si>
  <si>
    <t>CHE</t>
  </si>
  <si>
    <t>SY</t>
  </si>
  <si>
    <t>Syrian Arab Republic</t>
  </si>
  <si>
    <t>TW</t>
  </si>
  <si>
    <t>Taiwan, Province of China</t>
  </si>
  <si>
    <t>TJ</t>
  </si>
  <si>
    <t>Tajikistan</t>
  </si>
  <si>
    <t>TJK</t>
  </si>
  <si>
    <t>TZ</t>
  </si>
  <si>
    <t>Tanzania, United Republic of</t>
  </si>
  <si>
    <t>Tanzania</t>
  </si>
  <si>
    <t>TH</t>
  </si>
  <si>
    <t>Thailand</t>
  </si>
  <si>
    <t>THA</t>
  </si>
  <si>
    <t>TL</t>
  </si>
  <si>
    <t>Timor-Leste</t>
  </si>
  <si>
    <t>TMP</t>
  </si>
  <si>
    <t>TG</t>
  </si>
  <si>
    <t>Togo</t>
  </si>
  <si>
    <t>TGO</t>
  </si>
  <si>
    <t>TK</t>
  </si>
  <si>
    <t>Tokelau</t>
  </si>
  <si>
    <t>TO</t>
  </si>
  <si>
    <t>Tonga</t>
  </si>
  <si>
    <t>TON</t>
  </si>
  <si>
    <t>TT</t>
  </si>
  <si>
    <t>Trinidad and Tobago</t>
  </si>
  <si>
    <t>TTO</t>
  </si>
  <si>
    <t>Tunisia</t>
  </si>
  <si>
    <t>TUN</t>
  </si>
  <si>
    <t>TR</t>
  </si>
  <si>
    <t>Turkey</t>
  </si>
  <si>
    <t>TUR</t>
  </si>
  <si>
    <t>TM</t>
  </si>
  <si>
    <t>Turkmenistan</t>
  </si>
  <si>
    <t>TKM</t>
  </si>
  <si>
    <t>TC</t>
  </si>
  <si>
    <t>Turks and Caicos Islands</t>
  </si>
  <si>
    <t>TCA</t>
  </si>
  <si>
    <t>TV</t>
  </si>
  <si>
    <t>Tuvalu</t>
  </si>
  <si>
    <t>TUV</t>
  </si>
  <si>
    <t>UG</t>
  </si>
  <si>
    <t>Uganda</t>
  </si>
  <si>
    <t>UGA</t>
  </si>
  <si>
    <t>UA</t>
  </si>
  <si>
    <t>Ukraine</t>
  </si>
  <si>
    <t>UKR</t>
  </si>
  <si>
    <t>AE</t>
  </si>
  <si>
    <t>United Arab Emirates</t>
  </si>
  <si>
    <t>ARE</t>
  </si>
  <si>
    <t>GB</t>
  </si>
  <si>
    <t>United Kingdom</t>
  </si>
  <si>
    <t>US</t>
  </si>
  <si>
    <t>United States [A to E] [F to J] [K to O] [P to T] [U to Z]</t>
  </si>
  <si>
    <t>United States</t>
  </si>
  <si>
    <t>UM</t>
  </si>
  <si>
    <t>United States Minor Outlying Islands</t>
  </si>
  <si>
    <t>UY</t>
  </si>
  <si>
    <t>Uruguay</t>
  </si>
  <si>
    <t>UZ</t>
  </si>
  <si>
    <t>Uzbekistan</t>
  </si>
  <si>
    <t>UZB</t>
  </si>
  <si>
    <t>VU</t>
  </si>
  <si>
    <t>Vanuatu</t>
  </si>
  <si>
    <t>VUT</t>
  </si>
  <si>
    <t>VE</t>
  </si>
  <si>
    <t>Venezuela</t>
  </si>
  <si>
    <t>Venezuela, RB</t>
  </si>
  <si>
    <t>VEN</t>
  </si>
  <si>
    <t>VN</t>
  </si>
  <si>
    <t>Viet Nam</t>
  </si>
  <si>
    <t>Vietnam</t>
  </si>
  <si>
    <t>VG</t>
  </si>
  <si>
    <t>Virgin Islands, British</t>
  </si>
  <si>
    <t>Virgin Islands (U.S.)</t>
  </si>
  <si>
    <t>VIR</t>
  </si>
  <si>
    <t>U7</t>
  </si>
  <si>
    <t>West Bank and Gaza</t>
  </si>
  <si>
    <t>WBG</t>
  </si>
  <si>
    <t>VI</t>
  </si>
  <si>
    <t>Virgin Islands, U.S.</t>
  </si>
  <si>
    <t>WF</t>
  </si>
  <si>
    <t>Wallis and Futuna</t>
  </si>
  <si>
    <t>EH</t>
  </si>
  <si>
    <t>Western Sahara</t>
  </si>
  <si>
    <t>YE</t>
  </si>
  <si>
    <t>Yemen</t>
  </si>
  <si>
    <t>Yemen, Rep.</t>
  </si>
  <si>
    <t>YEM</t>
  </si>
  <si>
    <t>ZM</t>
  </si>
  <si>
    <t>Zambia</t>
  </si>
  <si>
    <t>ZMB</t>
  </si>
  <si>
    <t>ZW</t>
  </si>
  <si>
    <t>Zimbabwe</t>
  </si>
  <si>
    <t>ZWE</t>
  </si>
  <si>
    <t>financial and industrial products and services to farmers</t>
  </si>
  <si>
    <t>includes food &amp; beverage, services, consumer goods</t>
  </si>
  <si>
    <t>includes trash&amp;recycle management</t>
  </si>
  <si>
    <t>includes open data orgs, transparency orgs</t>
  </si>
  <si>
    <t>Newspapers, news channels, magazines, advertising, communications</t>
  </si>
  <si>
    <t>includes components manufacturing, machining and assembly</t>
  </si>
  <si>
    <t>management information consultancy</t>
  </si>
  <si>
    <t>includes disaster management</t>
  </si>
  <si>
    <t>includes pest control</t>
  </si>
  <si>
    <t>Other:________</t>
  </si>
  <si>
    <t>TYPE</t>
  </si>
  <si>
    <t>KEY PERSON</t>
  </si>
  <si>
    <t>LINK</t>
  </si>
  <si>
    <t>DESCRIPTION</t>
  </si>
  <si>
    <t>Organization</t>
  </si>
  <si>
    <t>GovLab</t>
  </si>
  <si>
    <t>http://www.opendata500.com/</t>
  </si>
  <si>
    <t>OpenData500</t>
  </si>
  <si>
    <t>https://finances.worldbank.org/Reference/Open-Data-Use-Cases-Solutions-Survey-Responses/hibh-z4ax</t>
  </si>
  <si>
    <t>​The World Bank Group and Inter-American Development Bank are conducting a study on open data and collecting examples of its use</t>
  </si>
  <si>
    <t>https://finances.worldbank.org/dataset/Pipeline-research-open-data-driven-companies-in-em/u4wq-7b6m</t>
  </si>
  <si>
    <t>This dataset contains the names and basic information about companies that were contacted in the process of a research which aimed to identify open data companies in emerging markets, specifically in Latin America, Southeast Asia, Africa, as well as India and Russia. The data was collected by several</t>
  </si>
  <si>
    <t>https://sunlightfoundation.com/blog/2015/02/25/were-still-looking-for-open-data-social-impact-stories/</t>
  </si>
  <si>
    <t>Indian OD businesses in sector slides</t>
  </si>
  <si>
    <t>https://docs.google.com/a/odenterprise.org/document/d/1wTUdHZFAEAy8LJ0khr25ztHYetCec5pZVFnIGyrD4OY/edit</t>
  </si>
  <si>
    <t>http://theodi.org/open-business-uk-survey</t>
  </si>
  <si>
    <t>The Open Data Institute has launched the UK’s most comprehensive, systematic assessment to date of how companies are creating value from open data.</t>
  </si>
  <si>
    <t>Regional Supporter</t>
  </si>
  <si>
    <t>email</t>
  </si>
  <si>
    <t>Personal Contact</t>
  </si>
  <si>
    <t>Bapu</t>
  </si>
  <si>
    <t>Tony Hodson</t>
  </si>
  <si>
    <t>CGI </t>
  </si>
  <si>
    <t>Mike Wood</t>
  </si>
  <si>
    <t>Forum One</t>
  </si>
  <si>
    <t>Mike S</t>
  </si>
  <si>
    <t>UNDESA</t>
  </si>
  <si>
    <t>Richard Kerby</t>
  </si>
  <si>
    <t>MaRSdd
</t>
  </si>
  <si>
    <t>Sameer &amp; Amy</t>
  </si>
  <si>
    <t>Expert-Grup</t>
  </si>
  <si>
    <t>Victoria</t>
  </si>
  <si>
    <t>WB India
</t>
  </si>
  <si>
    <t>Somnath</t>
  </si>
  <si>
    <t>ITMO
</t>
  </si>
  <si>
    <t>Vitaly</t>
  </si>
  <si>
    <t>Spanish Government Study</t>
  </si>
  <si>
    <t>Carlos Iglesias</t>
  </si>
  <si>
    <t>OKFN Japan</t>
  </si>
  <si>
    <t>Code for Korea</t>
  </si>
  <si>
    <t>Contact from CC</t>
  </si>
  <si>
    <t>Creative Commons</t>
  </si>
  <si>
    <t>Punnet</t>
  </si>
  <si>
    <t>DATA USE -  type; country; level</t>
  </si>
  <si>
    <t>EG. agriculture;BRA; national | health;BRA; regional</t>
  </si>
  <si>
    <t>type</t>
  </si>
  <si>
    <t>application</t>
  </si>
  <si>
    <t>develop new products or services</t>
  </si>
  <si>
    <t>organizational optimization (e.g. benchmarking, market analysis, improving efficiency, enhancing existing products and services)</t>
  </si>
  <si>
    <t>Business</t>
  </si>
  <si>
    <t>Demographics and social</t>
  </si>
  <si>
    <t>census, national Statistics</t>
  </si>
  <si>
    <t>other</t>
  </si>
  <si>
    <t>Economics</t>
  </si>
  <si>
    <t>Finance</t>
  </si>
  <si>
    <t>zipcode, gps</t>
  </si>
  <si>
    <t>Government operations</t>
  </si>
  <si>
    <t>budgets, elections, city operations,</t>
  </si>
  <si>
    <t>Health/healthcare</t>
  </si>
  <si>
    <t>health inspection reports</t>
  </si>
  <si>
    <t>Housing</t>
  </si>
  <si>
    <t>land and building permits</t>
  </si>
  <si>
    <t>International/global development</t>
  </si>
  <si>
    <t>Legal</t>
  </si>
  <si>
    <t>patent</t>
  </si>
  <si>
    <t>Manufacturing</t>
  </si>
  <si>
    <t>Science and research</t>
  </si>
  <si>
    <t>genome data, research and educational activity</t>
  </si>
  <si>
    <t>Public safety</t>
  </si>
  <si>
    <t>flight info, public transport timetables and routes, traffic optimization</t>
  </si>
  <si>
    <t>conf level</t>
  </si>
  <si>
    <t>description</t>
  </si>
  <si>
    <t>SCENARIO</t>
  </si>
  <si>
    <t>STARTING POINT</t>
  </si>
  <si>
    <t>EXAMPLE</t>
  </si>
  <si>
    <t>ACTION</t>
  </si>
  <si>
    <t>CONFIDENCE LEVEL</t>
  </si>
  <si>
    <t>1</t>
  </si>
  <si>
    <t>Does not use open data at all, data sources/sets disclosed do not include open data</t>
  </si>
  <si>
    <t>ideal</t>
  </si>
  <si>
    <t>List of orgs that use open data (refered by partner)</t>
  </si>
  <si>
    <t>Look for org info (e.g. org website)</t>
  </si>
  <si>
    <t>Confidence 5</t>
  </si>
  <si>
    <t>2</t>
  </si>
  <si>
    <t>Little is disclosed about data use, low probability of open data use OR is a project that uses open data at an organization</t>
  </si>
  <si>
    <t>great</t>
  </si>
  <si>
    <t>List of orgs that seem to use open data</t>
  </si>
  <si>
    <t>World Bank
 Or
 Australia</t>
  </si>
  <si>
    <t>Look for evidence of open data use; Look for org info</t>
  </si>
  <si>
    <t>Confidence needs to be assessed case by case</t>
  </si>
  <si>
    <t>3</t>
  </si>
  <si>
    <t>No evidence of open data use is found, but open data is likely given context. </t>
  </si>
  <si>
    <t>good</t>
  </si>
  <si>
    <t>List of orgs that may use open data.. but we dont really know</t>
  </si>
  <si>
    <t>FinTech</t>
  </si>
  <si>
    <t>4</t>
  </si>
  <si>
    <t>Evidence of open data use is found, but data sources/sets are not disclosed</t>
  </si>
  <si>
    <t>Not so great</t>
  </si>
  <si>
    <t>No list</t>
  </si>
  <si>
    <t>Denmark (Tobia’s example)</t>
  </si>
  <si>
    <t>find orgs in specific region may use open data (Google it!)</t>
  </si>
  <si>
    <t>5</t>
  </si>
  <si>
    <t>Evidence of open data, including specific data use</t>
  </si>
  <si>
    <t>sources for evidence</t>
  </si>
  <si>
    <t>org website, website blog</t>
  </si>
  <si>
    <t>survey (od500, ODE, other)</t>
  </si>
  <si>
    <t>research/white paper</t>
  </si>
  <si>
    <t>news article</t>
  </si>
  <si>
    <t>contribution from regional supporter</t>
  </si>
  <si>
    <t>featured on govt website</t>
  </si>
  <si>
    <t>open data roundtable / contribution from government</t>
  </si>
  <si>
    <t>interview</t>
  </si>
  <si>
    <t>Definition of "Evidence"</t>
  </si>
  <si>
    <t>terms: "public data", "public sources"</t>
  </si>
  <si>
    <t>"open government data" or "open data"</t>
  </si>
  <si>
    <t>"public sector data"</t>
  </si>
  <si>
    <t>use of open data sets (census, weather data, crime, etc)</t>
  </si>
  <si>
    <t>use of government data written in source // mention of specific government department</t>
  </si>
  <si>
    <t>Incubators and accelerators = business and legal services (industry)
</t>
  </si>
  <si>
    <t>Types of Impact</t>
  </si>
  <si>
    <t>Examples</t>
  </si>
  <si>
    <t>New business creation, new product or service creation, job creation
</t>
  </si>
  <si>
    <t>energy efficiency, water management,</t>
  </si>
  <si>
    <t>Transparency, citizen participation, consumer awareness/protection</t>
  </si>
  <si>
    <t>healthcare, education, mental health, human rights, international development, public safety, public health</t>
  </si>
  <si>
    <t>Other</t>
  </si>
</sst>
</file>

<file path=xl/styles.xml><?xml version="1.0" encoding="utf-8"?>
<styleSheet xmlns="http://schemas.openxmlformats.org/spreadsheetml/2006/main">
  <numFmts count="1">
    <numFmt numFmtId="164" formatCode="GENERAL"/>
  </numFmts>
  <fonts count="42">
    <font>
      <sz val="10"/>
      <color rgb="FF000000"/>
      <name val="Arial"/>
      <family val="2"/>
      <charset val="1"/>
    </font>
    <font>
      <sz val="10"/>
      <name val="Arial"/>
      <family val="0"/>
    </font>
    <font>
      <sz val="10"/>
      <name val="Arial"/>
      <family val="0"/>
    </font>
    <font>
      <sz val="10"/>
      <name val="Arial"/>
      <family val="0"/>
    </font>
    <font>
      <b val="true"/>
      <sz val="11"/>
      <name val="Cambria"/>
      <family val="1"/>
      <charset val="1"/>
    </font>
    <font>
      <b val="true"/>
      <sz val="10"/>
      <name val="Cambria"/>
      <family val="1"/>
      <charset val="1"/>
    </font>
    <font>
      <sz val="11"/>
      <name val="Cambria"/>
      <family val="1"/>
      <charset val="1"/>
    </font>
    <font>
      <sz val="10"/>
      <name val="Cambria"/>
      <family val="1"/>
      <charset val="1"/>
    </font>
    <font>
      <u val="single"/>
      <sz val="11"/>
      <color rgb="FF0000FF"/>
      <name val="Cambria"/>
      <family val="1"/>
      <charset val="1"/>
    </font>
    <font>
      <sz val="10"/>
      <color rgb="FF222222"/>
      <name val="Cambria"/>
      <family val="1"/>
      <charset val="1"/>
    </font>
    <font>
      <u val="single"/>
      <sz val="10"/>
      <color rgb="FF0000FF"/>
      <name val="Cambria"/>
      <family val="1"/>
      <charset val="1"/>
    </font>
    <font>
      <sz val="10"/>
      <color rgb="FF535353"/>
      <name val="Cambria"/>
      <family val="1"/>
      <charset val="1"/>
    </font>
    <font>
      <sz val="10"/>
      <color rgb="FF444444"/>
      <name val="Cambria"/>
      <family val="1"/>
      <charset val="1"/>
    </font>
    <font>
      <sz val="10"/>
      <color rgb="FF333333"/>
      <name val="Cambria"/>
      <family val="1"/>
      <charset val="1"/>
    </font>
    <font>
      <sz val="9"/>
      <name val="Cambria"/>
      <family val="1"/>
      <charset val="1"/>
    </font>
    <font>
      <sz val="10"/>
      <color rgb="FF0000FF"/>
      <name val="Cambria"/>
      <family val="1"/>
      <charset val="1"/>
    </font>
    <font>
      <sz val="10"/>
      <color rgb="FF141823"/>
      <name val="Cambria"/>
      <family val="1"/>
      <charset val="1"/>
    </font>
    <font>
      <sz val="11"/>
      <color rgb="FF000000"/>
      <name val="Cambria"/>
      <family val="1"/>
      <charset val="1"/>
    </font>
    <font>
      <sz val="11"/>
      <color rgb="FF333333"/>
      <name val="Cambria"/>
      <family val="1"/>
      <charset val="1"/>
    </font>
    <font>
      <sz val="10"/>
      <color rgb="FF323333"/>
      <name val="Cambria"/>
      <family val="1"/>
      <charset val="1"/>
    </font>
    <font>
      <sz val="10"/>
      <color rgb="FF000000"/>
      <name val="Cambria"/>
      <family val="1"/>
      <charset val="1"/>
    </font>
    <font>
      <u val="single"/>
      <sz val="11"/>
      <color rgb="FF000000"/>
      <name val="Cambria"/>
      <family val="1"/>
      <charset val="1"/>
    </font>
    <font>
      <sz val="11"/>
      <color rgb="FF777777"/>
      <name val="Cambria"/>
      <family val="1"/>
      <charset val="1"/>
    </font>
    <font>
      <u val="single"/>
      <sz val="10"/>
      <color rgb="FF1155CC"/>
      <name val="Cambria"/>
      <family val="1"/>
      <charset val="1"/>
    </font>
    <font>
      <u val="single"/>
      <sz val="11"/>
      <color rgb="FF006621"/>
      <name val="Cambria"/>
      <family val="1"/>
      <charset val="1"/>
    </font>
    <font>
      <sz val="10"/>
      <color rgb="FF404040"/>
      <name val="Cambria"/>
      <family val="1"/>
      <charset val="1"/>
    </font>
    <font>
      <sz val="11"/>
      <color rgb="FF212121"/>
      <name val="Cambria"/>
      <family val="1"/>
      <charset val="1"/>
    </font>
    <font>
      <sz val="11"/>
      <color rgb="FF323232"/>
      <name val="Cambria"/>
      <family val="1"/>
      <charset val="1"/>
    </font>
    <font>
      <sz val="11"/>
      <color rgb="FF444444"/>
      <name val="Cambria"/>
      <family val="1"/>
      <charset val="1"/>
    </font>
    <font>
      <sz val="10"/>
      <color rgb="FF1155CC"/>
      <name val="Cambria"/>
      <family val="1"/>
      <charset val="1"/>
    </font>
    <font>
      <sz val="10"/>
      <name val="Trebuchet MS"/>
      <family val="2"/>
      <charset val="1"/>
    </font>
    <font>
      <u val="single"/>
      <sz val="10"/>
      <color rgb="FF141823"/>
      <name val="Cambria"/>
      <family val="1"/>
      <charset val="1"/>
    </font>
    <font>
      <sz val="10"/>
      <color rgb="FF3B5998"/>
      <name val="Cambria"/>
      <family val="1"/>
      <charset val="1"/>
    </font>
    <font>
      <sz val="11"/>
      <color rgb="FF252525"/>
      <name val="Cambria"/>
      <family val="1"/>
      <charset val="1"/>
    </font>
    <font>
      <sz val="11"/>
      <color rgb="FF141823"/>
      <name val="Cambria"/>
      <family val="1"/>
      <charset val="1"/>
    </font>
    <font>
      <u val="single"/>
      <sz val="9"/>
      <color rgb="FF66696A"/>
      <name val="Cambria"/>
      <family val="1"/>
      <charset val="1"/>
    </font>
    <font>
      <b val="true"/>
      <u val="single"/>
      <sz val="10"/>
      <color rgb="FF403E3C"/>
      <name val="Cambria"/>
      <family val="1"/>
      <charset val="1"/>
    </font>
    <font>
      <b val="true"/>
      <sz val="10"/>
      <color rgb="FF403E3C"/>
      <name val="Cambria"/>
      <family val="1"/>
      <charset val="1"/>
    </font>
    <font>
      <i val="true"/>
      <sz val="11"/>
      <name val="Cambria"/>
      <family val="1"/>
      <charset val="1"/>
    </font>
    <font>
      <b val="true"/>
      <sz val="12"/>
      <color rgb="FF000000"/>
      <name val="Cambria"/>
      <family val="1"/>
      <charset val="1"/>
    </font>
    <font>
      <b val="true"/>
      <i val="true"/>
      <sz val="11"/>
      <name val="Cambria"/>
      <family val="1"/>
      <charset val="1"/>
    </font>
    <font>
      <b val="true"/>
      <sz val="11"/>
      <color rgb="FF444444"/>
      <name val="Cambria"/>
      <family val="1"/>
      <charset val="1"/>
    </font>
  </fonts>
  <fills count="13">
    <fill>
      <patternFill patternType="none"/>
    </fill>
    <fill>
      <patternFill patternType="gray125"/>
    </fill>
    <fill>
      <patternFill patternType="solid">
        <fgColor rgb="FFD9EAD3"/>
        <bgColor rgb="FFDDDDDD"/>
      </patternFill>
    </fill>
    <fill>
      <patternFill patternType="solid">
        <fgColor rgb="FFFCE5CD"/>
        <bgColor rgb="FFEFEFEF"/>
      </patternFill>
    </fill>
    <fill>
      <patternFill patternType="solid">
        <fgColor rgb="FFFFFFFF"/>
        <bgColor rgb="FFF9F9F9"/>
      </patternFill>
    </fill>
    <fill>
      <patternFill patternType="solid">
        <fgColor rgb="FFFFFF00"/>
        <bgColor rgb="FFFFFF00"/>
      </patternFill>
    </fill>
    <fill>
      <patternFill patternType="solid">
        <fgColor rgb="FFEFEFEF"/>
        <bgColor rgb="FFF9F9F9"/>
      </patternFill>
    </fill>
    <fill>
      <patternFill patternType="solid">
        <fgColor rgb="FFF9F9F9"/>
        <bgColor rgb="FFFFFFFF"/>
      </patternFill>
    </fill>
    <fill>
      <patternFill patternType="solid">
        <fgColor rgb="FFC27BA0"/>
        <bgColor rgb="FFFF8080"/>
      </patternFill>
    </fill>
    <fill>
      <patternFill patternType="solid">
        <fgColor rgb="FFC9DAF8"/>
        <bgColor rgb="FFD9D2E9"/>
      </patternFill>
    </fill>
    <fill>
      <patternFill patternType="solid">
        <fgColor rgb="FFD9D2E9"/>
        <bgColor rgb="FFDDDDDD"/>
      </patternFill>
    </fill>
    <fill>
      <patternFill patternType="solid">
        <fgColor rgb="FFD5A6BD"/>
        <bgColor rgb="FFFF99CC"/>
      </patternFill>
    </fill>
    <fill>
      <patternFill patternType="solid">
        <fgColor rgb="FFCCCCCC"/>
        <bgColor rgb="FFD9D2E9"/>
      </patternFill>
    </fill>
  </fills>
  <borders count="15">
    <border diagonalUp="false" diagonalDown="false">
      <left/>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top/>
      <bottom/>
      <diagonal/>
    </border>
    <border diagonalUp="false" diagonalDown="false">
      <left style="thin"/>
      <right style="thin"/>
      <top/>
      <bottom/>
      <diagonal/>
    </border>
    <border diagonalUp="false" diagonalDown="false">
      <left style="thin">
        <color rgb="FFDDDDDD"/>
      </left>
      <right style="thin">
        <color rgb="FFDDDDDD"/>
      </right>
      <top style="thin">
        <color rgb="FFDDDDDD"/>
      </top>
      <bottom style="thin"/>
      <diagonal/>
    </border>
    <border diagonalUp="false" diagonalDown="false">
      <left/>
      <right style="thin">
        <color rgb="FFDDDDDD"/>
      </right>
      <top style="thin">
        <color rgb="FFDDDDDD"/>
      </top>
      <bottom style="thin"/>
      <diagonal/>
    </border>
    <border diagonalUp="false" diagonalDown="false">
      <left/>
      <right/>
      <top/>
      <bottom style="thin">
        <color rgb="FFDDDDDD"/>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3" borderId="1" xfId="0" applyFont="true" applyBorder="true" applyAlignment="true" applyProtection="false">
      <alignment horizontal="center" vertical="bottom" textRotation="0" wrapText="true" indent="0" shrinkToFit="false"/>
      <protection locked="true" hidden="false"/>
    </xf>
    <xf numFmtId="164" fontId="5" fillId="3" borderId="2"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center" vertical="bottom" textRotation="0" wrapText="true" indent="0" shrinkToFit="false"/>
      <protection locked="true" hidden="false"/>
    </xf>
    <xf numFmtId="164" fontId="5" fillId="3" borderId="2" xfId="0" applyFont="true" applyBorder="true" applyAlignment="true" applyProtection="false">
      <alignment horizontal="center" vertical="bottom" textRotation="0" wrapText="true" indent="0" shrinkToFit="false"/>
      <protection locked="true" hidden="false"/>
    </xf>
    <xf numFmtId="164" fontId="5" fillId="4" borderId="2" xfId="0" applyFont="true" applyBorder="true" applyAlignment="true" applyProtection="false">
      <alignment horizontal="center" vertical="bottom" textRotation="0" wrapText="true" indent="0" shrinkToFit="false"/>
      <protection locked="true" hidden="false"/>
    </xf>
    <xf numFmtId="164" fontId="5" fillId="3" borderId="3" xfId="0" applyFont="true" applyBorder="true" applyAlignment="true" applyProtection="false">
      <alignment horizontal="center" vertical="bottom" textRotation="0" wrapText="tru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3" borderId="5" xfId="0" applyFont="true" applyBorder="true" applyAlignment="true" applyProtection="false">
      <alignment horizontal="center" vertical="bottom" textRotation="0" wrapText="tru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7" fillId="0" borderId="5" xfId="0" applyFont="true" applyBorder="tru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7" fillId="4" borderId="6" xfId="0" applyFont="true" applyBorder="tru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center" vertical="bottom" textRotation="0" wrapText="true" indent="0" shrinkToFit="false"/>
      <protection locked="true" hidden="false"/>
    </xf>
    <xf numFmtId="164" fontId="6" fillId="0" borderId="4" xfId="0" applyFont="true" applyBorder="true" applyAlignment="true" applyProtection="false">
      <alignment horizontal="center" vertical="bottom" textRotation="0" wrapText="true" indent="0" shrinkToFit="false"/>
      <protection locked="true" hidden="false"/>
    </xf>
    <xf numFmtId="164" fontId="7" fillId="4" borderId="5" xfId="0" applyFont="true" applyBorder="true" applyAlignment="true" applyProtection="false">
      <alignment horizontal="center"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general" vertical="bottom" textRotation="0" wrapText="true" indent="0" shrinkToFit="false"/>
      <protection locked="true" hidden="false"/>
    </xf>
    <xf numFmtId="164" fontId="6" fillId="0" borderId="6"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4" fontId="9" fillId="4" borderId="0" xfId="0" applyFont="true" applyBorder="fals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left" vertical="bottom" textRotation="0" wrapText="tru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9" fillId="4"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tru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center" vertical="bottom" textRotation="0" wrapText="true" indent="0" shrinkToFit="false"/>
      <protection locked="true" hidden="false"/>
    </xf>
    <xf numFmtId="164" fontId="7" fillId="4" borderId="5" xfId="0" applyFont="true" applyBorder="tru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4" borderId="4" xfId="0" applyFont="true" applyBorder="true" applyAlignment="true" applyProtection="false">
      <alignment horizontal="center" vertical="bottom" textRotation="0" wrapText="true" indent="0" shrinkToFit="false"/>
      <protection locked="true" hidden="false"/>
    </xf>
    <xf numFmtId="164" fontId="7" fillId="4" borderId="4"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5" xfId="0" applyFont="true" applyBorder="true" applyAlignment="true" applyProtection="false">
      <alignment horizontal="left" vertical="bottom" textRotation="0" wrapText="true" indent="0" shrinkToFit="false"/>
      <protection locked="true" hidden="false"/>
    </xf>
    <xf numFmtId="164" fontId="7" fillId="4" borderId="0" xfId="0" applyFont="true" applyBorder="false" applyAlignment="true" applyProtection="false">
      <alignment horizontal="left" vertical="bottom" textRotation="0" wrapText="true" indent="0" shrinkToFit="false"/>
      <protection locked="true" hidden="false"/>
    </xf>
    <xf numFmtId="164" fontId="7" fillId="4" borderId="4" xfId="0" applyFont="true" applyBorder="true" applyAlignment="true" applyProtection="false">
      <alignment horizontal="left" vertical="bottom" textRotation="0" wrapText="true" indent="0" shrinkToFit="false"/>
      <protection locked="true" hidden="false"/>
    </xf>
    <xf numFmtId="164" fontId="10" fillId="4" borderId="0" xfId="0" applyFont="true" applyBorder="false" applyAlignment="true" applyProtection="false">
      <alignment horizontal="center" vertical="bottom" textRotation="0" wrapText="true" indent="0" shrinkToFit="false"/>
      <protection locked="true" hidden="false"/>
    </xf>
    <xf numFmtId="164" fontId="8" fillId="0" borderId="6"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7" fillId="0" borderId="5"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top" textRotation="0" wrapText="true" indent="0" shrinkToFit="false"/>
      <protection locked="true" hidden="false"/>
    </xf>
    <xf numFmtId="164" fontId="13" fillId="0" borderId="5" xfId="0" applyFont="true" applyBorder="true" applyAlignment="true" applyProtection="false">
      <alignment horizontal="left" vertical="top" textRotation="0" wrapText="tru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center" vertical="bottom" textRotation="0" wrapText="true" indent="0" shrinkToFit="false"/>
      <protection locked="true" hidden="false"/>
    </xf>
    <xf numFmtId="164" fontId="10" fillId="0" borderId="5"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5"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bottom"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6" fillId="0" borderId="5" xfId="0" applyFont="true" applyBorder="true" applyAlignment="tru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general" vertical="bottom" textRotation="0" wrapText="false" indent="0" shrinkToFit="false"/>
      <protection locked="true" hidden="false"/>
    </xf>
    <xf numFmtId="164" fontId="18" fillId="4" borderId="5" xfId="0" applyFont="true" applyBorder="true" applyAlignment="tru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0" fillId="0" borderId="5"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left" vertical="bottom" textRotation="0" wrapText="true" indent="0" shrinkToFit="false"/>
      <protection locked="true" hidden="false"/>
    </xf>
    <xf numFmtId="164" fontId="17" fillId="0" borderId="4" xfId="0" applyFont="true" applyBorder="true" applyAlignment="true" applyProtection="false">
      <alignment horizontal="left" vertical="bottom" textRotation="0" wrapText="true" indent="0" shrinkToFit="false"/>
      <protection locked="true" hidden="false"/>
    </xf>
    <xf numFmtId="164" fontId="17" fillId="0" borderId="6" xfId="0" applyFont="true" applyBorder="true" applyAlignment="true" applyProtection="false">
      <alignment horizontal="left" vertical="bottom" textRotation="0" wrapText="true" indent="0" shrinkToFit="false"/>
      <protection locked="true" hidden="false"/>
    </xf>
    <xf numFmtId="164" fontId="17" fillId="0" borderId="5"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22" fillId="6"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23" fillId="0" borderId="0" xfId="0" applyFont="true" applyBorder="false" applyAlignment="true" applyProtection="false">
      <alignment horizontal="left" vertical="bottom" textRotation="0" wrapText="true" indent="0" shrinkToFit="false"/>
      <protection locked="true" hidden="false"/>
    </xf>
    <xf numFmtId="164" fontId="24" fillId="4"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4" fontId="9" fillId="0" borderId="5" xfId="0" applyFont="true" applyBorder="true" applyAlignment="true" applyProtection="false">
      <alignment horizontal="left" vertical="top" textRotation="0" wrapText="true" indent="0" shrinkToFit="false"/>
      <protection locked="true" hidden="false"/>
    </xf>
    <xf numFmtId="164" fontId="18" fillId="4" borderId="0" xfId="0" applyFont="true" applyBorder="false" applyAlignment="true" applyProtection="false">
      <alignment horizontal="general" vertical="bottom" textRotation="0" wrapText="false" indent="0" shrinkToFit="false"/>
      <protection locked="true" hidden="false"/>
    </xf>
    <xf numFmtId="164" fontId="9" fillId="4" borderId="4" xfId="0" applyFont="true" applyBorder="tru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left" vertical="bottom" textRotation="0" wrapText="true" indent="0" shrinkToFit="false"/>
      <protection locked="true" hidden="false"/>
    </xf>
    <xf numFmtId="164" fontId="26" fillId="4" borderId="0" xfId="0" applyFont="true" applyBorder="false" applyAlignment="true" applyProtection="false">
      <alignment horizontal="left" vertical="bottom" textRotation="0" wrapText="true" indent="0" shrinkToFit="false"/>
      <protection locked="true" hidden="false"/>
    </xf>
    <xf numFmtId="164" fontId="7" fillId="4" borderId="4" xfId="0" applyFont="true" applyBorder="true" applyAlignment="tru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bottom" textRotation="0" wrapText="true" indent="0" shrinkToFit="false"/>
      <protection locked="true" hidden="false"/>
    </xf>
    <xf numFmtId="164" fontId="7" fillId="0" borderId="4" xfId="0" applyFont="true" applyBorder="true" applyAlignment="true" applyProtection="false">
      <alignment horizontal="center" vertical="bottom" textRotation="0" wrapText="true" indent="0" shrinkToFit="false"/>
      <protection locked="true" hidden="false"/>
    </xf>
    <xf numFmtId="164" fontId="7" fillId="0" borderId="5" xfId="0" applyFont="true" applyBorder="true" applyAlignment="true" applyProtection="false">
      <alignment horizontal="center" vertical="bottom" textRotation="0" wrapText="true" indent="0" shrinkToFit="false"/>
      <protection locked="true" hidden="false"/>
    </xf>
    <xf numFmtId="164" fontId="30" fillId="0" borderId="0" xfId="0" applyFont="true" applyBorder="fals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left" vertical="bottom" textRotation="0" wrapText="true" indent="0" shrinkToFit="false"/>
      <protection locked="true" hidden="false"/>
    </xf>
    <xf numFmtId="164" fontId="32" fillId="0" borderId="0" xfId="0" applyFont="true" applyBorder="false" applyAlignment="true" applyProtection="false">
      <alignment horizontal="left" vertical="top" textRotation="0" wrapText="tru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33" fillId="4"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4" fillId="4" borderId="0" xfId="0" applyFont="true" applyBorder="false" applyAlignment="true" applyProtection="false">
      <alignment horizontal="left" vertical="bottom" textRotation="0" wrapText="false" indent="0" shrinkToFit="false"/>
      <protection locked="true" hidden="false"/>
    </xf>
    <xf numFmtId="164" fontId="35" fillId="4" borderId="0" xfId="0" applyFont="true" applyBorder="false" applyAlignment="true" applyProtection="false">
      <alignment horizontal="left" vertical="bottom" textRotation="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general" vertical="bottom" textRotation="0" wrapText="false" indent="0" shrinkToFit="false"/>
      <protection locked="true" hidden="false"/>
    </xf>
    <xf numFmtId="164" fontId="37" fillId="6" borderId="8" xfId="0" applyFont="true" applyBorder="true" applyAlignment="true" applyProtection="false">
      <alignment horizontal="general" vertical="bottom" textRotation="0" wrapText="false" indent="0" shrinkToFit="false"/>
      <protection locked="true" hidden="false"/>
    </xf>
    <xf numFmtId="164" fontId="5" fillId="6" borderId="2" xfId="0" applyFont="true" applyBorder="true" applyAlignment="true" applyProtection="false">
      <alignment horizontal="general" vertical="bottom" textRotation="0" wrapText="false" indent="0" shrinkToFit="false"/>
      <protection locked="true" hidden="false"/>
    </xf>
    <xf numFmtId="164" fontId="30" fillId="6" borderId="2"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7" fillId="0" borderId="9"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39" fillId="8" borderId="0" xfId="0" applyFont="true" applyBorder="false" applyAlignment="tru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40" fillId="8" borderId="0" xfId="0" applyFont="true" applyBorder="true" applyAlignment="true" applyProtection="false">
      <alignment horizontal="general" vertical="bottom" textRotation="0" wrapText="false" indent="0" shrinkToFit="false"/>
      <protection locked="true" hidden="false"/>
    </xf>
    <xf numFmtId="164" fontId="41" fillId="9" borderId="0" xfId="0" applyFont="true" applyBorder="false" applyAlignment="true" applyProtection="false">
      <alignment horizontal="general" vertical="bottom" textRotation="0" wrapText="false" indent="0" shrinkToFit="false"/>
      <protection locked="true" hidden="false"/>
    </xf>
    <xf numFmtId="164" fontId="4" fillId="10" borderId="0" xfId="0" applyFont="true" applyBorder="false" applyAlignment="true" applyProtection="false">
      <alignment horizontal="general" vertical="bottom" textRotation="0" wrapText="false" indent="0" shrinkToFit="false"/>
      <protection locked="true" hidden="false"/>
    </xf>
    <xf numFmtId="164" fontId="38" fillId="1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4" fillId="0" borderId="10" xfId="0" applyFont="true" applyBorder="true" applyAlignment="true" applyProtection="false">
      <alignment horizontal="center" vertical="bottom" textRotation="0" wrapText="false" indent="0" shrinkToFit="false"/>
      <protection locked="true" hidden="false"/>
    </xf>
    <xf numFmtId="164" fontId="4" fillId="0" borderId="1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general" vertical="bottom" textRotation="0" wrapText="false" indent="0" shrinkToFit="false"/>
      <protection locked="true" hidden="false"/>
    </xf>
    <xf numFmtId="164" fontId="4" fillId="0" borderId="12" xfId="0" applyFont="true" applyBorder="true" applyAlignment="true" applyProtection="false">
      <alignment horizontal="general" vertical="bottom" textRotation="0" wrapText="false" indent="0" shrinkToFit="false"/>
      <protection locked="true" hidden="false"/>
    </xf>
    <xf numFmtId="164" fontId="6" fillId="0" borderId="13" xfId="0" applyFont="true" applyBorder="true" applyAlignment="true" applyProtection="false">
      <alignment horizontal="general" vertical="bottom" textRotation="0" wrapText="false" indent="0" shrinkToFit="false"/>
      <protection locked="true" hidden="false"/>
    </xf>
    <xf numFmtId="164" fontId="4" fillId="0" borderId="14" xfId="0" applyFont="true" applyBorder="true" applyAlignment="true" applyProtection="false">
      <alignment horizontal="general" vertical="bottom" textRotation="0" wrapText="false" indent="0" shrinkToFit="false"/>
      <protection locked="true" hidden="false"/>
    </xf>
    <xf numFmtId="164" fontId="6" fillId="0" borderId="14" xfId="0" applyFont="true" applyBorder="true" applyAlignment="true" applyProtection="false">
      <alignment horizontal="general" vertical="bottom" textRotation="0" wrapText="false" indent="0" shrinkToFit="false"/>
      <protection locked="true" hidden="false"/>
    </xf>
    <xf numFmtId="164" fontId="4" fillId="11" borderId="12" xfId="0" applyFont="true" applyBorder="true" applyAlignment="true" applyProtection="false">
      <alignment horizontal="general" vertical="center" textRotation="0" wrapText="false" indent="0" shrinkToFit="false"/>
      <protection locked="true" hidden="false"/>
    </xf>
    <xf numFmtId="164" fontId="6" fillId="11" borderId="0" xfId="0" applyFont="true" applyBorder="false" applyAlignment="true" applyProtection="false">
      <alignment horizontal="general" vertical="center" textRotation="0" wrapText="false" indent="0" shrinkToFit="false"/>
      <protection locked="true" hidden="false"/>
    </xf>
    <xf numFmtId="164" fontId="4" fillId="12" borderId="12" xfId="0" applyFont="true" applyBorder="true" applyAlignment="true" applyProtection="false">
      <alignment horizontal="general" vertical="center" textRotation="0" wrapText="true" indent="0" shrinkToFit="false"/>
      <protection locked="true" hidden="false"/>
    </xf>
    <xf numFmtId="164" fontId="6" fillId="0" borderId="12" xfId="0" applyFont="true" applyBorder="true" applyAlignment="false" applyProtection="false">
      <alignment horizontal="general" vertical="bottom" textRotation="0" wrapText="false" indent="0" shrinkToFit="false"/>
      <protection locked="true" hidden="false"/>
    </xf>
    <xf numFmtId="164" fontId="6" fillId="0" borderId="12" xfId="0" applyFont="true" applyBorder="true" applyAlignment="true" applyProtection="false">
      <alignment horizontal="general" vertical="top" textRotation="0" wrapText="true" indent="0" shrinkToFit="false"/>
      <protection locked="true" hidden="false"/>
    </xf>
    <xf numFmtId="164" fontId="6" fillId="0" borderId="12" xfId="0" applyFont="true" applyBorder="true" applyAlignment="true" applyProtection="false">
      <alignment horizontal="general" vertical="bottom" textRotation="0" wrapText="false" indent="0" shrinkToFit="false"/>
      <protection locked="true" hidden="false"/>
    </xf>
    <xf numFmtId="164" fontId="4" fillId="12"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404040"/>
      <rgbColor rgb="FF006621"/>
      <rgbColor rgb="FF141823"/>
      <rgbColor rgb="FF808000"/>
      <rgbColor rgb="FF800080"/>
      <rgbColor rgb="FF008080"/>
      <rgbColor rgb="FFCCCCCC"/>
      <rgbColor rgb="FF777777"/>
      <rgbColor rgb="FF9999FF"/>
      <rgbColor rgb="FF535353"/>
      <rgbColor rgb="FFF9F9F9"/>
      <rgbColor rgb="FFEFEFEF"/>
      <rgbColor rgb="FF323333"/>
      <rgbColor rgb="FFFF8080"/>
      <rgbColor rgb="FF1155CC"/>
      <rgbColor rgb="FFC9DAF8"/>
      <rgbColor rgb="FF222222"/>
      <rgbColor rgb="FFFF00FF"/>
      <rgbColor rgb="FFFFFF00"/>
      <rgbColor rgb="FF00FFFF"/>
      <rgbColor rgb="FF800080"/>
      <rgbColor rgb="FF800000"/>
      <rgbColor rgb="FF008080"/>
      <rgbColor rgb="FF0000FF"/>
      <rgbColor rgb="FF00CCFF"/>
      <rgbColor rgb="FFDDDDDD"/>
      <rgbColor rgb="FFD9EAD3"/>
      <rgbColor rgb="FFFFFF99"/>
      <rgbColor rgb="FFD9D2E9"/>
      <rgbColor rgb="FFFF99CC"/>
      <rgbColor rgb="FFD5A6BD"/>
      <rgbColor rgb="FFFCE5CD"/>
      <rgbColor rgb="FF3366FF"/>
      <rgbColor rgb="FF33CCCC"/>
      <rgbColor rgb="FF99CC00"/>
      <rgbColor rgb="FFFFCC00"/>
      <rgbColor rgb="FFFF9900"/>
      <rgbColor rgb="FFFF6600"/>
      <rgbColor rgb="FF66696A"/>
      <rgbColor rgb="FFC27BA0"/>
      <rgbColor rgb="FF252525"/>
      <rgbColor rgb="FF339966"/>
      <rgbColor rgb="FF212121"/>
      <rgbColor rgb="FF323232"/>
      <rgbColor rgb="FF403E3C"/>
      <rgbColor rgb="FF444444"/>
      <rgbColor rgb="FF3B599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www.stickerride.com/" TargetMode="External"/><Relationship Id="rId2" Type="http://schemas.openxmlformats.org/officeDocument/2006/relationships/hyperlink" Target="http://www.observatoriourbano.org.pe/modulo_vigilancia_ciudadana/04_normas_nacionales.html" TargetMode="External"/><Relationship Id="rId3" Type="http://schemas.openxmlformats.org/officeDocument/2006/relationships/hyperlink" Target="http://www.agrococoainvestment.com/" TargetMode="External"/><Relationship Id="rId4" Type="http://schemas.openxmlformats.org/officeDocument/2006/relationships/hyperlink" Target="http://cropin.co.in/" TargetMode="External"/><Relationship Id="rId5" Type="http://schemas.openxmlformats.org/officeDocument/2006/relationships/hyperlink" Target="http://cultivandofuturo.tumblr.com/" TargetMode="External"/><Relationship Id="rId6" Type="http://schemas.openxmlformats.org/officeDocument/2006/relationships/hyperlink" Target="http://mvigour.com/FarmingInstructor.html" TargetMode="External"/><Relationship Id="rId7" Type="http://schemas.openxmlformats.org/officeDocument/2006/relationships/hyperlink" Target="http://www.getlocavore.com/" TargetMode="External"/><Relationship Id="rId8" Type="http://schemas.openxmlformats.org/officeDocument/2006/relationships/hyperlink" Target="http://www.manditrades.com/" TargetMode="External"/><Relationship Id="rId9" Type="http://schemas.openxmlformats.org/officeDocument/2006/relationships/hyperlink" Target="http://www.mkulimayoung.co.ke/" TargetMode="External"/><Relationship Id="rId10" Type="http://schemas.openxmlformats.org/officeDocument/2006/relationships/hyperlink" Target="http://www.solapa4.com/en" TargetMode="External"/><Relationship Id="rId11" Type="http://schemas.openxmlformats.org/officeDocument/2006/relationships/hyperlink" Target="http://www.agricinghana.com/" TargetMode="External"/><Relationship Id="rId12" Type="http://schemas.openxmlformats.org/officeDocument/2006/relationships/hyperlink" Target="http://weathersafe.co.uk/" TargetMode="External"/><Relationship Id="rId13" Type="http://schemas.openxmlformats.org/officeDocument/2006/relationships/hyperlink" Target="http://www.whyhunger.org/" TargetMode="External"/><Relationship Id="rId14" Type="http://schemas.openxmlformats.org/officeDocument/2006/relationships/hyperlink" Target="http://www.wastenotoc.org/" TargetMode="External"/><Relationship Id="rId15" Type="http://schemas.openxmlformats.org/officeDocument/2006/relationships/hyperlink" Target="http://www.greenishbright.com/" TargetMode="External"/><Relationship Id="rId16" Type="http://schemas.openxmlformats.org/officeDocument/2006/relationships/hyperlink" Target="http://www.hintsolutions.ru/" TargetMode="External"/><Relationship Id="rId17" Type="http://schemas.openxmlformats.org/officeDocument/2006/relationships/hyperlink" Target="http://actuatedfutures.com/" TargetMode="External"/><Relationship Id="rId18" Type="http://schemas.openxmlformats.org/officeDocument/2006/relationships/hyperlink" Target="http://www.crowdvoice.org/" TargetMode="External"/><Relationship Id="rId19" Type="http://schemas.openxmlformats.org/officeDocument/2006/relationships/hyperlink" Target="http://www.civicstack.org/" TargetMode="External"/><Relationship Id="rId20" Type="http://schemas.openxmlformats.org/officeDocument/2006/relationships/hyperlink" Target="http://www.ideas42.org/" TargetMode="External"/><Relationship Id="rId21" Type="http://schemas.openxmlformats.org/officeDocument/2006/relationships/hyperlink" Target="http://www.filmcontact.com/member/stefan-coetzer" TargetMode="External"/><Relationship Id="rId22" Type="http://schemas.openxmlformats.org/officeDocument/2006/relationships/hyperlink" Target="http://www.emoksha.org/about.html" TargetMode="External"/><Relationship Id="rId23" Type="http://schemas.openxmlformats.org/officeDocument/2006/relationships/hyperlink" Target="http://www.dmlabs.org/" TargetMode="External"/><Relationship Id="rId24" Type="http://schemas.openxmlformats.org/officeDocument/2006/relationships/hyperlink" Target="http://www.scribd.com/doc/232433281/Open-Financial-Data" TargetMode="External"/><Relationship Id="rId25" Type="http://schemas.openxmlformats.org/officeDocument/2006/relationships/hyperlink" Target="https://aistemos.com/story/" TargetMode="External"/><Relationship Id="rId26" Type="http://schemas.openxmlformats.org/officeDocument/2006/relationships/hyperlink" Target="http://www.allens.com.au/" TargetMode="External"/><Relationship Id="rId27" Type="http://schemas.openxmlformats.org/officeDocument/2006/relationships/hyperlink" Target="https://www.ashurst.com/" TargetMode="External"/><Relationship Id="rId28" Type="http://schemas.openxmlformats.org/officeDocument/2006/relationships/hyperlink" Target="http://www.actionaid.org.uk/campaign/ftse-100-tax-haven-tracker" TargetMode="External"/><Relationship Id="rId29" Type="http://schemas.openxmlformats.org/officeDocument/2006/relationships/hyperlink" Target="https://docs.google.com/document/d/1mAV6eu4htsVc9KXEpdorTiavb4xyvmUuJpiPNrbI3Jw/edit" TargetMode="External"/><Relationship Id="rId30" Type="http://schemas.openxmlformats.org/officeDocument/2006/relationships/hyperlink" Target="http://www.adaptive.com/" TargetMode="External"/><Relationship Id="rId31" Type="http://schemas.openxmlformats.org/officeDocument/2006/relationships/hyperlink" Target="http://www.asc-partners.com/" TargetMode="External"/><Relationship Id="rId32" Type="http://schemas.openxmlformats.org/officeDocument/2006/relationships/hyperlink" Target="http://www.avvo.com/" TargetMode="External"/><Relationship Id="rId33" Type="http://schemas.openxmlformats.org/officeDocument/2006/relationships/hyperlink" Target="http://www.blr.com/" TargetMode="External"/><Relationship Id="rId34" Type="http://schemas.openxmlformats.org/officeDocument/2006/relationships/hyperlink" Target="http://www.complianceandrisks.com/" TargetMode="External"/><Relationship Id="rId35" Type="http://schemas.openxmlformats.org/officeDocument/2006/relationships/hyperlink" Target="http://www.copyright.com/" TargetMode="External"/><Relationship Id="rId36" Type="http://schemas.openxmlformats.org/officeDocument/2006/relationships/hyperlink" Target="http://www.costquest.com/" TargetMode="External"/><Relationship Id="rId37" Type="http://schemas.openxmlformats.org/officeDocument/2006/relationships/hyperlink" Target="https://www.ecodesk.com/" TargetMode="External"/><Relationship Id="rId38" Type="http://schemas.openxmlformats.org/officeDocument/2006/relationships/hyperlink" Target="http://resources.alljobopenings.com/equality" TargetMode="External"/><Relationship Id="rId39" Type="http://schemas.openxmlformats.org/officeDocument/2006/relationships/hyperlink" Target="http://www.ey.com/" TargetMode="External"/><Relationship Id="rId40" Type="http://schemas.openxmlformats.org/officeDocument/2006/relationships/hyperlink" Target="http://www.fastcase.com/" TargetMode="External"/><Relationship Id="rId41" Type="http://schemas.openxmlformats.org/officeDocument/2006/relationships/hyperlink" Target="https://www.firstpointresources.com/" TargetMode="External"/><Relationship Id="rId42" Type="http://schemas.openxmlformats.org/officeDocument/2006/relationships/hyperlink" Target="http://corp.intelius.com/" TargetMode="External"/><Relationship Id="rId43" Type="http://schemas.openxmlformats.org/officeDocument/2006/relationships/hyperlink" Target="http://www.jjkeller.com/" TargetMode="External"/><Relationship Id="rId44" Type="http://schemas.openxmlformats.org/officeDocument/2006/relationships/hyperlink" Target="http://www.jurispect.com/" TargetMode="External"/><Relationship Id="rId45" Type="http://schemas.openxmlformats.org/officeDocument/2006/relationships/hyperlink" Target="http://www.kpmg.com/" TargetMode="External"/><Relationship Id="rId46" Type="http://schemas.openxmlformats.org/officeDocument/2006/relationships/hyperlink" Target="http://www.lexisnexis.com/en-us/home.page" TargetMode="External"/><Relationship Id="rId47" Type="http://schemas.openxmlformats.org/officeDocument/2006/relationships/hyperlink" Target="http://www.marlinalter.com/" TargetMode="External"/><Relationship Id="rId48" Type="http://schemas.openxmlformats.org/officeDocument/2006/relationships/hyperlink" Target="http://www.microbilt.com/" TargetMode="External"/><Relationship Id="rId49" Type="http://schemas.openxmlformats.org/officeDocument/2006/relationships/hyperlink" Target="http://MuckRock.com/" TargetMode="External"/><Relationship Id="rId50" Type="http://schemas.openxmlformats.org/officeDocument/2006/relationships/hyperlink" Target="https://www.muckrock.com/" TargetMode="External"/><Relationship Id="rId51" Type="http://schemas.openxmlformats.org/officeDocument/2006/relationships/hyperlink" Target="http://www.municode.com/" TargetMode="External"/><Relationship Id="rId52" Type="http://schemas.openxmlformats.org/officeDocument/2006/relationships/hyperlink" Target="http://www.oversightsystems.com/" TargetMode="External"/><Relationship Id="rId53" Type="http://schemas.openxmlformats.org/officeDocument/2006/relationships/hyperlink" Target="http://www.rrdonnelley.com/" TargetMode="External"/><Relationship Id="rId54" Type="http://schemas.openxmlformats.org/officeDocument/2006/relationships/hyperlink" Target="https://www.relsci.com/" TargetMode="External"/><Relationship Id="rId55" Type="http://schemas.openxmlformats.org/officeDocument/2006/relationships/hyperlink" Target="http://www.sterlinginfosystems.com/" TargetMode="External"/><Relationship Id="rId56" Type="http://schemas.openxmlformats.org/officeDocument/2006/relationships/hyperlink" Target="http://www.transunion.com/" TargetMode="External"/><Relationship Id="rId57" Type="http://schemas.openxmlformats.org/officeDocument/2006/relationships/hyperlink" Target="https://www.trustedid.com/" TargetMode="External"/><Relationship Id="rId58" Type="http://schemas.openxmlformats.org/officeDocument/2006/relationships/hyperlink" Target="http://urbanairship.com/" TargetMode="External"/><Relationship Id="rId59" Type="http://schemas.openxmlformats.org/officeDocument/2006/relationships/hyperlink" Target="http://www.ussearch.com/" TargetMode="External"/><Relationship Id="rId60" Type="http://schemas.openxmlformats.org/officeDocument/2006/relationships/hyperlink" Target="http://www.wolterskluwer.com/" TargetMode="External"/><Relationship Id="rId61" Type="http://schemas.openxmlformats.org/officeDocument/2006/relationships/hyperlink" Target="http://www.explica.la/ley" TargetMode="External"/><Relationship Id="rId62" Type="http://schemas.openxmlformats.org/officeDocument/2006/relationships/hyperlink" Target="http://www.civicstack.org/" TargetMode="External"/><Relationship Id="rId63" Type="http://schemas.openxmlformats.org/officeDocument/2006/relationships/hyperlink" Target="http://www.psoj.org/" TargetMode="External"/><Relationship Id="rId64" Type="http://schemas.openxmlformats.org/officeDocument/2006/relationships/hyperlink" Target="http://www.caribank.org/news/jamaica-and-barbados-win-major-prizes-at-digital-jam-3-0" TargetMode="External"/><Relationship Id="rId65" Type="http://schemas.openxmlformats.org/officeDocument/2006/relationships/hyperlink" Target="http://bunkerincubator.com/" TargetMode="External"/><Relationship Id="rId66" Type="http://schemas.openxmlformats.org/officeDocument/2006/relationships/hyperlink" Target="https://www.facebook.com/AccuraAnalyticsSystems" TargetMode="External"/><Relationship Id="rId67" Type="http://schemas.openxmlformats.org/officeDocument/2006/relationships/hyperlink" Target="https://www.facebook.com/AccuraAnalyticsSystems/info?tab=page_info" TargetMode="External"/><Relationship Id="rId68" Type="http://schemas.openxmlformats.org/officeDocument/2006/relationships/hyperlink" Target="http://byimplication.com/" TargetMode="External"/><Relationship Id="rId69" Type="http://schemas.openxmlformats.org/officeDocument/2006/relationships/hyperlink" Target="http://www.codeeze.net/" TargetMode="External"/><Relationship Id="rId70" Type="http://schemas.openxmlformats.org/officeDocument/2006/relationships/hyperlink" Target="http://mediawave.co.id/" TargetMode="External"/><Relationship Id="rId71" Type="http://schemas.openxmlformats.org/officeDocument/2006/relationships/hyperlink" Target="http://www.nethub.co/" TargetMode="External"/><Relationship Id="rId72" Type="http://schemas.openxmlformats.org/officeDocument/2006/relationships/hyperlink" Target="http://www.scanntech.com/" TargetMode="External"/><Relationship Id="rId73" Type="http://schemas.openxmlformats.org/officeDocument/2006/relationships/hyperlink" Target="http://www.ajah.ca/about-us/" TargetMode="External"/><Relationship Id="rId74" Type="http://schemas.openxmlformats.org/officeDocument/2006/relationships/hyperlink" Target="https://openspending.org/nicacontra/entries?page=3" TargetMode="External"/><Relationship Id="rId75" Type="http://schemas.openxmlformats.org/officeDocument/2006/relationships/hyperlink" Target="http://ujima-project.org/" TargetMode="External"/><Relationship Id="rId76" Type="http://schemas.openxmlformats.org/officeDocument/2006/relationships/hyperlink" Target="http://Save.kg/" TargetMode="External"/><Relationship Id="rId77" Type="http://schemas.openxmlformats.org/officeDocument/2006/relationships/hyperlink" Target="http://save.kg/" TargetMode="External"/><Relationship Id="rId78" Type="http://schemas.openxmlformats.org/officeDocument/2006/relationships/hyperlink" Target="http://www.premise.com/indiaonions.html" TargetMode="External"/><Relationship Id="rId79" Type="http://schemas.openxmlformats.org/officeDocument/2006/relationships/hyperlink" Target="http://www.manchestereveningnews.co.uk/business/friends-bright-idea-help-fight-7201187" TargetMode="External"/><Relationship Id="rId80" Type="http://schemas.openxmlformats.org/officeDocument/2006/relationships/hyperlink" Target="http://www.undp.org/content/undp/en/home/ourwork/environmentandenergy/successstories/reaping-the-fruits-of-technology-in-fyr-macedonia/" TargetMode="External"/><Relationship Id="rId81" Type="http://schemas.openxmlformats.org/officeDocument/2006/relationships/hyperlink" Target="http://www.quienpagamanda.com/" TargetMode="External"/><Relationship Id="rId82" Type="http://schemas.openxmlformats.org/officeDocument/2006/relationships/hyperlink" Target="http://www.airwoot.com/" TargetMode="External"/><Relationship Id="rId83" Type="http://schemas.openxmlformats.org/officeDocument/2006/relationships/hyperlink" Target="http://www.airwoot.com/tour.html" TargetMode="External"/><Relationship Id="rId84" Type="http://schemas.openxmlformats.org/officeDocument/2006/relationships/hyperlink" Target="http://childcaredesk.com/" TargetMode="External"/><Relationship Id="rId85" Type="http://schemas.openxmlformats.org/officeDocument/2006/relationships/hyperlink" Target="http://www.conciliadorvirtual.co/" TargetMode="External"/><Relationship Id="rId86" Type="http://schemas.openxmlformats.org/officeDocument/2006/relationships/hyperlink" Target="https://itunes.apple.com/us/app/eat-shop-sleep/id465262611" TargetMode="External"/><Relationship Id="rId87" Type="http://schemas.openxmlformats.org/officeDocument/2006/relationships/hyperlink" Target="http://www.ekutirsb.com/" TargetMode="External"/><Relationship Id="rId88" Type="http://schemas.openxmlformats.org/officeDocument/2006/relationships/hyperlink" Target="http://www.everydayhealth.com/" TargetMode="External"/><Relationship Id="rId89" Type="http://schemas.openxmlformats.org/officeDocument/2006/relationships/hyperlink" Target="http://www.foody.vn/" TargetMode="External"/><Relationship Id="rId90" Type="http://schemas.openxmlformats.org/officeDocument/2006/relationships/hyperlink" Target="https://foursquare.com/" TargetMode="External"/><Relationship Id="rId91" Type="http://schemas.openxmlformats.org/officeDocument/2006/relationships/hyperlink" Target="http://girolabs.com/" TargetMode="External"/><Relationship Id="rId92" Type="http://schemas.openxmlformats.org/officeDocument/2006/relationships/hyperlink" Target="http://www.lastmileforBoP.com/" TargetMode="External"/><Relationship Id="rId93" Type="http://schemas.openxmlformats.org/officeDocument/2006/relationships/hyperlink" Target="http://www.lekkoo.com/" TargetMode="External"/><Relationship Id="rId94" Type="http://schemas.openxmlformats.org/officeDocument/2006/relationships/hyperlink" Target="https://itunes.apple.com/gt/app/mi-transmi-y-sitp-colombia/id557745455?mt=8" TargetMode="External"/><Relationship Id="rId95" Type="http://schemas.openxmlformats.org/officeDocument/2006/relationships/hyperlink" Target="https://www.recipal.com/" TargetMode="External"/><Relationship Id="rId96" Type="http://schemas.openxmlformats.org/officeDocument/2006/relationships/hyperlink" Target="http://redlaser.com/" TargetMode="External"/><Relationship Id="rId97" Type="http://schemas.openxmlformats.org/officeDocument/2006/relationships/hyperlink" Target="http://redstoneapps.com/" TargetMode="External"/><Relationship Id="rId98" Type="http://schemas.openxmlformats.org/officeDocument/2006/relationships/hyperlink" Target="http://www.spokeo.com/" TargetMode="External"/><Relationship Id="rId99" Type="http://schemas.openxmlformats.org/officeDocument/2006/relationships/hyperlink" Target="http://www.weightwatchers.com/" TargetMode="External"/><Relationship Id="rId100" Type="http://schemas.openxmlformats.org/officeDocument/2006/relationships/hyperlink" Target="https://www.workhands.us/" TargetMode="External"/><Relationship Id="rId101" Type="http://schemas.openxmlformats.org/officeDocument/2006/relationships/hyperlink" Target="http://www.yelp.com/" TargetMode="External"/><Relationship Id="rId102" Type="http://schemas.openxmlformats.org/officeDocument/2006/relationships/hyperlink" Target="https://transferwise.com/" TargetMode="External"/><Relationship Id="rId103" Type="http://schemas.openxmlformats.org/officeDocument/2006/relationships/hyperlink" Target="https://transferwise.com/terms-of-use" TargetMode="External"/><Relationship Id="rId104" Type="http://schemas.openxmlformats.org/officeDocument/2006/relationships/hyperlink" Target="https://consider.it/" TargetMode="External"/><Relationship Id="rId105" Type="http://schemas.openxmlformats.org/officeDocument/2006/relationships/hyperlink" Target="http://www.civicstack.org/" TargetMode="External"/><Relationship Id="rId106" Type="http://schemas.openxmlformats.org/officeDocument/2006/relationships/hyperlink" Target="http://segurimapas.cochavalley.com/" TargetMode="External"/><Relationship Id="rId107" Type="http://schemas.openxmlformats.org/officeDocument/2006/relationships/hyperlink" Target="http://www.ufahamu.or.ke/" TargetMode="External"/><Relationship Id="rId108" Type="http://schemas.openxmlformats.org/officeDocument/2006/relationships/hyperlink" Target="http://www.habidatum.com/" TargetMode="External"/><Relationship Id="rId109" Type="http://schemas.openxmlformats.org/officeDocument/2006/relationships/hyperlink" Target="http://Convextra.com/" TargetMode="External"/><Relationship Id="rId110" Type="http://schemas.openxmlformats.org/officeDocument/2006/relationships/hyperlink" Target="http://www.xldata.com/" TargetMode="External"/><Relationship Id="rId111" Type="http://schemas.openxmlformats.org/officeDocument/2006/relationships/hyperlink" Target="http://www.adam.com.au/home/" TargetMode="External"/><Relationship Id="rId112" Type="http://schemas.openxmlformats.org/officeDocument/2006/relationships/hyperlink" Target="http://www.adam.com.au/about/" TargetMode="External"/><Relationship Id="rId113" Type="http://schemas.openxmlformats.org/officeDocument/2006/relationships/hyperlink" Target="https://helpx.adobe.com/uk/contact/what-contact-options.html" TargetMode="External"/><Relationship Id="rId114" Type="http://schemas.openxmlformats.org/officeDocument/2006/relationships/hyperlink" Target="http://www.aidatechnology.com/vision.html" TargetMode="External"/><Relationship Id="rId115" Type="http://schemas.openxmlformats.org/officeDocument/2006/relationships/hyperlink" Target="http://www.aimia.com/en/about.html" TargetMode="External"/><Relationship Id="rId116" Type="http://schemas.openxmlformats.org/officeDocument/2006/relationships/hyperlink" Target="http://www.alfresco.com/company" TargetMode="External"/><Relationship Id="rId117" Type="http://schemas.openxmlformats.org/officeDocument/2006/relationships/hyperlink" Target="https://www.amee.com/data-sources" TargetMode="External"/><Relationship Id="rId118" Type="http://schemas.openxmlformats.org/officeDocument/2006/relationships/hyperlink" Target="http://www.snapsense.co/" TargetMode="External"/><Relationship Id="rId119" Type="http://schemas.openxmlformats.org/officeDocument/2006/relationships/hyperlink" Target="http://www.poderopedia.org/" TargetMode="External"/><Relationship Id="rId120" Type="http://schemas.openxmlformats.org/officeDocument/2006/relationships/hyperlink" Target="http://www.civicstack.org/" TargetMode="External"/><Relationship Id="rId121" Type="http://schemas.openxmlformats.org/officeDocument/2006/relationships/hyperlink" Target="http://quientefinancia.cl/" TargetMode="External"/><Relationship Id="rId122" Type="http://schemas.openxmlformats.org/officeDocument/2006/relationships/hyperlink" Target="http://www.civicstack.org/" TargetMode="External"/><Relationship Id="rId123" Type="http://schemas.openxmlformats.org/officeDocument/2006/relationships/hyperlink" Target="http://sayit.mysociety.org/" TargetMode="External"/><Relationship Id="rId124" Type="http://schemas.openxmlformats.org/officeDocument/2006/relationships/hyperlink" Target="http://www.civicstack.org/" TargetMode="External"/><Relationship Id="rId125" Type="http://schemas.openxmlformats.org/officeDocument/2006/relationships/hyperlink" Target="http://incoma.org/" TargetMode="External"/><Relationship Id="rId126" Type="http://schemas.openxmlformats.org/officeDocument/2006/relationships/hyperlink" Target="http://www.civicstack.org/" TargetMode="External"/><Relationship Id="rId127" Type="http://schemas.openxmlformats.org/officeDocument/2006/relationships/hyperlink" Target="https://vote.heliosvoting.org/" TargetMode="External"/><Relationship Id="rId128" Type="http://schemas.openxmlformats.org/officeDocument/2006/relationships/hyperlink" Target="http://www.civicstack.org/" TargetMode="External"/><Relationship Id="rId129" Type="http://schemas.openxmlformats.org/officeDocument/2006/relationships/hyperlink" Target="http://www.openmaint.org/en" TargetMode="External"/><Relationship Id="rId130" Type="http://schemas.openxmlformats.org/officeDocument/2006/relationships/hyperlink" Target="http://www.civicstack.org/" TargetMode="External"/><Relationship Id="rId131" Type="http://schemas.openxmlformats.org/officeDocument/2006/relationships/hyperlink" Target="http://assembl.org/" TargetMode="External"/><Relationship Id="rId132" Type="http://schemas.openxmlformats.org/officeDocument/2006/relationships/hyperlink" Target="http://www.civicstack.org/" TargetMode="External"/><Relationship Id="rId133" Type="http://schemas.openxmlformats.org/officeDocument/2006/relationships/hyperlink" Target="http://www.civicstack.org/" TargetMode="External"/><Relationship Id="rId134" Type="http://schemas.openxmlformats.org/officeDocument/2006/relationships/hyperlink" Target="http://www.civicstack.org/" TargetMode="External"/><Relationship Id="rId135" Type="http://schemas.openxmlformats.org/officeDocument/2006/relationships/hyperlink" Target="http://www.publicdata.com/" TargetMode="External"/><Relationship Id="rId136" Type="http://schemas.openxmlformats.org/officeDocument/2006/relationships/hyperlink" Target="http://www.publicdata.com/about.html" TargetMode="External"/><Relationship Id="rId137" Type="http://schemas.openxmlformats.org/officeDocument/2006/relationships/hyperlink" Target="http://3roundstones.com/index/index.html" TargetMode="External"/><Relationship Id="rId138" Type="http://schemas.openxmlformats.org/officeDocument/2006/relationships/hyperlink" Target="http://acxiom.com/" TargetMode="External"/><Relationship Id="rId139" Type="http://schemas.openxmlformats.org/officeDocument/2006/relationships/hyperlink" Target="http://www.acxiom.com/" TargetMode="External"/><Relationship Id="rId140" Type="http://schemas.openxmlformats.org/officeDocument/2006/relationships/hyperlink" Target="http://www.adobe.com/solutions/government.html" TargetMode="External"/><Relationship Id="rId141" Type="http://schemas.openxmlformats.org/officeDocument/2006/relationships/hyperlink" Target="http://www.altova.com/" TargetMode="External"/><Relationship Id="rId142" Type="http://schemas.openxmlformats.org/officeDocument/2006/relationships/hyperlink" Target="http://www.altova.com/company.html" TargetMode="External"/><Relationship Id="rId143" Type="http://schemas.openxmlformats.org/officeDocument/2006/relationships/hyperlink" Target="http://www.areavibes.com/" TargetMode="External"/><Relationship Id="rId144" Type="http://schemas.openxmlformats.org/officeDocument/2006/relationships/hyperlink" Target="http://www.ayasdi.com/" TargetMode="External"/><Relationship Id="rId145" Type="http://schemas.openxmlformats.org/officeDocument/2006/relationships/hyperlink" Target="http://www.beinformed.com/BeInformed/website/en?init=true" TargetMode="External"/><Relationship Id="rId146" Type="http://schemas.openxmlformats.org/officeDocument/2006/relationships/hyperlink" Target="http://www.bing.com/" TargetMode="External"/><Relationship Id="rId147" Type="http://schemas.openxmlformats.org/officeDocument/2006/relationships/hyperlink" Target="http://www.cambridgesemantics.com/home" TargetMode="External"/><Relationship Id="rId148" Type="http://schemas.openxmlformats.org/officeDocument/2006/relationships/hyperlink" Target="http://www.canon.com/" TargetMode="External"/><Relationship Id="rId149" Type="http://schemas.openxmlformats.org/officeDocument/2006/relationships/hyperlink" Target="http://www.caspio.com/" TargetMode="External"/><Relationship Id="rId150" Type="http://schemas.openxmlformats.org/officeDocument/2006/relationships/hyperlink" Target="http://www.cgi.com/en" TargetMode="External"/><Relationship Id="rId151" Type="http://schemas.openxmlformats.org/officeDocument/2006/relationships/hyperlink" Target="http://civisanalytics.com/" TargetMode="External"/><Relationship Id="rId152" Type="http://schemas.openxmlformats.org/officeDocument/2006/relationships/hyperlink" Target="http://www.clearstorydata.com/" TargetMode="External"/><Relationship Id="rId153" Type="http://schemas.openxmlformats.org/officeDocument/2006/relationships/hyperlink" Target="http://www.computerpackages.com/" TargetMode="External"/><Relationship Id="rId154" Type="http://schemas.openxmlformats.org/officeDocument/2006/relationships/hyperlink" Target="http://www.connotate.com/" TargetMode="External"/><Relationship Id="rId155" Type="http://schemas.openxmlformats.org/officeDocument/2006/relationships/hyperlink" Target="http://www.datalogix.com/" TargetMode="External"/><Relationship Id="rId156" Type="http://schemas.openxmlformats.org/officeDocument/2006/relationships/hyperlink" Target="http://www.datamyne.com/" TargetMode="External"/><Relationship Id="rId157" Type="http://schemas.openxmlformats.org/officeDocument/2006/relationships/hyperlink" Target="http://www.emc.com/index.htm" TargetMode="External"/><Relationship Id="rId158" Type="http://schemas.openxmlformats.org/officeDocument/2006/relationships/hyperlink" Target="http://www.epsilon.com/" TargetMode="External"/><Relationship Id="rId159" Type="http://schemas.openxmlformats.org/officeDocument/2006/relationships/hyperlink" Target="http://www.equilar.com/" TargetMode="External"/><Relationship Id="rId160" Type="http://schemas.openxmlformats.org/officeDocument/2006/relationships/hyperlink" Target="http://www.geolytics.com/" TargetMode="External"/><Relationship Id="rId161" Type="http://schemas.openxmlformats.org/officeDocument/2006/relationships/hyperlink" Target="https://github.com/" TargetMode="External"/><Relationship Id="rId162" Type="http://schemas.openxmlformats.org/officeDocument/2006/relationships/hyperlink" Target="https://www.google.com/intl/en/about/" TargetMode="External"/><Relationship Id="rId163" Type="http://schemas.openxmlformats.org/officeDocument/2006/relationships/hyperlink" Target="http://www.gramvaani.org/" TargetMode="External"/><Relationship Id="rId164" Type="http://schemas.openxmlformats.org/officeDocument/2006/relationships/hyperlink" Target="http://incadence.com/" TargetMode="External"/><Relationship Id="rId165" Type="http://schemas.openxmlformats.org/officeDocument/2006/relationships/hyperlink" Target="http://www.informatica.com/" TargetMode="External"/><Relationship Id="rId166" Type="http://schemas.openxmlformats.org/officeDocument/2006/relationships/hyperlink" Target="http://knoema.com/" TargetMode="External"/><Relationship Id="rId167" Type="http://schemas.openxmlformats.org/officeDocument/2006/relationships/hyperlink" Target="http://www.levelonetechnologies.com/" TargetMode="External"/><Relationship Id="rId168" Type="http://schemas.openxmlformats.org/officeDocument/2006/relationships/hyperlink" Target="http://www.marklogic.com/" TargetMode="External"/><Relationship Id="rId169" Type="http://schemas.openxmlformats.org/officeDocument/2006/relationships/hyperlink" Target="http://www.merrillcorp.com/" TargetMode="External"/><Relationship Id="rId170" Type="http://schemas.openxmlformats.org/officeDocument/2006/relationships/hyperlink" Target="http://datamarket.azure.com/" TargetMode="External"/><Relationship Id="rId171" Type="http://schemas.openxmlformats.org/officeDocument/2006/relationships/hyperlink" Target="http://www.nautilytics.com/" TargetMode="External"/><Relationship Id="rId172" Type="http://schemas.openxmlformats.org/officeDocument/2006/relationships/hyperlink" Target="http://www.optensity.com/" TargetMode="External"/><Relationship Id="rId173" Type="http://schemas.openxmlformats.org/officeDocument/2006/relationships/hyperlink" Target="http://www.orlinresearch.com/" TargetMode="External"/><Relationship Id="rId174" Type="http://schemas.openxmlformats.org/officeDocument/2006/relationships/hyperlink" Target="https://www.palantir.com/" TargetMode="External"/><Relationship Id="rId175" Type="http://schemas.openxmlformats.org/officeDocument/2006/relationships/hyperlink" Target="http://www.priceweave.com/" TargetMode="External"/><Relationship Id="rId176" Type="http://schemas.openxmlformats.org/officeDocument/2006/relationships/hyperlink" Target="http://www.programmableweb.com/" TargetMode="External"/><Relationship Id="rId177" Type="http://schemas.openxmlformats.org/officeDocument/2006/relationships/hyperlink" Target="http://www.quandl.com/" TargetMode="External"/><Relationship Id="rId178" Type="http://schemas.openxmlformats.org/officeDocument/2006/relationships/hyperlink" Target="http://quid.com/" TargetMode="External"/><Relationship Id="rId179" Type="http://schemas.openxmlformats.org/officeDocument/2006/relationships/hyperlink" Target="http://www.sap.com/" TargetMode="External"/><Relationship Id="rId180" Type="http://schemas.openxmlformats.org/officeDocument/2006/relationships/hyperlink" Target="http://www.sas.com/" TargetMode="External"/><Relationship Id="rId181" Type="http://schemas.openxmlformats.org/officeDocument/2006/relationships/hyperlink" Target="http://www.seabourneinc.com/" TargetMode="External"/><Relationship Id="rId182" Type="http://schemas.openxmlformats.org/officeDocument/2006/relationships/hyperlink" Target="http://smartronix.com/" TargetMode="External"/><Relationship Id="rId183" Type="http://schemas.openxmlformats.org/officeDocument/2006/relationships/hyperlink" Target="http://www.tableausoftware.com/" TargetMode="External"/><Relationship Id="rId184" Type="http://schemas.openxmlformats.org/officeDocument/2006/relationships/hyperlink" Target="http://www.teradata.com/" TargetMode="External"/><Relationship Id="rId185" Type="http://schemas.openxmlformats.org/officeDocument/2006/relationships/hyperlink" Target="http://www.topcoder.com/" TargetMode="External"/><Relationship Id="rId186" Type="http://schemas.openxmlformats.org/officeDocument/2006/relationships/hyperlink" Target="http://www.wolfram.com/" TargetMode="External"/><Relationship Id="rId187" Type="http://schemas.openxmlformats.org/officeDocument/2006/relationships/hyperlink" Target="http://www.yahoo.com/" TargetMode="External"/><Relationship Id="rId188" Type="http://schemas.openxmlformats.org/officeDocument/2006/relationships/hyperlink" Target="http://kathmandulivinglabs.org/" TargetMode="External"/><Relationship Id="rId189" Type="http://schemas.openxmlformats.org/officeDocument/2006/relationships/hyperlink" Target="https://bigml.com/" TargetMode="External"/><Relationship Id="rId190" Type="http://schemas.openxmlformats.org/officeDocument/2006/relationships/hyperlink" Target="http://blog.bigml.com/2013/02/28/data-data-data-thousands-of-public-data-sources/" TargetMode="External"/><Relationship Id="rId191" Type="http://schemas.openxmlformats.org/officeDocument/2006/relationships/hyperlink" Target="http://www.jamaicaobserver.com/business/Crime-app-designers-focus-on-campus-security_17926812" TargetMode="External"/><Relationship Id="rId192" Type="http://schemas.openxmlformats.org/officeDocument/2006/relationships/hyperlink" Target="http://www.medirevu.com/" TargetMode="External"/><Relationship Id="rId193" Type="http://schemas.openxmlformats.org/officeDocument/2006/relationships/hyperlink" Target="http://www.caribank.org/news/jamaica-and-barbados-win-major-prizes-at-digital-jam-3-0" TargetMode="External"/><Relationship Id="rId194" Type="http://schemas.openxmlformats.org/officeDocument/2006/relationships/hyperlink" Target="http://gastopublicobahiense.org/" TargetMode="External"/><Relationship Id="rId195" Type="http://schemas.openxmlformats.org/officeDocument/2006/relationships/hyperlink" Target="http://www.civicstack.org/" TargetMode="External"/><Relationship Id="rId196" Type="http://schemas.openxmlformats.org/officeDocument/2006/relationships/hyperlink" Target="http://www.vsolvit.com/" TargetMode="External"/><Relationship Id="rId197" Type="http://schemas.openxmlformats.org/officeDocument/2006/relationships/hyperlink" Target="http://vigillo.com/" TargetMode="External"/><Relationship Id="rId198" Type="http://schemas.openxmlformats.org/officeDocument/2006/relationships/hyperlink" Target="http://www.vets-inc.com/" TargetMode="External"/><Relationship Id="rId199" Type="http://schemas.openxmlformats.org/officeDocument/2006/relationships/hyperlink" Target="http://www.ushahidi.com/" TargetMode="External"/><Relationship Id="rId200" Type="http://schemas.openxmlformats.org/officeDocument/2006/relationships/hyperlink" Target="http://urjanet.com/" TargetMode="External"/><Relationship Id="rId201" Type="http://schemas.openxmlformats.org/officeDocument/2006/relationships/hyperlink" Target="https://uniteus.com/" TargetMode="External"/><Relationship Id="rId202" Type="http://schemas.openxmlformats.org/officeDocument/2006/relationships/hyperlink" Target="http://www.twindolphinsoftware.com/" TargetMode="External"/><Relationship Id="rId203" Type="http://schemas.openxmlformats.org/officeDocument/2006/relationships/hyperlink" Target="http://www.trea.com/" TargetMode="External"/><Relationship Id="rId204" Type="http://schemas.openxmlformats.org/officeDocument/2006/relationships/hyperlink" Target="http://www.altium.com/" TargetMode="External"/><Relationship Id="rId205" Type="http://schemas.openxmlformats.org/officeDocument/2006/relationships/hyperlink" Target="http://www.ansarada.com/" TargetMode="External"/><Relationship Id="rId206" Type="http://schemas.openxmlformats.org/officeDocument/2006/relationships/hyperlink" Target="http://www.code4kenya.org/" TargetMode="External"/><Relationship Id="rId207" Type="http://schemas.openxmlformats.org/officeDocument/2006/relationships/hyperlink" Target="http://www.mastodonc.com/" TargetMode="External"/><Relationship Id="rId208" Type="http://schemas.openxmlformats.org/officeDocument/2006/relationships/hyperlink" Target="http://www.noveda.com/" TargetMode="External"/><Relationship Id="rId209" Type="http://schemas.openxmlformats.org/officeDocument/2006/relationships/hyperlink" Target="http://www.osisoft.com/" TargetMode="External"/><Relationship Id="rId210" Type="http://schemas.openxmlformats.org/officeDocument/2006/relationships/hyperlink" Target="http://www.peoplepowerco.com/" TargetMode="External"/><Relationship Id="rId211" Type="http://schemas.openxmlformats.org/officeDocument/2006/relationships/hyperlink" Target="http://www.scaleunlimited.com/" TargetMode="External"/><Relationship Id="rId212" Type="http://schemas.openxmlformats.org/officeDocument/2006/relationships/hyperlink" Target="http://intelligence.towerdata.com/" TargetMode="External"/><Relationship Id="rId213" Type="http://schemas.openxmlformats.org/officeDocument/2006/relationships/hyperlink" Target="http://opendatastories.org/2011/05/inflation-in-india/" TargetMode="External"/><Relationship Id="rId214" Type="http://schemas.openxmlformats.org/officeDocument/2006/relationships/hyperlink" Target="http://www.inefop.org.uy/" TargetMode="External"/><Relationship Id="rId215" Type="http://schemas.openxmlformats.org/officeDocument/2006/relationships/hyperlink" Target="http://www.MejoramosJuntos.org/" TargetMode="External"/><Relationship Id="rId216" Type="http://schemas.openxmlformats.org/officeDocument/2006/relationships/hyperlink" Target="http://www.paraguay.gov.py/portal-paraguay" TargetMode="External"/><Relationship Id="rId217" Type="http://schemas.openxmlformats.org/officeDocument/2006/relationships/hyperlink" Target="http://opemdata.caceres.es/" TargetMode="External"/><Relationship Id="rId218" Type="http://schemas.openxmlformats.org/officeDocument/2006/relationships/hyperlink" Target="http://www.datos.misiones.gov.ar/" TargetMode="External"/><Relationship Id="rId219" Type="http://schemas.openxmlformats.org/officeDocument/2006/relationships/hyperlink" Target="http://api.bogotacomovamos.org/" TargetMode="External"/><Relationship Id="rId220" Type="http://schemas.openxmlformats.org/officeDocument/2006/relationships/hyperlink" Target="http://www.gobiernolocal.gob.ar/" TargetMode="External"/><Relationship Id="rId221" Type="http://schemas.openxmlformats.org/officeDocument/2006/relationships/hyperlink" Target="http://www.acara.edu.au/default.asp" TargetMode="External"/><Relationship Id="rId222" Type="http://schemas.openxmlformats.org/officeDocument/2006/relationships/hyperlink" Target="http://afla.md/" TargetMode="External"/><Relationship Id="rId223" Type="http://schemas.openxmlformats.org/officeDocument/2006/relationships/hyperlink" Target="http://www.akshara.org.in/program/karnataka-learning-partnership" TargetMode="External"/><Relationship Id="rId224" Type="http://schemas.openxmlformats.org/officeDocument/2006/relationships/hyperlink" Target="https://www.alltuition.com/" TargetMode="External"/><Relationship Id="rId225" Type="http://schemas.openxmlformats.org/officeDocument/2006/relationships/hyperlink" Target="http://betterlesson.com/" TargetMode="External"/><Relationship Id="rId226" Type="http://schemas.openxmlformats.org/officeDocument/2006/relationships/hyperlink" Target="http://www.cappex.com/" TargetMode="External"/><Relationship Id="rId227" Type="http://schemas.openxmlformats.org/officeDocument/2006/relationships/hyperlink" Target="http://www.gpopai.usp.br/cuidando/" TargetMode="External"/><Relationship Id="rId228" Type="http://schemas.openxmlformats.org/officeDocument/2006/relationships/hyperlink" Target="http://www.connectedu.com/" TargetMode="External"/><Relationship Id="rId229" Type="http://schemas.openxmlformats.org/officeDocument/2006/relationships/hyperlink" Target="http://findmyschool.co.ke/" TargetMode="External"/><Relationship Id="rId230" Type="http://schemas.openxmlformats.org/officeDocument/2006/relationships/hyperlink" Target="http://monitoringbudget.crowdmap.com/" TargetMode="External"/><Relationship Id="rId231" Type="http://schemas.openxmlformats.org/officeDocument/2006/relationships/hyperlink" Target="http://www.fundalectura.org/?module=nosotros-info" TargetMode="External"/><Relationship Id="rId232" Type="http://schemas.openxmlformats.org/officeDocument/2006/relationships/hyperlink" Target="http://www.theguardian.com/education/gcse-schools-guide" TargetMode="External"/><Relationship Id="rId233" Type="http://schemas.openxmlformats.org/officeDocument/2006/relationships/hyperlink" Target="http://www.harnesstouch.com/" TargetMode="External"/><Relationship Id="rId234" Type="http://schemas.openxmlformats.org/officeDocument/2006/relationships/hyperlink" Target="http://hmo.launchrock.com/" TargetMode="External"/><Relationship Id="rId235" Type="http://schemas.openxmlformats.org/officeDocument/2006/relationships/hyperlink" Target="http://www.mapstory.org/" TargetMode="External"/><Relationship Id="rId236" Type="http://schemas.openxmlformats.org/officeDocument/2006/relationships/hyperlink" Target="http://www.kidadmit.com/" TargetMode="External"/><Relationship Id="rId237" Type="http://schemas.openxmlformats.org/officeDocument/2006/relationships/hyperlink" Target="https://klp.org.in/" TargetMode="External"/><Relationship Id="rId238" Type="http://schemas.openxmlformats.org/officeDocument/2006/relationships/hyperlink" Target="http://www.thegpsa.org/sa" TargetMode="External"/><Relationship Id="rId239" Type="http://schemas.openxmlformats.org/officeDocument/2006/relationships/hyperlink" Target="http://labs.webfoundation.org/projects/opendataforeducation/" TargetMode="External"/><Relationship Id="rId240" Type="http://schemas.openxmlformats.org/officeDocument/2006/relationships/hyperlink" Target="http://orcamento.inesc.org.br/2013" TargetMode="External"/><Relationship Id="rId241" Type="http://schemas.openxmlformats.org/officeDocument/2006/relationships/hyperlink" Target="http://www.corporate.petersons.com/" TargetMode="External"/><Relationship Id="rId242" Type="http://schemas.openxmlformats.org/officeDocument/2006/relationships/hyperlink" Target="https://www.unigo.com/from-plusu.aspx" TargetMode="External"/><Relationship Id="rId243" Type="http://schemas.openxmlformats.org/officeDocument/2006/relationships/hyperlink" Target="http://www.possibilityu.com/" TargetMode="External"/><Relationship Id="rId244" Type="http://schemas.openxmlformats.org/officeDocument/2006/relationships/hyperlink" Target="http://goranku.com/" TargetMode="External"/><Relationship Id="rId245" Type="http://schemas.openxmlformats.org/officeDocument/2006/relationships/hyperlink" Target="http://www.rezolvegroup.com/" TargetMode="External"/><Relationship Id="rId246" Type="http://schemas.openxmlformats.org/officeDocument/2006/relationships/hyperlink" Target="http://Shule.Info/" TargetMode="External"/><Relationship Id="rId247" Type="http://schemas.openxmlformats.org/officeDocument/2006/relationships/hyperlink" Target="http://www.shule.info/" TargetMode="External"/><Relationship Id="rId248" Type="http://schemas.openxmlformats.org/officeDocument/2006/relationships/hyperlink" Target="http://www.simpletuition.com/" TargetMode="External"/><Relationship Id="rId249" Type="http://schemas.openxmlformats.org/officeDocument/2006/relationships/hyperlink" Target="http://www.usnews.com/" TargetMode="External"/><Relationship Id="rId250" Type="http://schemas.openxmlformats.org/officeDocument/2006/relationships/hyperlink" Target="http://www.unigo.com/" TargetMode="External"/><Relationship Id="rId251" Type="http://schemas.openxmlformats.org/officeDocument/2006/relationships/hyperlink" Target="http://www.mejoratuescuela.org/" TargetMode="External"/><Relationship Id="rId252" Type="http://schemas.openxmlformats.org/officeDocument/2006/relationships/hyperlink" Target="http://www.civicstack.org/" TargetMode="External"/><Relationship Id="rId253" Type="http://schemas.openxmlformats.org/officeDocument/2006/relationships/hyperlink" Target="http://www.hsrc.unc.edu/" TargetMode="External"/><Relationship Id="rId254" Type="http://schemas.openxmlformats.org/officeDocument/2006/relationships/hyperlink" Target="http://www.umtri.umich.edu/" TargetMode="External"/><Relationship Id="rId255" Type="http://schemas.openxmlformats.org/officeDocument/2006/relationships/hyperlink" Target="http://www.cattlab.umd.edu/" TargetMode="External"/><Relationship Id="rId256" Type="http://schemas.openxmlformats.org/officeDocument/2006/relationships/hyperlink" Target="https://atlas.oxfamnovib.nl/" TargetMode="External"/><Relationship Id="rId257" Type="http://schemas.openxmlformats.org/officeDocument/2006/relationships/hyperlink" Target="http://www.followthemoneyng.org/" TargetMode="External"/><Relationship Id="rId258" Type="http://schemas.openxmlformats.org/officeDocument/2006/relationships/hyperlink" Target="http://labs.webfoundation.org/projects/jktopendatainitiative/" TargetMode="External"/><Relationship Id="rId259" Type="http://schemas.openxmlformats.org/officeDocument/2006/relationships/hyperlink" Target="http://www.datoselsalvador.org/" TargetMode="External"/><Relationship Id="rId260" Type="http://schemas.openxmlformats.org/officeDocument/2006/relationships/hyperlink" Target="http://www.eduweb.co.ke/index.php" TargetMode="External"/><Relationship Id="rId261" Type="http://schemas.openxmlformats.org/officeDocument/2006/relationships/hyperlink" Target="https://www.gov.uk/government/case-studies/open-data-free-map-of-great-britain-for-minecraft-game" TargetMode="External"/><Relationship Id="rId262" Type="http://schemas.openxmlformats.org/officeDocument/2006/relationships/hyperlink" Target="http://protectedurbanplanet.net/" TargetMode="External"/><Relationship Id="rId263" Type="http://schemas.openxmlformats.org/officeDocument/2006/relationships/hyperlink" Target="http://protectedurbanplanet.net/about" TargetMode="External"/><Relationship Id="rId264" Type="http://schemas.openxmlformats.org/officeDocument/2006/relationships/hyperlink" Target="http://www.yourbudgit.com/" TargetMode="External"/><Relationship Id="rId265" Type="http://schemas.openxmlformats.org/officeDocument/2006/relationships/hyperlink" Target="http://Floussna.ma/" TargetMode="External"/><Relationship Id="rId266" Type="http://schemas.openxmlformats.org/officeDocument/2006/relationships/hyperlink" Target="http://www.floussna.ma/" TargetMode="External"/><Relationship Id="rId267" Type="http://schemas.openxmlformats.org/officeDocument/2006/relationships/hyperlink" Target="http://www.openstreetmap.org/" TargetMode="External"/><Relationship Id="rId268" Type="http://schemas.openxmlformats.org/officeDocument/2006/relationships/hyperlink" Target="http://www.practicalanswers.org/" TargetMode="External"/><Relationship Id="rId269" Type="http://schemas.openxmlformats.org/officeDocument/2006/relationships/hyperlink" Target="http://www.budgetbadger.ph/" TargetMode="External"/><Relationship Id="rId270" Type="http://schemas.openxmlformats.org/officeDocument/2006/relationships/hyperlink" Target="http://www.expert-grup.org/ro/" TargetMode="External"/><Relationship Id="rId271" Type="http://schemas.openxmlformats.org/officeDocument/2006/relationships/hyperlink" Target="http://illustreets.co.uk/" TargetMode="External"/><Relationship Id="rId272" Type="http://schemas.openxmlformats.org/officeDocument/2006/relationships/hyperlink" Target="http://data.opennepal.net/apps" TargetMode="External"/><Relationship Id="rId273" Type="http://schemas.openxmlformats.org/officeDocument/2006/relationships/hyperlink" Target="http://www.votebd.org/" TargetMode="External"/><Relationship Id="rId274" Type="http://schemas.openxmlformats.org/officeDocument/2006/relationships/hyperlink" Target="http://myneta.info/" TargetMode="External"/><Relationship Id="rId275" Type="http://schemas.openxmlformats.org/officeDocument/2006/relationships/hyperlink" Target="http://www.wattzon.com/" TargetMode="External"/><Relationship Id="rId276" Type="http://schemas.openxmlformats.org/officeDocument/2006/relationships/hyperlink" Target="http://www.e-transactions.org/index.php" TargetMode="External"/><Relationship Id="rId277" Type="http://schemas.openxmlformats.org/officeDocument/2006/relationships/hyperlink" Target="http://www.woodmac.com/public/home" TargetMode="External"/><Relationship Id="rId278" Type="http://schemas.openxmlformats.org/officeDocument/2006/relationships/hyperlink" Target="http://www.agl.com.au/about-agl" TargetMode="External"/><Relationship Id="rId279" Type="http://schemas.openxmlformats.org/officeDocument/2006/relationships/hyperlink" Target="https://alintaenergy.com.au/home" TargetMode="External"/><Relationship Id="rId280" Type="http://schemas.openxmlformats.org/officeDocument/2006/relationships/hyperlink" Target="https://alintaenergy.com.au/misc/search?q=open+data" TargetMode="External"/><Relationship Id="rId281" Type="http://schemas.openxmlformats.org/officeDocument/2006/relationships/hyperlink" Target="http://www.aquicore.com/" TargetMode="External"/><Relationship Id="rId282" Type="http://schemas.openxmlformats.org/officeDocument/2006/relationships/hyperlink" Target="http://www.agl.com.au/about-agl" TargetMode="External"/><Relationship Id="rId283" Type="http://schemas.openxmlformats.org/officeDocument/2006/relationships/hyperlink" Target="http://www.auto-grid.com/" TargetMode="External"/><Relationship Id="rId284" Type="http://schemas.openxmlformats.org/officeDocument/2006/relationships/hyperlink" Target="https://platform.carbonculture.net/landing/" TargetMode="External"/><Relationship Id="rId285" Type="http://schemas.openxmlformats.org/officeDocument/2006/relationships/hyperlink" Target="http://www.originenergy.com.au/" TargetMode="External"/><Relationship Id="rId286" Type="http://schemas.openxmlformats.org/officeDocument/2006/relationships/hyperlink" Target="http://www.de.com.au/" TargetMode="External"/><Relationship Id="rId287" Type="http://schemas.openxmlformats.org/officeDocument/2006/relationships/hyperlink" Target="https://www.energex.com.au/" TargetMode="External"/><Relationship Id="rId288" Type="http://schemas.openxmlformats.org/officeDocument/2006/relationships/hyperlink" Target="http://www.energysolforum.com/" TargetMode="External"/><Relationship Id="rId289" Type="http://schemas.openxmlformats.org/officeDocument/2006/relationships/hyperlink" Target="http://www.energyaustralia.com.au/" TargetMode="External"/><Relationship Id="rId290" Type="http://schemas.openxmlformats.org/officeDocument/2006/relationships/hyperlink" Target="http://www.enscoplc.com/Home/default.aspx" TargetMode="External"/><Relationship Id="rId291" Type="http://schemas.openxmlformats.org/officeDocument/2006/relationships/hyperlink" Target="http://www.enviromission.com.au/EVM/content/home.html" TargetMode="External"/><Relationship Id="rId292" Type="http://schemas.openxmlformats.org/officeDocument/2006/relationships/hyperlink" Target="https://www.ergon.com.au/" TargetMode="External"/><Relationship Id="rId293" Type="http://schemas.openxmlformats.org/officeDocument/2006/relationships/hyperlink" Target="http://firstfuel.com/" TargetMode="External"/><Relationship Id="rId294" Type="http://schemas.openxmlformats.org/officeDocument/2006/relationships/hyperlink" Target="http://www.nextstepliving.com/" TargetMode="External"/><Relationship Id="rId295" Type="http://schemas.openxmlformats.org/officeDocument/2006/relationships/hyperlink" Target="https://www.noesisenergy.com/site/" TargetMode="External"/><Relationship Id="rId296" Type="http://schemas.openxmlformats.org/officeDocument/2006/relationships/hyperlink" Target="http://planetecosystems.com/" TargetMode="External"/><Relationship Id="rId297" Type="http://schemas.openxmlformats.org/officeDocument/2006/relationships/hyperlink" Target="https://plotwatt.com/" TargetMode="External"/><Relationship Id="rId298" Type="http://schemas.openxmlformats.org/officeDocument/2006/relationships/hyperlink" Target="http://www.poweradvocate.com/index.html" TargetMode="External"/><Relationship Id="rId299" Type="http://schemas.openxmlformats.org/officeDocument/2006/relationships/hyperlink" Target="http://www.recargo.com/" TargetMode="External"/><Relationship Id="rId300" Type="http://schemas.openxmlformats.org/officeDocument/2006/relationships/hyperlink" Target="http://www.retroficiency.com/" TargetMode="External"/><Relationship Id="rId301" Type="http://schemas.openxmlformats.org/officeDocument/2006/relationships/hyperlink" Target="http://smartusys.com/" TargetMode="External"/><Relationship Id="rId302" Type="http://schemas.openxmlformats.org/officeDocument/2006/relationships/hyperlink" Target="http://www.solarcensus.com/" TargetMode="External"/><Relationship Id="rId303" Type="http://schemas.openxmlformats.org/officeDocument/2006/relationships/hyperlink" Target="http://www.stanwell.com/" TargetMode="External"/><Relationship Id="rId304" Type="http://schemas.openxmlformats.org/officeDocument/2006/relationships/hyperlink" Target="http://www.sydneywater.com.au/swe/index.htm" TargetMode="External"/><Relationship Id="rId305" Type="http://schemas.openxmlformats.org/officeDocument/2006/relationships/hyperlink" Target="http://www.tendrilinc.com/" TargetMode="External"/><Relationship Id="rId306" Type="http://schemas.openxmlformats.org/officeDocument/2006/relationships/hyperlink" Target="http://www.usgreendata.com/" TargetMode="External"/><Relationship Id="rId307" Type="http://schemas.openxmlformats.org/officeDocument/2006/relationships/hyperlink" Target="http://www.wattzon.com/" TargetMode="External"/><Relationship Id="rId308" Type="http://schemas.openxmlformats.org/officeDocument/2006/relationships/hyperlink" Target="http://www.xatori.com/" TargetMode="External"/><Relationship Id="rId309" Type="http://schemas.openxmlformats.org/officeDocument/2006/relationships/hyperlink" Target="http://www.oof-app.com/" TargetMode="External"/><Relationship Id="rId310" Type="http://schemas.openxmlformats.org/officeDocument/2006/relationships/hyperlink" Target="http://coperable.org/" TargetMode="External"/><Relationship Id="rId311" Type="http://schemas.openxmlformats.org/officeDocument/2006/relationships/hyperlink" Target="http://www.edrnet.com/" TargetMode="External"/><Relationship Id="rId312" Type="http://schemas.openxmlformats.org/officeDocument/2006/relationships/hyperlink" Target="http://earth911.com/irecycle/" TargetMode="External"/><Relationship Id="rId313" Type="http://schemas.openxmlformats.org/officeDocument/2006/relationships/hyperlink" Target="http://www.skymet.net/" TargetMode="External"/><Relationship Id="rId314" Type="http://schemas.openxmlformats.org/officeDocument/2006/relationships/hyperlink" Target="http://www.sunrun.com/" TargetMode="External"/><Relationship Id="rId315" Type="http://schemas.openxmlformats.org/officeDocument/2006/relationships/hyperlink" Target="http://istheresewageinthechicagoriver.com/" TargetMode="External"/><Relationship Id="rId316" Type="http://schemas.openxmlformats.org/officeDocument/2006/relationships/hyperlink" Target="http://www.civicstack.org/" TargetMode="External"/><Relationship Id="rId317" Type="http://schemas.openxmlformats.org/officeDocument/2006/relationships/hyperlink" Target="http://www.earthnetworks.com/" TargetMode="External"/><Relationship Id="rId318" Type="http://schemas.openxmlformats.org/officeDocument/2006/relationships/hyperlink" Target="http://www.epmap.org/" TargetMode="External"/><Relationship Id="rId319" Type="http://schemas.openxmlformats.org/officeDocument/2006/relationships/hyperlink" Target="http://www.transparentworld.ru/" TargetMode="External"/><Relationship Id="rId320" Type="http://schemas.openxmlformats.org/officeDocument/2006/relationships/hyperlink" Target="http://pwyp-indonesia.org/" TargetMode="External"/><Relationship Id="rId321" Type="http://schemas.openxmlformats.org/officeDocument/2006/relationships/hyperlink" Target="https://www.abundancegeneration.com/" TargetMode="External"/><Relationship Id="rId322" Type="http://schemas.openxmlformats.org/officeDocument/2006/relationships/hyperlink" Target="http://www.ampcapital.com/" TargetMode="External"/><Relationship Id="rId323" Type="http://schemas.openxmlformats.org/officeDocument/2006/relationships/hyperlink" Target="http://www.anz.com/personal/" TargetMode="External"/><Relationship Id="rId324" Type="http://schemas.openxmlformats.org/officeDocument/2006/relationships/hyperlink" Target="http://www.boq.com.au/" TargetMode="External"/><Relationship Id="rId325" Type="http://schemas.openxmlformats.org/officeDocument/2006/relationships/hyperlink" Target="http://www.blackrock.com/" TargetMode="External"/><Relationship Id="rId326" Type="http://schemas.openxmlformats.org/officeDocument/2006/relationships/hyperlink" Target="http://www.capdyn.com/" TargetMode="External"/><Relationship Id="rId327" Type="http://schemas.openxmlformats.org/officeDocument/2006/relationships/hyperlink" Target="http://www.cbussuper.com.au/" TargetMode="External"/><Relationship Id="rId328" Type="http://schemas.openxmlformats.org/officeDocument/2006/relationships/hyperlink" Target="https://www.commbank.com.au/" TargetMode="External"/><Relationship Id="rId329" Type="http://schemas.openxmlformats.org/officeDocument/2006/relationships/hyperlink" Target="http://www.computershare.com/us/Pages/default.aspx" TargetMode="External"/><Relationship Id="rId330" Type="http://schemas.openxmlformats.org/officeDocument/2006/relationships/hyperlink" Target="http://www.esanda.com/personal/" TargetMode="External"/><Relationship Id="rId331" Type="http://schemas.openxmlformats.org/officeDocument/2006/relationships/hyperlink" Target="https://www.fitchratings.com/web/en/dynamic/fitch-home.jsp" TargetMode="External"/><Relationship Id="rId332" Type="http://schemas.openxmlformats.org/officeDocument/2006/relationships/hyperlink" Target="http://www.ezgrantfiling.com/" TargetMode="External"/><Relationship Id="rId333" Type="http://schemas.openxmlformats.org/officeDocument/2006/relationships/hyperlink" Target="http://www.iag.com.au/" TargetMode="External"/><Relationship Id="rId334" Type="http://schemas.openxmlformats.org/officeDocument/2006/relationships/hyperlink" Target="http://www.innovestsystems.com/" TargetMode="External"/><Relationship Id="rId335" Type="http://schemas.openxmlformats.org/officeDocument/2006/relationships/hyperlink" Target="https://www.krollbondratings.com/" TargetMode="External"/><Relationship Id="rId336" Type="http://schemas.openxmlformats.org/officeDocument/2006/relationships/hyperlink" Target="https://www.mint.com/" TargetMode="External"/><Relationship Id="rId337" Type="http://schemas.openxmlformats.org/officeDocument/2006/relationships/hyperlink" Target="http://www.nab.com.au/" TargetMode="External"/><Relationship Id="rId338" Type="http://schemas.openxmlformats.org/officeDocument/2006/relationships/hyperlink" Target="https://www.capitaliq.com/" TargetMode="External"/><Relationship Id="rId339" Type="http://schemas.openxmlformats.org/officeDocument/2006/relationships/hyperlink" Target="http://www.standardandpoors.com/en_US/web/guest/home" TargetMode="External"/><Relationship Id="rId340" Type="http://schemas.openxmlformats.org/officeDocument/2006/relationships/hyperlink" Target="http://www.troweprice.com/" TargetMode="External"/><Relationship Id="rId341" Type="http://schemas.openxmlformats.org/officeDocument/2006/relationships/hyperlink" Target="http://www.allianzusa.com/" TargetMode="External"/><Relationship Id="rId342" Type="http://schemas.openxmlformats.org/officeDocument/2006/relationships/hyperlink" Target="http://asset4.com/" TargetMode="External"/><Relationship Id="rId343" Type="http://schemas.openxmlformats.org/officeDocument/2006/relationships/hyperlink" Target="http://www.avalara.com/" TargetMode="External"/><Relationship Id="rId344" Type="http://schemas.openxmlformats.org/officeDocument/2006/relationships/hyperlink" Target="https://mandasoft.com/" TargetMode="External"/><Relationship Id="rId345" Type="http://schemas.openxmlformats.org/officeDocument/2006/relationships/hyperlink" Target="http://www.berkshirehathaway.com/" TargetMode="External"/><Relationship Id="rId346" Type="http://schemas.openxmlformats.org/officeDocument/2006/relationships/hyperlink" Target="http://www.bloomberg.com/" TargetMode="External"/><Relationship Id="rId347" Type="http://schemas.openxmlformats.org/officeDocument/2006/relationships/hyperlink" Target="http://www.bwater.com/" TargetMode="External"/><Relationship Id="rId348" Type="http://schemas.openxmlformats.org/officeDocument/2006/relationships/hyperlink" Target="http://www.businessmonitor.com/" TargetMode="External"/><Relationship Id="rId349" Type="http://schemas.openxmlformats.org/officeDocument/2006/relationships/hyperlink" Target="http://www.cig.com/" TargetMode="External"/><Relationship Id="rId350" Type="http://schemas.openxmlformats.org/officeDocument/2006/relationships/hyperlink" Target="https://www.schwab.com/" TargetMode="External"/><Relationship Id="rId351" Type="http://schemas.openxmlformats.org/officeDocument/2006/relationships/hyperlink" Target="http://www.citigroup.com/citi/" TargetMode="External"/><Relationship Id="rId352" Type="http://schemas.openxmlformats.org/officeDocument/2006/relationships/hyperlink" Target="https://www.creditkarma.com/" TargetMode="External"/><Relationship Id="rId353" Type="http://schemas.openxmlformats.org/officeDocument/2006/relationships/hyperlink" Target="http://demystdata.com/" TargetMode="External"/><Relationship Id="rId354" Type="http://schemas.openxmlformats.org/officeDocument/2006/relationships/hyperlink" Target="http://www.dowjones.com/" TargetMode="External"/><Relationship Id="rId355" Type="http://schemas.openxmlformats.org/officeDocument/2006/relationships/hyperlink" Target="http://www.equifax.com/home/en_us" TargetMode="External"/><Relationship Id="rId356" Type="http://schemas.openxmlformats.org/officeDocument/2006/relationships/hyperlink" Target="http://www.ey.com/" TargetMode="External"/><Relationship Id="rId357" Type="http://schemas.openxmlformats.org/officeDocument/2006/relationships/hyperlink" Target="http://www.experian.com/" TargetMode="External"/><Relationship Id="rId358" Type="http://schemas.openxmlformats.org/officeDocument/2006/relationships/hyperlink" Target="http://www.factset.com/" TargetMode="External"/><Relationship Id="rId359" Type="http://schemas.openxmlformats.org/officeDocument/2006/relationships/hyperlink" Target="https://www.fidelity.com/" TargetMode="External"/><Relationship Id="rId360" Type="http://schemas.openxmlformats.org/officeDocument/2006/relationships/hyperlink" Target="https://www.fundingcircle.com/" TargetMode="External"/><Relationship Id="rId361" Type="http://schemas.openxmlformats.org/officeDocument/2006/relationships/hyperlink" Target="https://www.futureadvisor.com/" TargetMode="External"/><Relationship Id="rId362" Type="http://schemas.openxmlformats.org/officeDocument/2006/relationships/hyperlink" Target="https://getraised.com/" TargetMode="External"/><Relationship Id="rId363" Type="http://schemas.openxmlformats.org/officeDocument/2006/relationships/hyperlink" Target="http://info.iwfinancial.com/" TargetMode="External"/><Relationship Id="rId364" Type="http://schemas.openxmlformats.org/officeDocument/2006/relationships/hyperlink" Target="http://www.jpmorganchase.com/corporate/Home/home.htm" TargetMode="External"/><Relationship Id="rId365" Type="http://schemas.openxmlformats.org/officeDocument/2006/relationships/hyperlink" Target="http://www.jcs.com.gh/" TargetMode="External"/><Relationship Id="rId366" Type="http://schemas.openxmlformats.org/officeDocument/2006/relationships/hyperlink" Target="http://www.msci.com/products/esg/" TargetMode="External"/><Relationship Id="rId367" Type="http://schemas.openxmlformats.org/officeDocument/2006/relationships/hyperlink" Target="https://www.lenddo.com/pages/what_is_lenddo/office" TargetMode="External"/><Relationship Id="rId368" Type="http://schemas.openxmlformats.org/officeDocument/2006/relationships/hyperlink" Target="https://www.lendingclub.com/" TargetMode="External"/><Relationship Id="rId369" Type="http://schemas.openxmlformats.org/officeDocument/2006/relationships/hyperlink" Target="http://www.marlinllc.com/" TargetMode="External"/><Relationship Id="rId370" Type="http://schemas.openxmlformats.org/officeDocument/2006/relationships/hyperlink" Target="http://www.mhfi.com/" TargetMode="External"/><Relationship Id="rId371" Type="http://schemas.openxmlformats.org/officeDocument/2006/relationships/hyperlink" Target="http://www.ml.com/index.asp?id=7695_15125" TargetMode="External"/><Relationship Id="rId372" Type="http://schemas.openxmlformats.org/officeDocument/2006/relationships/hyperlink" Target="https://www.moodys.com/" TargetMode="External"/><Relationship Id="rId373" Type="http://schemas.openxmlformats.org/officeDocument/2006/relationships/hyperlink" Target="http://www.morganstanley.com/" TargetMode="External"/><Relationship Id="rId374" Type="http://schemas.openxmlformats.org/officeDocument/2006/relationships/hyperlink" Target="http://www.morningstar.com/" TargetMode="External"/><Relationship Id="rId375" Type="http://schemas.openxmlformats.org/officeDocument/2006/relationships/hyperlink" Target="http://www.pwc.com/us/en/index.jhtml" TargetMode="External"/><Relationship Id="rId376" Type="http://schemas.openxmlformats.org/officeDocument/2006/relationships/hyperlink" Target="http://rankandfiled.com/" TargetMode="External"/><Relationship Id="rId377" Type="http://schemas.openxmlformats.org/officeDocument/2006/relationships/hyperlink" Target="http://rivetsoftware.com/" TargetMode="External"/><Relationship Id="rId378" Type="http://schemas.openxmlformats.org/officeDocument/2006/relationships/hyperlink" Target="http://www.russell.com/indexes/" TargetMode="External"/><Relationship Id="rId379" Type="http://schemas.openxmlformats.org/officeDocument/2006/relationships/hyperlink" Target="https://www.sigfig.com/" TargetMode="External"/><Relationship Id="rId380" Type="http://schemas.openxmlformats.org/officeDocument/2006/relationships/hyperlink" Target="http://www.govtechfund.com/" TargetMode="External"/><Relationship Id="rId381" Type="http://schemas.openxmlformats.org/officeDocument/2006/relationships/hyperlink" Target="http://www.vanguard.com/" TargetMode="External"/><Relationship Id="rId382" Type="http://schemas.openxmlformats.org/officeDocument/2006/relationships/hyperlink" Target="http://www.trintech.com/" TargetMode="External"/><Relationship Id="rId383" Type="http://schemas.openxmlformats.org/officeDocument/2006/relationships/hyperlink" Target="https://www.usaa.com/" TargetMode="External"/><Relationship Id="rId384" Type="http://schemas.openxmlformats.org/officeDocument/2006/relationships/hyperlink" Target="https://www.workiva.com/" TargetMode="External"/><Relationship Id="rId385" Type="http://schemas.openxmlformats.org/officeDocument/2006/relationships/hyperlink" Target="http://www.xignite.com/" TargetMode="External"/><Relationship Id="rId386" Type="http://schemas.openxmlformats.org/officeDocument/2006/relationships/hyperlink" Target="https://www.kreditech.com/" TargetMode="External"/><Relationship Id="rId387" Type="http://schemas.openxmlformats.org/officeDocument/2006/relationships/hyperlink" Target="http://www.fiercebigdata.com/story/kreditech-group-uses-big-data-score-credit-risk-4-billion-people-worldwide/2014-12-03" TargetMode="External"/><Relationship Id="rId388" Type="http://schemas.openxmlformats.org/officeDocument/2006/relationships/hyperlink" Target="https://nimble.com.au/" TargetMode="External"/><Relationship Id="rId389" Type="http://schemas.openxmlformats.org/officeDocument/2006/relationships/hyperlink" Target="https://nimble.com.au/about-us/privacy-policy" TargetMode="External"/><Relationship Id="rId390" Type="http://schemas.openxmlformats.org/officeDocument/2006/relationships/hyperlink" Target="http://www.credifi.com/" TargetMode="External"/><Relationship Id="rId391" Type="http://schemas.openxmlformats.org/officeDocument/2006/relationships/hyperlink" Target="http://www.trfund.com/" TargetMode="External"/><Relationship Id="rId392" Type="http://schemas.openxmlformats.org/officeDocument/2006/relationships/hyperlink" Target="http://www.civicstack.org/" TargetMode="External"/><Relationship Id="rId393" Type="http://schemas.openxmlformats.org/officeDocument/2006/relationships/hyperlink" Target="https://vc4africa.biz/members/ericmutta/profile/" TargetMode="External"/><Relationship Id="rId394" Type="http://schemas.openxmlformats.org/officeDocument/2006/relationships/hyperlink" Target="http://www.zegetech.com/" TargetMode="External"/><Relationship Id="rId395" Type="http://schemas.openxmlformats.org/officeDocument/2006/relationships/hyperlink" Target="http://www.sociohub.ru/" TargetMode="External"/><Relationship Id="rId396" Type="http://schemas.openxmlformats.org/officeDocument/2006/relationships/hyperlink" Target="http://www.ekgaon.com/" TargetMode="External"/><Relationship Id="rId397" Type="http://schemas.openxmlformats.org/officeDocument/2006/relationships/hyperlink" Target="http://www.viterra.com.au/" TargetMode="External"/><Relationship Id="rId398" Type="http://schemas.openxmlformats.org/officeDocument/2006/relationships/hyperlink" Target="http://www.awb.com.au/growers" TargetMode="External"/><Relationship Id="rId399" Type="http://schemas.openxmlformats.org/officeDocument/2006/relationships/hyperlink" Target="http://www.boags.com.au/agegate" TargetMode="External"/><Relationship Id="rId400" Type="http://schemas.openxmlformats.org/officeDocument/2006/relationships/hyperlink" Target="http://www.bulla.com.au/" TargetMode="External"/><Relationship Id="rId401" Type="http://schemas.openxmlformats.org/officeDocument/2006/relationships/hyperlink" Target="http://ccamatil.com/Pages/default.aspx" TargetMode="External"/><Relationship Id="rId402" Type="http://schemas.openxmlformats.org/officeDocument/2006/relationships/hyperlink" Target="http://www.geosphereservices.com/" TargetMode="External"/><Relationship Id="rId403" Type="http://schemas.openxmlformats.org/officeDocument/2006/relationships/hyperlink" Target="http://www.navcities.com/" TargetMode="External"/><Relationship Id="rId404" Type="http://schemas.openxmlformats.org/officeDocument/2006/relationships/hyperlink" Target="http://www.transparentchennai.com/" TargetMode="External"/><Relationship Id="rId405" Type="http://schemas.openxmlformats.org/officeDocument/2006/relationships/hyperlink" Target="http://nextgis.org/" TargetMode="External"/><Relationship Id="rId406" Type="http://schemas.openxmlformats.org/officeDocument/2006/relationships/hyperlink" Target="http://abetsoft.in/gisservices.html" TargetMode="External"/><Relationship Id="rId407" Type="http://schemas.openxmlformats.org/officeDocument/2006/relationships/hyperlink" Target="http://abetsoft.in/gisservices.html" TargetMode="External"/><Relationship Id="rId408" Type="http://schemas.openxmlformats.org/officeDocument/2006/relationships/hyperlink" Target="http://adeptogeoit.com/home/index.php" TargetMode="External"/><Relationship Id="rId409" Type="http://schemas.openxmlformats.org/officeDocument/2006/relationships/hyperlink" Target="http://ayuda.datea.pe/" TargetMode="External"/><Relationship Id="rId410" Type="http://schemas.openxmlformats.org/officeDocument/2006/relationships/hyperlink" Target="http://www.civicstack.org/" TargetMode="External"/><Relationship Id="rId411" Type="http://schemas.openxmlformats.org/officeDocument/2006/relationships/hyperlink" Target="http://www.eventario.mx/" TargetMode="External"/><Relationship Id="rId412" Type="http://schemas.openxmlformats.org/officeDocument/2006/relationships/hyperlink" Target="http://www.civicstack.org/" TargetMode="External"/><Relationship Id="rId413" Type="http://schemas.openxmlformats.org/officeDocument/2006/relationships/hyperlink" Target="http://cloudmade.com/" TargetMode="External"/><Relationship Id="rId414" Type="http://schemas.openxmlformats.org/officeDocument/2006/relationships/hyperlink" Target="http://www.earth-observer.org/" TargetMode="External"/><Relationship Id="rId415" Type="http://schemas.openxmlformats.org/officeDocument/2006/relationships/hyperlink" Target="https://play.google.com/store/apps/details?id=com.joshclemm.android.quake&amp;hl=en" TargetMode="External"/><Relationship Id="rId416" Type="http://schemas.openxmlformats.org/officeDocument/2006/relationships/hyperlink" Target="http://www.garmin.com/en-US" TargetMode="External"/><Relationship Id="rId417" Type="http://schemas.openxmlformats.org/officeDocument/2006/relationships/hyperlink" Target="http://geofeedia.com/" TargetMode="External"/><Relationship Id="rId418" Type="http://schemas.openxmlformats.org/officeDocument/2006/relationships/hyperlink" Target="https://www.google.com/maps/about/explore/" TargetMode="External"/><Relationship Id="rId419" Type="http://schemas.openxmlformats.org/officeDocument/2006/relationships/hyperlink" Target="http://indoo.rs/" TargetMode="External"/><Relationship Id="rId420" Type="http://schemas.openxmlformats.org/officeDocument/2006/relationships/hyperlink" Target="http://www.intermap.com/" TargetMode="External"/><Relationship Id="rId421" Type="http://schemas.openxmlformats.org/officeDocument/2006/relationships/hyperlink" Target="http://liquidr.com/" TargetMode="External"/><Relationship Id="rId422" Type="http://schemas.openxmlformats.org/officeDocument/2006/relationships/hyperlink" Target="http://www.windowsphone.com/en-us/store/app/mango-transit/34083d75-dca6-4631-99be-4f9a3813dd73" TargetMode="External"/><Relationship Id="rId423" Type="http://schemas.openxmlformats.org/officeDocument/2006/relationships/hyperlink" Target="http://www.maponics.com/" TargetMode="External"/><Relationship Id="rId424" Type="http://schemas.openxmlformats.org/officeDocument/2006/relationships/hyperlink" Target="http://www.mapquest.com/" TargetMode="External"/><Relationship Id="rId425" Type="http://schemas.openxmlformats.org/officeDocument/2006/relationships/hyperlink" Target="https://www.onstar.com/web/portal/home?g=1" TargetMode="External"/><Relationship Id="rId426" Type="http://schemas.openxmlformats.org/officeDocument/2006/relationships/hyperlink" Target="http://www.randmcnally.com/" TargetMode="External"/><Relationship Id="rId427" Type="http://schemas.openxmlformats.org/officeDocument/2006/relationships/hyperlink" Target="http://stamen.com/" TargetMode="External"/><Relationship Id="rId428" Type="http://schemas.openxmlformats.org/officeDocument/2006/relationships/hyperlink" Target="http://www.telenav.com/" TargetMode="External"/><Relationship Id="rId429" Type="http://schemas.openxmlformats.org/officeDocument/2006/relationships/hyperlink" Target="http://global.mapit.mysociety.org/" TargetMode="External"/><Relationship Id="rId430" Type="http://schemas.openxmlformats.org/officeDocument/2006/relationships/hyperlink" Target="http://www.civicstack.org/" TargetMode="External"/><Relationship Id="rId431" Type="http://schemas.openxmlformats.org/officeDocument/2006/relationships/hyperlink" Target="http://www.accela.com/" TargetMode="External"/><Relationship Id="rId432" Type="http://schemas.openxmlformats.org/officeDocument/2006/relationships/hyperlink" Target="http://www.accela.com/" TargetMode="External"/><Relationship Id="rId433" Type="http://schemas.openxmlformats.org/officeDocument/2006/relationships/hyperlink" Target="http://www.aip-bg.org/en/about/" TargetMode="External"/><Relationship Id="rId434" Type="http://schemas.openxmlformats.org/officeDocument/2006/relationships/hyperlink" Target="http://www.aip-bg.org/en/about/" TargetMode="External"/><Relationship Id="rId435" Type="http://schemas.openxmlformats.org/officeDocument/2006/relationships/hyperlink" Target="http://www.accountabilityindia.in/" TargetMode="External"/><Relationship Id="rId436" Type="http://schemas.openxmlformats.org/officeDocument/2006/relationships/hyperlink" Target="http://www.accountabilityindia.in/about-us" TargetMode="External"/><Relationship Id="rId437" Type="http://schemas.openxmlformats.org/officeDocument/2006/relationships/hyperlink" Target="http://bizvizz.com/" TargetMode="External"/><Relationship Id="rId438" Type="http://schemas.openxmlformats.org/officeDocument/2006/relationships/hyperlink" Target="http://reboot.org/case-studies/open-data-for-public-service-delivery-nigeria/" TargetMode="External"/><Relationship Id="rId439" Type="http://schemas.openxmlformats.org/officeDocument/2006/relationships/hyperlink" Target="http://www.glassymedia.com/" TargetMode="External"/><Relationship Id="rId440" Type="http://schemas.openxmlformats.org/officeDocument/2006/relationships/hyperlink" Target="http://www.granicus.com/" TargetMode="External"/><Relationship Id="rId441" Type="http://schemas.openxmlformats.org/officeDocument/2006/relationships/hyperlink" Target="http://www.legistorm.com/" TargetMode="External"/><Relationship Id="rId442" Type="http://schemas.openxmlformats.org/officeDocument/2006/relationships/hyperlink" Target="http://malawivote2014.org/" TargetMode="External"/><Relationship Id="rId443" Type="http://schemas.openxmlformats.org/officeDocument/2006/relationships/hyperlink" Target="http://openplans.org/" TargetMode="External"/><Relationship Id="rId444" Type="http://schemas.openxmlformats.org/officeDocument/2006/relationships/hyperlink" Target="http://outline.com/" TargetMode="External"/><Relationship Id="rId445" Type="http://schemas.openxmlformats.org/officeDocument/2006/relationships/hyperlink" Target="http://www.transparencyreporting.net/" TargetMode="External"/><Relationship Id="rId446" Type="http://schemas.openxmlformats.org/officeDocument/2006/relationships/hyperlink" Target="http://www.politify.us/" TargetMode="External"/><Relationship Id="rId447" Type="http://schemas.openxmlformats.org/officeDocument/2006/relationships/hyperlink" Target="http://www.publicengines.com/" TargetMode="External"/><Relationship Id="rId448" Type="http://schemas.openxmlformats.org/officeDocument/2006/relationships/hyperlink" Target="http://www.remi.com/" TargetMode="External"/><Relationship Id="rId449" Type="http://schemas.openxmlformats.org/officeDocument/2006/relationships/hyperlink" Target="http://sinergantara.or.id/" TargetMode="External"/><Relationship Id="rId450" Type="http://schemas.openxmlformats.org/officeDocument/2006/relationships/hyperlink" Target="http://supervizor.kpk-rs.si/" TargetMode="External"/><Relationship Id="rId451" Type="http://schemas.openxmlformats.org/officeDocument/2006/relationships/hyperlink" Target="http://www.TransparaGov.com/" TargetMode="External"/><Relationship Id="rId452" Type="http://schemas.openxmlformats.org/officeDocument/2006/relationships/hyperlink" Target="https://www.vitalchek.com/" TargetMode="External"/><Relationship Id="rId453" Type="http://schemas.openxmlformats.org/officeDocument/2006/relationships/hyperlink" Target="http://www.votizen.com/" TargetMode="External"/><Relationship Id="rId454" Type="http://schemas.openxmlformats.org/officeDocument/2006/relationships/hyperlink" Target="http://codeforeurope.net/" TargetMode="External"/><Relationship Id="rId455" Type="http://schemas.openxmlformats.org/officeDocument/2006/relationships/hyperlink" Target="http://codeforall.org/" TargetMode="External"/><Relationship Id="rId456" Type="http://schemas.openxmlformats.org/officeDocument/2006/relationships/hyperlink" Target="http://codefor.de/" TargetMode="External"/><Relationship Id="rId457" Type="http://schemas.openxmlformats.org/officeDocument/2006/relationships/hyperlink" Target="http://codeforall.org/" TargetMode="External"/><Relationship Id="rId458" Type="http://schemas.openxmlformats.org/officeDocument/2006/relationships/hyperlink" Target="http://www.codeforghana.org/" TargetMode="External"/><Relationship Id="rId459" Type="http://schemas.openxmlformats.org/officeDocument/2006/relationships/hyperlink" Target="http://codeforall.org/" TargetMode="External"/><Relationship Id="rId460" Type="http://schemas.openxmlformats.org/officeDocument/2006/relationships/hyperlink" Target="http://codeforireland.com/" TargetMode="External"/><Relationship Id="rId461" Type="http://schemas.openxmlformats.org/officeDocument/2006/relationships/hyperlink" Target="http://codeforall.org/" TargetMode="External"/><Relationship Id="rId462" Type="http://schemas.openxmlformats.org/officeDocument/2006/relationships/hyperlink" Target="http://codeforpakistan.org/" TargetMode="External"/><Relationship Id="rId463" Type="http://schemas.openxmlformats.org/officeDocument/2006/relationships/hyperlink" Target="http://codeforall.org/" TargetMode="External"/><Relationship Id="rId464" Type="http://schemas.openxmlformats.org/officeDocument/2006/relationships/hyperlink" Target="http://kodujdlapolski.pl/" TargetMode="External"/><Relationship Id="rId465" Type="http://schemas.openxmlformats.org/officeDocument/2006/relationships/hyperlink" Target="http://codeforall.org/" TargetMode="External"/><Relationship Id="rId466" Type="http://schemas.openxmlformats.org/officeDocument/2006/relationships/hyperlink" Target="http://code4sa.org/" TargetMode="External"/><Relationship Id="rId467" Type="http://schemas.openxmlformats.org/officeDocument/2006/relationships/hyperlink" Target="http://codeforall.org/" TargetMode="External"/><Relationship Id="rId468" Type="http://schemas.openxmlformats.org/officeDocument/2006/relationships/hyperlink" Target="http://www.codeforthecaribbean.org/" TargetMode="External"/><Relationship Id="rId469" Type="http://schemas.openxmlformats.org/officeDocument/2006/relationships/hyperlink" Target="http://codeforall.org/" TargetMode="External"/><Relationship Id="rId470" Type="http://schemas.openxmlformats.org/officeDocument/2006/relationships/hyperlink" Target="http://www.codefor.nl/" TargetMode="External"/><Relationship Id="rId471" Type="http://schemas.openxmlformats.org/officeDocument/2006/relationships/hyperlink" Target="http://codeforall.org/" TargetMode="External"/><Relationship Id="rId472" Type="http://schemas.openxmlformats.org/officeDocument/2006/relationships/hyperlink" Target="http://codeandomexico.org/" TargetMode="External"/><Relationship Id="rId473" Type="http://schemas.openxmlformats.org/officeDocument/2006/relationships/hyperlink" Target="http://codeforall.org/" TargetMode="External"/><Relationship Id="rId474" Type="http://schemas.openxmlformats.org/officeDocument/2006/relationships/hyperlink" Target="http://codenamu.org/" TargetMode="External"/><Relationship Id="rId475" Type="http://schemas.openxmlformats.org/officeDocument/2006/relationships/hyperlink" Target="http://codeforall.org/" TargetMode="External"/><Relationship Id="rId476" Type="http://schemas.openxmlformats.org/officeDocument/2006/relationships/hyperlink" Target="http://codigo.labplc.mx/" TargetMode="External"/><Relationship Id="rId477" Type="http://schemas.openxmlformats.org/officeDocument/2006/relationships/hyperlink" Target="http://codeforall.org/" TargetMode="External"/><Relationship Id="rId478" Type="http://schemas.openxmlformats.org/officeDocument/2006/relationships/hyperlink" Target="http://g0v.tw/" TargetMode="External"/><Relationship Id="rId479" Type="http://schemas.openxmlformats.org/officeDocument/2006/relationships/hyperlink" Target="http://g0v.tw/en-US/index.html" TargetMode="External"/><Relationship Id="rId480" Type="http://schemas.openxmlformats.org/officeDocument/2006/relationships/hyperlink" Target="http://codeforall.org/" TargetMode="External"/><Relationship Id="rId481" Type="http://schemas.openxmlformats.org/officeDocument/2006/relationships/hyperlink" Target="http://offenerhaushalt.de/" TargetMode="External"/><Relationship Id="rId482" Type="http://schemas.openxmlformats.org/officeDocument/2006/relationships/hyperlink" Target="http://www.civicstack.org/" TargetMode="External"/><Relationship Id="rId483" Type="http://schemas.openxmlformats.org/officeDocument/2006/relationships/hyperlink" Target="http://www.constitucion.al/" TargetMode="External"/><Relationship Id="rId484" Type="http://schemas.openxmlformats.org/officeDocument/2006/relationships/hyperlink" Target="http://www.civicstack.org/" TargetMode="External"/><Relationship Id="rId485" Type="http://schemas.openxmlformats.org/officeDocument/2006/relationships/hyperlink" Target="http://www.participa.br/" TargetMode="External"/><Relationship Id="rId486" Type="http://schemas.openxmlformats.org/officeDocument/2006/relationships/hyperlink" Target="http://www.civicstack.org/" TargetMode="External"/><Relationship Id="rId487" Type="http://schemas.openxmlformats.org/officeDocument/2006/relationships/hyperlink" Target="http://www.irekia.euskadi.eus/" TargetMode="External"/><Relationship Id="rId488" Type="http://schemas.openxmlformats.org/officeDocument/2006/relationships/hyperlink" Target="http://www.civicstack.org/" TargetMode="External"/><Relationship Id="rId489" Type="http://schemas.openxmlformats.org/officeDocument/2006/relationships/hyperlink" Target="https://adhocracy.de/" TargetMode="External"/><Relationship Id="rId490" Type="http://schemas.openxmlformats.org/officeDocument/2006/relationships/hyperlink" Target="http://www.civicstack.org/" TargetMode="External"/><Relationship Id="rId491" Type="http://schemas.openxmlformats.org/officeDocument/2006/relationships/hyperlink" Target="http://www.statedecoded.com/" TargetMode="External"/><Relationship Id="rId492" Type="http://schemas.openxmlformats.org/officeDocument/2006/relationships/hyperlink" Target="http://www.civicstack.org/" TargetMode="External"/><Relationship Id="rId493" Type="http://schemas.openxmlformats.org/officeDocument/2006/relationships/hyperlink" Target="http://www.lafabriquedelaloi.fr/" TargetMode="External"/><Relationship Id="rId494" Type="http://schemas.openxmlformats.org/officeDocument/2006/relationships/hyperlink" Target="http://www.civicstack.org/" TargetMode="External"/><Relationship Id="rId495" Type="http://schemas.openxmlformats.org/officeDocument/2006/relationships/hyperlink" Target="http://ramo23.com/" TargetMode="External"/><Relationship Id="rId496" Type="http://schemas.openxmlformats.org/officeDocument/2006/relationships/hyperlink" Target="http://www.civicstack.org/" TargetMode="External"/><Relationship Id="rId497" Type="http://schemas.openxmlformats.org/officeDocument/2006/relationships/hyperlink" Target="http://sigalei.com.br/" TargetMode="External"/><Relationship Id="rId498" Type="http://schemas.openxmlformats.org/officeDocument/2006/relationships/hyperlink" Target="http://www.civicstack.org/" TargetMode="External"/><Relationship Id="rId499" Type="http://schemas.openxmlformats.org/officeDocument/2006/relationships/hyperlink" Target="http://democracyos.org/" TargetMode="External"/><Relationship Id="rId500" Type="http://schemas.openxmlformats.org/officeDocument/2006/relationships/hyperlink" Target="http://www.civicstack.org/" TargetMode="External"/><Relationship Id="rId501" Type="http://schemas.openxmlformats.org/officeDocument/2006/relationships/hyperlink" Target="https://www.govtrack.us/" TargetMode="External"/><Relationship Id="rId502" Type="http://schemas.openxmlformats.org/officeDocument/2006/relationships/hyperlink" Target="http://www.civicstack.org/" TargetMode="External"/><Relationship Id="rId503" Type="http://schemas.openxmlformats.org/officeDocument/2006/relationships/hyperlink" Target="http://www.dipudatos.info/" TargetMode="External"/><Relationship Id="rId504" Type="http://schemas.openxmlformats.org/officeDocument/2006/relationships/hyperlink" Target="http://www.civicstack.org/" TargetMode="External"/><Relationship Id="rId505" Type="http://schemas.openxmlformats.org/officeDocument/2006/relationships/hyperlink" Target="http://gabinetedigital.rs.gov.br/" TargetMode="External"/><Relationship Id="rId506" Type="http://schemas.openxmlformats.org/officeDocument/2006/relationships/hyperlink" Target="http://www.civicstack.org/" TargetMode="External"/><Relationship Id="rId507" Type="http://schemas.openxmlformats.org/officeDocument/2006/relationships/hyperlink" Target="http://hayacuerdo.ciudadanointeligente.org/" TargetMode="External"/><Relationship Id="rId508" Type="http://schemas.openxmlformats.org/officeDocument/2006/relationships/hyperlink" Target="http://www.civicstack.org/" TargetMode="External"/><Relationship Id="rId509" Type="http://schemas.openxmlformats.org/officeDocument/2006/relationships/hyperlink" Target="http://www.sunlightfoundation.org/" TargetMode="External"/><Relationship Id="rId510" Type="http://schemas.openxmlformats.org/officeDocument/2006/relationships/hyperlink" Target="http://www.codeforaustralia.org/" TargetMode="External"/><Relationship Id="rId511" Type="http://schemas.openxmlformats.org/officeDocument/2006/relationships/hyperlink" Target="http://codeforall.org/" TargetMode="External"/><Relationship Id="rId512" Type="http://schemas.openxmlformats.org/officeDocument/2006/relationships/hyperlink" Target="http://code4japan.org/" TargetMode="External"/><Relationship Id="rId513" Type="http://schemas.openxmlformats.org/officeDocument/2006/relationships/hyperlink" Target="http://codeforall.org/" TargetMode="External"/><Relationship Id="rId514" Type="http://schemas.openxmlformats.org/officeDocument/2006/relationships/hyperlink" Target="http://openbudgetoakland.org/" TargetMode="External"/><Relationship Id="rId515" Type="http://schemas.openxmlformats.org/officeDocument/2006/relationships/hyperlink" Target="http://www.civicstack.org/" TargetMode="External"/><Relationship Id="rId516" Type="http://schemas.openxmlformats.org/officeDocument/2006/relationships/hyperlink" Target="http://everypolitician.org/" TargetMode="External"/><Relationship Id="rId517" Type="http://schemas.openxmlformats.org/officeDocument/2006/relationships/hyperlink" Target="http://www.civicstack.org/" TargetMode="External"/><Relationship Id="rId518" Type="http://schemas.openxmlformats.org/officeDocument/2006/relationships/hyperlink" Target="https://betrireykjavik.is/" TargetMode="External"/><Relationship Id="rId519" Type="http://schemas.openxmlformats.org/officeDocument/2006/relationships/hyperlink" Target="http://www.civicstack.org/" TargetMode="External"/><Relationship Id="rId520" Type="http://schemas.openxmlformats.org/officeDocument/2006/relationships/hyperlink" Target="http://billwatcher.sinarproject.org/" TargetMode="External"/><Relationship Id="rId521" Type="http://schemas.openxmlformats.org/officeDocument/2006/relationships/hyperlink" Target="http://www.civicstack.org/" TargetMode="External"/><Relationship Id="rId522" Type="http://schemas.openxmlformats.org/officeDocument/2006/relationships/hyperlink" Target="http://www.theyworkforyou.com/" TargetMode="External"/><Relationship Id="rId523" Type="http://schemas.openxmlformats.org/officeDocument/2006/relationships/hyperlink" Target="http://www.civicstack.org/" TargetMode="External"/><Relationship Id="rId524" Type="http://schemas.openxmlformats.org/officeDocument/2006/relationships/hyperlink" Target="https://www.writetothem.com/" TargetMode="External"/><Relationship Id="rId525" Type="http://schemas.openxmlformats.org/officeDocument/2006/relationships/hyperlink" Target="http://www.civicstack.org/" TargetMode="External"/><Relationship Id="rId526" Type="http://schemas.openxmlformats.org/officeDocument/2006/relationships/hyperlink" Target="http://congresoabierto.cl/" TargetMode="External"/><Relationship Id="rId527" Type="http://schemas.openxmlformats.org/officeDocument/2006/relationships/hyperlink" Target="http://www.civicstack.org/" TargetMode="External"/><Relationship Id="rId528" Type="http://schemas.openxmlformats.org/officeDocument/2006/relationships/hyperlink" Target="http://deldichoalhecho.cl/" TargetMode="External"/><Relationship Id="rId529" Type="http://schemas.openxmlformats.org/officeDocument/2006/relationships/hyperlink" Target="http://www.civicstack.org/" TargetMode="External"/><Relationship Id="rId530" Type="http://schemas.openxmlformats.org/officeDocument/2006/relationships/hyperlink" Target="http://www.pixelhumain.com/" TargetMode="External"/><Relationship Id="rId531" Type="http://schemas.openxmlformats.org/officeDocument/2006/relationships/hyperlink" Target="http://www.civicstack.org/" TargetMode="External"/><Relationship Id="rId532" Type="http://schemas.openxmlformats.org/officeDocument/2006/relationships/hyperlink" Target="http://www.junar.com/" TargetMode="External"/><Relationship Id="rId533" Type="http://schemas.openxmlformats.org/officeDocument/2006/relationships/hyperlink" Target="http://www.opi.la/" TargetMode="External"/><Relationship Id="rId534" Type="http://schemas.openxmlformats.org/officeDocument/2006/relationships/hyperlink" Target="http://www.osdd.net/" TargetMode="External"/><Relationship Id="rId535" Type="http://schemas.openxmlformats.org/officeDocument/2006/relationships/hyperlink" Target="http://www.tipsdokter.com/" TargetMode="External"/><Relationship Id="rId536" Type="http://schemas.openxmlformats.org/officeDocument/2006/relationships/hyperlink" Target="http://Bien.io/" TargetMode="External"/><Relationship Id="rId537" Type="http://schemas.openxmlformats.org/officeDocument/2006/relationships/hyperlink" Target="http://bien.io/" TargetMode="External"/><Relationship Id="rId538" Type="http://schemas.openxmlformats.org/officeDocument/2006/relationships/hyperlink" Target="https://clinicalstudydatarequest.com/" TargetMode="External"/><Relationship Id="rId539" Type="http://schemas.openxmlformats.org/officeDocument/2006/relationships/hyperlink" Target="http://internewskenya.org/dataportal/" TargetMode="External"/><Relationship Id="rId540" Type="http://schemas.openxmlformats.org/officeDocument/2006/relationships/hyperlink" Target="http://mpr.code4sa.org/" TargetMode="External"/><Relationship Id="rId541" Type="http://schemas.openxmlformats.org/officeDocument/2006/relationships/hyperlink" Target="http://mutualistas.datauy.org/" TargetMode="External"/><Relationship Id="rId542" Type="http://schemas.openxmlformats.org/officeDocument/2006/relationships/hyperlink" Target="http://www.makingallvoicescount.org/project/bahawalpur-service-delivery-unit-bsdu/" TargetMode="External"/><Relationship Id="rId543" Type="http://schemas.openxmlformats.org/officeDocument/2006/relationships/hyperlink" Target="http://www.adinstruments.com/" TargetMode="External"/><Relationship Id="rId544" Type="http://schemas.openxmlformats.org/officeDocument/2006/relationships/hyperlink" Target="http://www.aimes.uk/" TargetMode="External"/><Relationship Id="rId545" Type="http://schemas.openxmlformats.org/officeDocument/2006/relationships/hyperlink" Target="http://www.amida-tech.com/what.html" TargetMode="External"/><Relationship Id="rId546" Type="http://schemas.openxmlformats.org/officeDocument/2006/relationships/hyperlink" Target="http://www.cerner.com/" TargetMode="External"/><Relationship Id="rId547" Type="http://schemas.openxmlformats.org/officeDocument/2006/relationships/hyperlink" Target="http://dhilcare.com/" TargetMode="External"/><Relationship Id="rId548" Type="http://schemas.openxmlformats.org/officeDocument/2006/relationships/hyperlink" Target="https://www.evaidya.com/index.html" TargetMode="External"/><Relationship Id="rId549" Type="http://schemas.openxmlformats.org/officeDocument/2006/relationships/hyperlink" Target="http://www.evidera.com/" TargetMode="External"/><Relationship Id="rId550" Type="http://schemas.openxmlformats.org/officeDocument/2006/relationships/hyperlink" Target="https://www.genospace.com/" TargetMode="External"/><Relationship Id="rId551" Type="http://schemas.openxmlformats.org/officeDocument/2006/relationships/hyperlink" Target="http://www.healthline.com/" TargetMode="External"/><Relationship Id="rId552" Type="http://schemas.openxmlformats.org/officeDocument/2006/relationships/hyperlink" Target="http://www.imshealth.com/portal/site/imshealth" TargetMode="External"/><Relationship Id="rId553" Type="http://schemas.openxmlformats.org/officeDocument/2006/relationships/hyperlink" Target="http://www.inovalon.com/pages/default.aspx" TargetMode="External"/><Relationship Id="rId554" Type="http://schemas.openxmlformats.org/officeDocument/2006/relationships/hyperlink" Target="https://healthy.kaiserpermanente.org/html/kaiser/index.shtml" TargetMode="External"/><Relationship Id="rId555" Type="http://schemas.openxmlformats.org/officeDocument/2006/relationships/hyperlink" Target="http://kyruus.com/" TargetMode="External"/><Relationship Id="rId556" Type="http://schemas.openxmlformats.org/officeDocument/2006/relationships/hyperlink" Target="http://mhealthcoach.com/" TargetMode="External"/><Relationship Id="rId557" Type="http://schemas.openxmlformats.org/officeDocument/2006/relationships/hyperlink" Target="http://www.optuminsight.com/" TargetMode="External"/><Relationship Id="rId558" Type="http://schemas.openxmlformats.org/officeDocument/2006/relationships/hyperlink" Target="http://www.practicefusion.com/" TargetMode="External"/><Relationship Id="rId559" Type="http://schemas.openxmlformats.org/officeDocument/2006/relationships/hyperlink" Target="http://www.predilytics.com/" TargetMode="External"/><Relationship Id="rId560" Type="http://schemas.openxmlformats.org/officeDocument/2006/relationships/hyperlink" Target="http://propellerhealth.com/" TargetMode="External"/><Relationship Id="rId561" Type="http://schemas.openxmlformats.org/officeDocument/2006/relationships/hyperlink" Target="http://www.spesohealth.com/" TargetMode="External"/><Relationship Id="rId562" Type="http://schemas.openxmlformats.org/officeDocument/2006/relationships/hyperlink" Target="http://www.citeline.com/products/trialtrove/" TargetMode="External"/><Relationship Id="rId563" Type="http://schemas.openxmlformats.org/officeDocument/2006/relationships/hyperlink" Target="http://www.vitals.com/" TargetMode="External"/><Relationship Id="rId564" Type="http://schemas.openxmlformats.org/officeDocument/2006/relationships/hyperlink" Target="http://www.webmd.com/" TargetMode="External"/><Relationship Id="rId565" Type="http://schemas.openxmlformats.org/officeDocument/2006/relationships/hyperlink" Target="http://www.zocdoc.com/" TargetMode="External"/><Relationship Id="rId566" Type="http://schemas.openxmlformats.org/officeDocument/2006/relationships/hyperlink" Target="http://www.uhgl-gh.com/" TargetMode="External"/><Relationship Id="rId567" Type="http://schemas.openxmlformats.org/officeDocument/2006/relationships/hyperlink" Target="http://www.trueproperty.ph/" TargetMode="External"/><Relationship Id="rId568" Type="http://schemas.openxmlformats.org/officeDocument/2006/relationships/hyperlink" Target="http://www.urbanindo.com/" TargetMode="External"/><Relationship Id="rId569" Type="http://schemas.openxmlformats.org/officeDocument/2006/relationships/hyperlink" Target="http://www.atsiteinc.com/" TargetMode="External"/><Relationship Id="rId570" Type="http://schemas.openxmlformats.org/officeDocument/2006/relationships/hyperlink" Target="http://www.buildfax.com/" TargetMode="External"/><Relationship Id="rId571" Type="http://schemas.openxmlformats.org/officeDocument/2006/relationships/hyperlink" Target="http://www.buildingeye.com/" TargetMode="External"/><Relationship Id="rId572" Type="http://schemas.openxmlformats.org/officeDocument/2006/relationships/hyperlink" Target="https://www.honestbuildings.com/" TargetMode="External"/><Relationship Id="rId573" Type="http://schemas.openxmlformats.org/officeDocument/2006/relationships/hyperlink" Target="http://www.realtor.com/" TargetMode="External"/><Relationship Id="rId574" Type="http://schemas.openxmlformats.org/officeDocument/2006/relationships/hyperlink" Target="http://streeteasy.com/" TargetMode="External"/><Relationship Id="rId575" Type="http://schemas.openxmlformats.org/officeDocument/2006/relationships/hyperlink" Target="http://www.zillow.com/" TargetMode="External"/><Relationship Id="rId576" Type="http://schemas.openxmlformats.org/officeDocument/2006/relationships/hyperlink" Target="http://www.zonability.com/" TargetMode="External"/><Relationship Id="rId577" Type="http://schemas.openxmlformats.org/officeDocument/2006/relationships/hyperlink" Target="http://secondcityzoning.org/" TargetMode="External"/><Relationship Id="rId578" Type="http://schemas.openxmlformats.org/officeDocument/2006/relationships/hyperlink" Target="http://www.civicstack.org/" TargetMode="External"/><Relationship Id="rId579" Type="http://schemas.openxmlformats.org/officeDocument/2006/relationships/hyperlink" Target="http://www.loopnet.com/" TargetMode="External"/><Relationship Id="rId580" Type="http://schemas.openxmlformats.org/officeDocument/2006/relationships/hyperlink" Target="http://www.mobilecontent.com.gh/" TargetMode="External"/><Relationship Id="rId581" Type="http://schemas.openxmlformats.org/officeDocument/2006/relationships/hyperlink" Target="http://www.rlgglobal.com/" TargetMode="External"/><Relationship Id="rId582" Type="http://schemas.openxmlformats.org/officeDocument/2006/relationships/hyperlink" Target="http://www.aspectfoundry.com/" TargetMode="External"/><Relationship Id="rId583" Type="http://schemas.openxmlformats.org/officeDocument/2006/relationships/hyperlink" Target="http://www.biznex.co/" TargetMode="External"/><Relationship Id="rId584" Type="http://schemas.openxmlformats.org/officeDocument/2006/relationships/hyperlink" Target="http://my-eventos.com/" TargetMode="External"/><Relationship Id="rId585" Type="http://schemas.openxmlformats.org/officeDocument/2006/relationships/hyperlink" Target="http://www.aami.com.au/" TargetMode="External"/><Relationship Id="rId586" Type="http://schemas.openxmlformats.org/officeDocument/2006/relationships/hyperlink" Target="http://www.allstate.com/" TargetMode="External"/><Relationship Id="rId587" Type="http://schemas.openxmlformats.org/officeDocument/2006/relationships/hyperlink" Target="http://www.axa.com/en/" TargetMode="External"/><Relationship Id="rId588" Type="http://schemas.openxmlformats.org/officeDocument/2006/relationships/hyperlink" Target="http://www.chubb.com/" TargetMode="External"/><Relationship Id="rId589" Type="http://schemas.openxmlformats.org/officeDocument/2006/relationships/hyperlink" Target="http://www.farmers.com/" TargetMode="External"/><Relationship Id="rId590" Type="http://schemas.openxmlformats.org/officeDocument/2006/relationships/hyperlink" Target="http://www.aon.com/impactforecasting/impact-forecasting.jsp" TargetMode="External"/><Relationship Id="rId591" Type="http://schemas.openxmlformats.org/officeDocument/2006/relationships/hyperlink" Target="http://www.libertymutual.com/" TargetMode="External"/><Relationship Id="rId592" Type="http://schemas.openxmlformats.org/officeDocument/2006/relationships/hyperlink" Target="https://www.metlife.com/" TargetMode="External"/><Relationship Id="rId593" Type="http://schemas.openxmlformats.org/officeDocument/2006/relationships/hyperlink" Target="http://www.nationwide.com/" TargetMode="External"/><Relationship Id="rId594" Type="http://schemas.openxmlformats.org/officeDocument/2006/relationships/hyperlink" Target="http://www.progressive.com/" TargetMode="External"/><Relationship Id="rId595" Type="http://schemas.openxmlformats.org/officeDocument/2006/relationships/hyperlink" Target="http://www.statefarm.com/" TargetMode="External"/><Relationship Id="rId596" Type="http://schemas.openxmlformats.org/officeDocument/2006/relationships/hyperlink" Target="http://www.vimo.com/" TargetMode="External"/><Relationship Id="rId597" Type="http://schemas.openxmlformats.org/officeDocument/2006/relationships/hyperlink" Target="http://www.zurichna.com/" TargetMode="External"/><Relationship Id="rId598" Type="http://schemas.openxmlformats.org/officeDocument/2006/relationships/hyperlink" Target="http://www.digsolab.ru/" TargetMode="External"/><Relationship Id="rId599" Type="http://schemas.openxmlformats.org/officeDocument/2006/relationships/hyperlink" Target="http://gblab.ru/" TargetMode="External"/><Relationship Id="rId600" Type="http://schemas.openxmlformats.org/officeDocument/2006/relationships/hyperlink" Target="http://www.b-techs.org/" TargetMode="External"/><Relationship Id="rId601" Type="http://schemas.openxmlformats.org/officeDocument/2006/relationships/hyperlink" Target="http://www.b3gtech.com/" TargetMode="External"/><Relationship Id="rId602" Type="http://schemas.openxmlformats.org/officeDocument/2006/relationships/hyperlink" Target="http://www.caciopee.biz/" TargetMode="External"/><Relationship Id="rId603" Type="http://schemas.openxmlformats.org/officeDocument/2006/relationships/hyperlink" Target="http://www.cst.ma/" TargetMode="External"/><Relationship Id="rId604" Type="http://schemas.openxmlformats.org/officeDocument/2006/relationships/hyperlink" Target="http://www.matekap.com/" TargetMode="External"/><Relationship Id="rId605" Type="http://schemas.openxmlformats.org/officeDocument/2006/relationships/hyperlink" Target="http://www.korwe.com/" TargetMode="External"/><Relationship Id="rId606" Type="http://schemas.openxmlformats.org/officeDocument/2006/relationships/hyperlink" Target="http://elearn-africa.org/" TargetMode="External"/><Relationship Id="rId607" Type="http://schemas.openxmlformats.org/officeDocument/2006/relationships/hyperlink" Target="http://et-app.ru/" TargetMode="External"/><Relationship Id="rId608" Type="http://schemas.openxmlformats.org/officeDocument/2006/relationships/hyperlink" Target="http://cgnetswara.org/" TargetMode="External"/><Relationship Id="rId609" Type="http://schemas.openxmlformats.org/officeDocument/2006/relationships/hyperlink" Target="http://www.landportal.info/" TargetMode="External"/><Relationship Id="rId610" Type="http://schemas.openxmlformats.org/officeDocument/2006/relationships/hyperlink" Target="http://www.rostnadzor.ru/" TargetMode="External"/><Relationship Id="rId611" Type="http://schemas.openxmlformats.org/officeDocument/2006/relationships/hyperlink" Target="http://rospravosudie.com/" TargetMode="External"/><Relationship Id="rId612" Type="http://schemas.openxmlformats.org/officeDocument/2006/relationships/hyperlink" Target="http://www.congresotransparente.org/" TargetMode="External"/><Relationship Id="rId613" Type="http://schemas.openxmlformats.org/officeDocument/2006/relationships/hyperlink" Target="http://www.afrochiconline.com/" TargetMode="External"/><Relationship Id="rId614" Type="http://schemas.openxmlformats.org/officeDocument/2006/relationships/hyperlink" Target="http://Alarm.com/" TargetMode="External"/><Relationship Id="rId615" Type="http://schemas.openxmlformats.org/officeDocument/2006/relationships/hyperlink" Target="http://www.alarm.com/" TargetMode="External"/><Relationship Id="rId616" Type="http://schemas.openxmlformats.org/officeDocument/2006/relationships/hyperlink" Target="http://www.angusrobertson.com.au/" TargetMode="External"/><Relationship Id="rId617" Type="http://schemas.openxmlformats.org/officeDocument/2006/relationships/hyperlink" Target="https://www.appliancesonline.com.au/" TargetMode="External"/><Relationship Id="rId618" Type="http://schemas.openxmlformats.org/officeDocument/2006/relationships/hyperlink" Target="http://LoseIt.com/" TargetMode="External"/><Relationship Id="rId619" Type="http://schemas.openxmlformats.org/officeDocument/2006/relationships/hyperlink" Target="http://loseit.com/" TargetMode="External"/><Relationship Id="rId620" Type="http://schemas.openxmlformats.org/officeDocument/2006/relationships/hyperlink" Target="http://labs.webfoundation.org/projects/opendatafortransparency/" TargetMode="External"/><Relationship Id="rId621" Type="http://schemas.openxmlformats.org/officeDocument/2006/relationships/hyperlink" Target="http://mapit.sinarproject.org/" TargetMode="External"/><Relationship Id="rId622" Type="http://schemas.openxmlformats.org/officeDocument/2006/relationships/hyperlink" Target="http://www.empowerconsultancy.com/" TargetMode="External"/><Relationship Id="rId623" Type="http://schemas.openxmlformats.org/officeDocument/2006/relationships/hyperlink" Target="http://www.egssindia.com/" TargetMode="External"/><Relationship Id="rId624" Type="http://schemas.openxmlformats.org/officeDocument/2006/relationships/hyperlink" Target="http://www.excelgeomatics.com/" TargetMode="External"/><Relationship Id="rId625" Type="http://schemas.openxmlformats.org/officeDocument/2006/relationships/hyperlink" Target="http://www.aceradio.com.au/" TargetMode="External"/><Relationship Id="rId626" Type="http://schemas.openxmlformats.org/officeDocument/2006/relationships/hyperlink" Target="http://www.katadata.co.id/" TargetMode="External"/><Relationship Id="rId627" Type="http://schemas.openxmlformats.org/officeDocument/2006/relationships/hyperlink" Target="http://www.africanlaughter.com/" TargetMode="External"/><Relationship Id="rId628" Type="http://schemas.openxmlformats.org/officeDocument/2006/relationships/hyperlink" Target="http://www.foodtechconnect.com/" TargetMode="External"/><Relationship Id="rId629" Type="http://schemas.openxmlformats.org/officeDocument/2006/relationships/hyperlink" Target="http://www.oeco.org.br/amazonia" TargetMode="External"/><Relationship Id="rId630" Type="http://schemas.openxmlformats.org/officeDocument/2006/relationships/hyperlink" Target="http://thomsonreuters.com/" TargetMode="External"/><Relationship Id="rId631" Type="http://schemas.openxmlformats.org/officeDocument/2006/relationships/hyperlink" Target="http://www.newsware.com/" TargetMode="External"/><Relationship Id="rId632" Type="http://schemas.openxmlformats.org/officeDocument/2006/relationships/hyperlink" Target="http://www.ubimo.com/" TargetMode="External"/><Relationship Id="rId633" Type="http://schemas.openxmlformats.org/officeDocument/2006/relationships/hyperlink" Target="https://www.ourcrowd.com/ubimo" TargetMode="External"/><Relationship Id="rId634" Type="http://schemas.openxmlformats.org/officeDocument/2006/relationships/hyperlink" Target="https://factly.in/" TargetMode="External"/><Relationship Id="rId635" Type="http://schemas.openxmlformats.org/officeDocument/2006/relationships/hyperlink" Target="http://jamaica-gleaner.com/" TargetMode="External"/><Relationship Id="rId636" Type="http://schemas.openxmlformats.org/officeDocument/2006/relationships/hyperlink" Target="http://www.caribank.org/news/jamaica-and-barbados-win-major-prizes-at-digital-jam-3-0" TargetMode="External"/><Relationship Id="rId637" Type="http://schemas.openxmlformats.org/officeDocument/2006/relationships/hyperlink" Target="https://www.textizen.com/" TargetMode="External"/><Relationship Id="rId638" Type="http://schemas.openxmlformats.org/officeDocument/2006/relationships/hyperlink" Target="http://www.civicstack.org/" TargetMode="External"/><Relationship Id="rId639" Type="http://schemas.openxmlformats.org/officeDocument/2006/relationships/hyperlink" Target="http://www.24x7welllogdigitizingservices.in/" TargetMode="External"/><Relationship Id="rId640" Type="http://schemas.openxmlformats.org/officeDocument/2006/relationships/hyperlink" Target="http://abctechnolab.com/" TargetMode="External"/><Relationship Id="rId641" Type="http://schemas.openxmlformats.org/officeDocument/2006/relationships/hyperlink" Target="http://abctechnolab.com/readmore/" TargetMode="External"/><Relationship Id="rId642" Type="http://schemas.openxmlformats.org/officeDocument/2006/relationships/hyperlink" Target="http://www.adanimining.com/" TargetMode="External"/><Relationship Id="rId643" Type="http://schemas.openxmlformats.org/officeDocument/2006/relationships/hyperlink" Target="http://australia.angloamerican.com/" TargetMode="External"/><Relationship Id="rId644" Type="http://schemas.openxmlformats.org/officeDocument/2006/relationships/hyperlink" Target="http://www.yancoal.com.au/" TargetMode="External"/><Relationship Id="rId645" Type="http://schemas.openxmlformats.org/officeDocument/2006/relationships/hyperlink" Target="http://www.boloid.com/" TargetMode="External"/><Relationship Id="rId646" Type="http://schemas.openxmlformats.org/officeDocument/2006/relationships/hyperlink" Target="http://www.etranzactgh.com/" TargetMode="External"/><Relationship Id="rId647" Type="http://schemas.openxmlformats.org/officeDocument/2006/relationships/hyperlink" Target="http://www.confiscatibene.it/" TargetMode="External"/><Relationship Id="rId648" Type="http://schemas.openxmlformats.org/officeDocument/2006/relationships/hyperlink" Target="http://concursos.buenosaires.gob.ar/2013/" TargetMode="External"/><Relationship Id="rId649" Type="http://schemas.openxmlformats.org/officeDocument/2006/relationships/hyperlink" Target="http://www.datoseguro.gob.ec/" TargetMode="External"/><Relationship Id="rId650" Type="http://schemas.openxmlformats.org/officeDocument/2006/relationships/hyperlink" Target="http://www.misiones.gov.ar/index.php" TargetMode="External"/><Relationship Id="rId651" Type="http://schemas.openxmlformats.org/officeDocument/2006/relationships/hyperlink" Target="http://landquest.internewskenya.org/" TargetMode="External"/><Relationship Id="rId652" Type="http://schemas.openxmlformats.org/officeDocument/2006/relationships/hyperlink" Target="http://www.naijaconnectstore.com.ng/" TargetMode="External"/><Relationship Id="rId653" Type="http://schemas.openxmlformats.org/officeDocument/2006/relationships/hyperlink" Target="http://www.mamnadzor.ru/" TargetMode="External"/><Relationship Id="rId654" Type="http://schemas.openxmlformats.org/officeDocument/2006/relationships/hyperlink" Target="http://barriosactivos.com/" TargetMode="External"/><Relationship Id="rId655" Type="http://schemas.openxmlformats.org/officeDocument/2006/relationships/hyperlink" Target="http://www.civicstack.org/" TargetMode="External"/><Relationship Id="rId656" Type="http://schemas.openxmlformats.org/officeDocument/2006/relationships/hyperlink" Target="http://www.code4kenya.org/" TargetMode="External"/><Relationship Id="rId657" Type="http://schemas.openxmlformats.org/officeDocument/2006/relationships/hyperlink" Target="http://codeforall.org/" TargetMode="External"/><Relationship Id="rId658" Type="http://schemas.openxmlformats.org/officeDocument/2006/relationships/hyperlink" Target="https://spotfire.cloud.tibco.com/public/ViewAnalysis.aspx?file=/users/dmosenkis/Public/SyriaTracker5&amp;waid=ba6def77cf63b5f4f04d4-08053427bfdfc5" TargetMode="External"/><Relationship Id="rId659" Type="http://schemas.openxmlformats.org/officeDocument/2006/relationships/hyperlink" Target="http://www.caravanstudios.org/" TargetMode="External"/><Relationship Id="rId660" Type="http://schemas.openxmlformats.org/officeDocument/2006/relationships/hyperlink" Target="https://buildingeye.com/" TargetMode="External"/><Relationship Id="rId661" Type="http://schemas.openxmlformats.org/officeDocument/2006/relationships/hyperlink" Target="http://www.sozialhelden.de/" TargetMode="External"/><Relationship Id="rId662" Type="http://schemas.openxmlformats.org/officeDocument/2006/relationships/hyperlink" Target="http://brokenlifts.org/about" TargetMode="External"/><Relationship Id="rId663" Type="http://schemas.openxmlformats.org/officeDocument/2006/relationships/hyperlink" Target="https://sinar-malaysia.popit.mysociety.org/" TargetMode="External"/><Relationship Id="rId664" Type="http://schemas.openxmlformats.org/officeDocument/2006/relationships/hyperlink" Target="http://papers.ssrn.com/sol3/papers.cfm?abstract_id=2531701" TargetMode="External"/><Relationship Id="rId665" Type="http://schemas.openxmlformats.org/officeDocument/2006/relationships/hyperlink" Target="http://www.poderopedia.org/" TargetMode="External"/><Relationship Id="rId666" Type="http://schemas.openxmlformats.org/officeDocument/2006/relationships/hyperlink" Target="http://marsgroupkenya.org/" TargetMode="External"/><Relationship Id="rId667" Type="http://schemas.openxmlformats.org/officeDocument/2006/relationships/hyperlink" Target="http://www.openpolis.it/" TargetMode="External"/><Relationship Id="rId668" Type="http://schemas.openxmlformats.org/officeDocument/2006/relationships/hyperlink" Target="http://arcipelagoareac.it/" TargetMode="External"/><Relationship Id="rId669" Type="http://schemas.openxmlformats.org/officeDocument/2006/relationships/hyperlink" Target="http://www.pricecheck.co.za/" TargetMode="External"/><Relationship Id="rId670" Type="http://schemas.openxmlformats.org/officeDocument/2006/relationships/hyperlink" Target="http://www.gemproject.org/" TargetMode="External"/><Relationship Id="rId671" Type="http://schemas.openxmlformats.org/officeDocument/2006/relationships/hyperlink" Target="http://www.korbitec.com/" TargetMode="External"/><Relationship Id="rId672" Type="http://schemas.openxmlformats.org/officeDocument/2006/relationships/hyperlink" Target="http://www.abtmexico.net/" TargetMode="External"/><Relationship Id="rId673" Type="http://schemas.openxmlformats.org/officeDocument/2006/relationships/hyperlink" Target="http://www.africaresearch.co.za/" TargetMode="External"/><Relationship Id="rId674" Type="http://schemas.openxmlformats.org/officeDocument/2006/relationships/hyperlink" Target="http://www.amai.org/quienes_somos/quienes.php" TargetMode="External"/><Relationship Id="rId675" Type="http://schemas.openxmlformats.org/officeDocument/2006/relationships/hyperlink" Target="http://www.boozallen.com/" TargetMode="External"/><Relationship Id="rId676" Type="http://schemas.openxmlformats.org/officeDocument/2006/relationships/hyperlink" Target="http://www.bcg.com/" TargetMode="External"/><Relationship Id="rId677" Type="http://schemas.openxmlformats.org/officeDocument/2006/relationships/hyperlink" Target="http://www.opensecrets.org/" TargetMode="External"/><Relationship Id="rId678" Type="http://schemas.openxmlformats.org/officeDocument/2006/relationships/hyperlink" Target="http://crai.com/" TargetMode="External"/><Relationship Id="rId679" Type="http://schemas.openxmlformats.org/officeDocument/2006/relationships/hyperlink" Target="http://dsnetwork.ru/" TargetMode="External"/><Relationship Id="rId680" Type="http://schemas.openxmlformats.org/officeDocument/2006/relationships/hyperlink" Target="http://datauy.org/" TargetMode="External"/><Relationship Id="rId681" Type="http://schemas.openxmlformats.org/officeDocument/2006/relationships/hyperlink" Target="http://www.deloitte.com/" TargetMode="External"/><Relationship Id="rId682" Type="http://schemas.openxmlformats.org/officeDocument/2006/relationships/hyperlink" Target="http://www.forrester.com/" TargetMode="External"/><Relationship Id="rId683" Type="http://schemas.openxmlformats.org/officeDocument/2006/relationships/hyperlink" Target="http://www.gallup.com/" TargetMode="External"/><Relationship Id="rId684" Type="http://schemas.openxmlformats.org/officeDocument/2006/relationships/hyperlink" Target="http://www.geoscape.com/" TargetMode="External"/><Relationship Id="rId685" Type="http://schemas.openxmlformats.org/officeDocument/2006/relationships/hyperlink" Target="http://www.ifactorconsulting.com/" TargetMode="External"/><Relationship Id="rId686" Type="http://schemas.openxmlformats.org/officeDocument/2006/relationships/hyperlink" Target="http://www.impaqint.com/" TargetMode="External"/><Relationship Id="rId687" Type="http://schemas.openxmlformats.org/officeDocument/2006/relationships/hyperlink" Target="http://www.knowledgeagency.com/" TargetMode="External"/><Relationship Id="rId688" Type="http://schemas.openxmlformats.org/officeDocument/2006/relationships/hyperlink" Target="http://www.mckinsey.com/" TargetMode="External"/><Relationship Id="rId689" Type="http://schemas.openxmlformats.org/officeDocument/2006/relationships/hyperlink" Target="http://www.nera.com/" TargetMode="External"/><Relationship Id="rId690" Type="http://schemas.openxmlformats.org/officeDocument/2006/relationships/hyperlink" Target="http://www.nielsen.com/us/en.html" TargetMode="External"/><Relationship Id="rId691" Type="http://schemas.openxmlformats.org/officeDocument/2006/relationships/hyperlink" Target="http://www.oliverwyman.com/index.html" TargetMode="External"/><Relationship Id="rId692" Type="http://schemas.openxmlformats.org/officeDocument/2006/relationships/hyperlink" Target="http://www.oxfordresearchacademy.com/" TargetMode="External"/><Relationship Id="rId693" Type="http://schemas.openxmlformats.org/officeDocument/2006/relationships/hyperlink" Target="http://www.poderopedia.org/" TargetMode="External"/><Relationship Id="rId694" Type="http://schemas.openxmlformats.org/officeDocument/2006/relationships/hyperlink" Target="http://www.politweet.org/" TargetMode="External"/><Relationship Id="rId695" Type="http://schemas.openxmlformats.org/officeDocument/2006/relationships/hyperlink" Target="http://www.rand.org/" TargetMode="External"/><Relationship Id="rId696" Type="http://schemas.openxmlformats.org/officeDocument/2006/relationships/hyperlink" Target="http://www.advisory.com/" TargetMode="External"/><Relationship Id="rId697" Type="http://schemas.openxmlformats.org/officeDocument/2006/relationships/hyperlink" Target="http://www.bridgespan.org/" TargetMode="External"/><Relationship Id="rId698" Type="http://schemas.openxmlformats.org/officeDocument/2006/relationships/hyperlink" Target="http://www.tmsresearch.co.za/" TargetMode="External"/><Relationship Id="rId699" Type="http://schemas.openxmlformats.org/officeDocument/2006/relationships/hyperlink" Target="http://www.villageswithoutborders.com/" TargetMode="External"/><Relationship Id="rId700" Type="http://schemas.openxmlformats.org/officeDocument/2006/relationships/hyperlink" Target="http://www.trb.org/" TargetMode="External"/><Relationship Id="rId701" Type="http://schemas.openxmlformats.org/officeDocument/2006/relationships/hyperlink" Target="http://www.patentboard.com/" TargetMode="External"/><Relationship Id="rId702" Type="http://schemas.openxmlformats.org/officeDocument/2006/relationships/hyperlink" Target="http://services.military.gwu.edu/" TargetMode="External"/><Relationship Id="rId703" Type="http://schemas.openxmlformats.org/officeDocument/2006/relationships/hyperlink" Target="http://www.buckresearch.com/" TargetMode="External"/><Relationship Id="rId704" Type="http://schemas.openxmlformats.org/officeDocument/2006/relationships/hyperlink" Target="http://www.atlanticcouncil.org/" TargetMode="External"/><Relationship Id="rId705" Type="http://schemas.openxmlformats.org/officeDocument/2006/relationships/hyperlink" Target="http://www.tti.tamu.edu/" TargetMode="External"/><Relationship Id="rId706" Type="http://schemas.openxmlformats.org/officeDocument/2006/relationships/hyperlink" Target="http://www.aureus-sciences.com/" TargetMode="External"/><Relationship Id="rId707" Type="http://schemas.openxmlformats.org/officeDocument/2006/relationships/hyperlink" Target="http://accelrys.com/" TargetMode="External"/><Relationship Id="rId708" Type="http://schemas.openxmlformats.org/officeDocument/2006/relationships/hyperlink" Target="http://www.castlebiosciences.com/" TargetMode="External"/><Relationship Id="rId709" Type="http://schemas.openxmlformats.org/officeDocument/2006/relationships/hyperlink" Target="http://www.ceibasolutions.com/" TargetMode="External"/><Relationship Id="rId710" Type="http://schemas.openxmlformats.org/officeDocument/2006/relationships/hyperlink" Target="http://www.certara.com/" TargetMode="External"/><Relationship Id="rId711" Type="http://schemas.openxmlformats.org/officeDocument/2006/relationships/hyperlink" Target="https://www.cas.org/" TargetMode="External"/><Relationship Id="rId712" Type="http://schemas.openxmlformats.org/officeDocument/2006/relationships/hyperlink" Target="http://www.goldenhelix.com/" TargetMode="External"/><Relationship Id="rId713" Type="http://schemas.openxmlformats.org/officeDocument/2006/relationships/hyperlink" Target="http://www.innocentive.com/" TargetMode="External"/><Relationship Id="rId714" Type="http://schemas.openxmlformats.org/officeDocument/2006/relationships/hyperlink" Target="https://openinnovation.lilly.com/dd/" TargetMode="External"/><Relationship Id="rId715" Type="http://schemas.openxmlformats.org/officeDocument/2006/relationships/hyperlink" Target="http://www.personalis.com/" TargetMode="External"/><Relationship Id="rId716" Type="http://schemas.openxmlformats.org/officeDocument/2006/relationships/hyperlink" Target="http://www.reedelsevier.com/Pages/Home.aspx" TargetMode="External"/><Relationship Id="rId717" Type="http://schemas.openxmlformats.org/officeDocument/2006/relationships/hyperlink" Target="http://www.sophicalliance.com/" TargetMode="External"/><Relationship Id="rId718" Type="http://schemas.openxmlformats.org/officeDocument/2006/relationships/hyperlink" Target="http://crimebot.net/" TargetMode="External"/><Relationship Id="rId719" Type="http://schemas.openxmlformats.org/officeDocument/2006/relationships/hyperlink" Target="http://www.northstar.ws/" TargetMode="External"/><Relationship Id="rId720" Type="http://schemas.openxmlformats.org/officeDocument/2006/relationships/hyperlink" Target="http://spotcrime.com/" TargetMode="External"/><Relationship Id="rId721" Type="http://schemas.openxmlformats.org/officeDocument/2006/relationships/hyperlink" Target="http://wemakeitsafer.com/" TargetMode="External"/><Relationship Id="rId722" Type="http://schemas.openxmlformats.org/officeDocument/2006/relationships/hyperlink" Target="http://capsure.opencityapps.org/" TargetMode="External"/><Relationship Id="rId723" Type="http://schemas.openxmlformats.org/officeDocument/2006/relationships/hyperlink" Target="http://www.civicstack.org/" TargetMode="External"/><Relationship Id="rId724" Type="http://schemas.openxmlformats.org/officeDocument/2006/relationships/hyperlink" Target="http://www.crimeinchicago.org/" TargetMode="External"/><Relationship Id="rId725" Type="http://schemas.openxmlformats.org/officeDocument/2006/relationships/hyperlink" Target="http://www.civicstack.org/" TargetMode="External"/><Relationship Id="rId726" Type="http://schemas.openxmlformats.org/officeDocument/2006/relationships/hyperlink" Target="http://cuantasmas.lapublica.org.bo/" TargetMode="External"/><Relationship Id="rId727" Type="http://schemas.openxmlformats.org/officeDocument/2006/relationships/hyperlink" Target="http://www.civicstack.org/" TargetMode="External"/><Relationship Id="rId728" Type="http://schemas.openxmlformats.org/officeDocument/2006/relationships/hyperlink" Target="http://www.teamrubiconusa.org/" TargetMode="External"/><Relationship Id="rId729" Type="http://schemas.openxmlformats.org/officeDocument/2006/relationships/hyperlink" Target="http://www.allphones.com.au/" TargetMode="External"/><Relationship Id="rId730" Type="http://schemas.openxmlformats.org/officeDocument/2006/relationships/hyperlink" Target="http://www.engin.com.au/" TargetMode="External"/><Relationship Id="rId731" Type="http://schemas.openxmlformats.org/officeDocument/2006/relationships/hyperlink" Target="http://www.iinet.net.au/home/" TargetMode="External"/><Relationship Id="rId732" Type="http://schemas.openxmlformats.org/officeDocument/2006/relationships/hyperlink" Target="http://www.internode.on.net/" TargetMode="External"/><Relationship Id="rId733" Type="http://schemas.openxmlformats.org/officeDocument/2006/relationships/hyperlink" Target="http://netboxblue.com/" TargetMode="External"/><Relationship Id="rId734" Type="http://schemas.openxmlformats.org/officeDocument/2006/relationships/hyperlink" Target="http://www.optus.com.au/" TargetMode="External"/><Relationship Id="rId735" Type="http://schemas.openxmlformats.org/officeDocument/2006/relationships/hyperlink" Target="http://www.peoplestelecom.net/" TargetMode="External"/><Relationship Id="rId736" Type="http://schemas.openxmlformats.org/officeDocument/2006/relationships/hyperlink" Target="http://www.pipenetworks.com/" TargetMode="External"/><Relationship Id="rId737" Type="http://schemas.openxmlformats.org/officeDocument/2006/relationships/hyperlink" Target="http://www.volunteercornwall.org.uk/bude-cleaner-seas-project/" TargetMode="External"/><Relationship Id="rId738" Type="http://schemas.openxmlformats.org/officeDocument/2006/relationships/hyperlink" Target="http://www.allied.com/" TargetMode="External"/><Relationship Id="rId739" Type="http://schemas.openxmlformats.org/officeDocument/2006/relationships/hyperlink" Target="http://www.redball.com/" TargetMode="External"/><Relationship Id="rId740" Type="http://schemas.openxmlformats.org/officeDocument/2006/relationships/hyperlink" Target="http://www.arpin.com/" TargetMode="External"/><Relationship Id="rId741" Type="http://schemas.openxmlformats.org/officeDocument/2006/relationships/hyperlink" Target="http://home.downloadarrive.com/" TargetMode="External"/><Relationship Id="rId742" Type="http://schemas.openxmlformats.org/officeDocument/2006/relationships/hyperlink" Target="https://www.anl.com.au/" TargetMode="External"/><Relationship Id="rId743" Type="http://schemas.openxmlformats.org/officeDocument/2006/relationships/hyperlink" Target="http://autochilango.com/" TargetMode="External"/><Relationship Id="rId744" Type="http://schemas.openxmlformats.org/officeDocument/2006/relationships/hyperlink" Target="http://www.bekins.com/" TargetMode="External"/><Relationship Id="rId745" Type="http://schemas.openxmlformats.org/officeDocument/2006/relationships/hyperlink" Target="http://www.carfax.com/" TargetMode="External"/><Relationship Id="rId746" Type="http://schemas.openxmlformats.org/officeDocument/2006/relationships/hyperlink" Target="http://ifai.codeandomexico.org/" TargetMode="External"/><Relationship Id="rId747" Type="http://schemas.openxmlformats.org/officeDocument/2006/relationships/hyperlink" Target="http://www.deluxe-coachlines.com/" TargetMode="External"/><Relationship Id="rId748" Type="http://schemas.openxmlformats.org/officeDocument/2006/relationships/hyperlink" Target="http://bumultimedia.com/dromos/" TargetMode="External"/><Relationship Id="rId749" Type="http://schemas.openxmlformats.org/officeDocument/2006/relationships/hyperlink" Target="http://letsembark.com/" TargetMode="External"/><Relationship Id="rId750" Type="http://schemas.openxmlformats.org/officeDocument/2006/relationships/hyperlink" Target="https://www.fireflyexpress.com.au/" TargetMode="External"/><Relationship Id="rId751" Type="http://schemas.openxmlformats.org/officeDocument/2006/relationships/hyperlink" Target="http://www.flightaware.com/" TargetMode="External"/><Relationship Id="rId752" Type="http://schemas.openxmlformats.org/officeDocument/2006/relationships/hyperlink" Target="http://flightaware.com/about/faq" TargetMode="External"/><Relationship Id="rId753" Type="http://schemas.openxmlformats.org/officeDocument/2006/relationships/hyperlink" Target="http://www.flightview.com/" TargetMode="External"/><Relationship Id="rId754" Type="http://schemas.openxmlformats.org/officeDocument/2006/relationships/hyperlink" Target="https://www.freightlink.net/" TargetMode="External"/><Relationship Id="rId755" Type="http://schemas.openxmlformats.org/officeDocument/2006/relationships/hyperlink" Target="http://www.graebelmoving.com/" TargetMode="External"/><Relationship Id="rId756" Type="http://schemas.openxmlformats.org/officeDocument/2006/relationships/hyperlink" Target="http://www.greatsouthernrail.com.au/" TargetMode="External"/><Relationship Id="rId757" Type="http://schemas.openxmlformats.org/officeDocument/2006/relationships/hyperlink" Target="http://www.greyhound.com.au/service-info/freight" TargetMode="External"/><Relationship Id="rId758" Type="http://schemas.openxmlformats.org/officeDocument/2006/relationships/hyperlink" Target="https://www.hopstop.com/" TargetMode="External"/><Relationship Id="rId759" Type="http://schemas.openxmlformats.org/officeDocument/2006/relationships/hyperlink" Target="http://cdkn.org/2013/04/climate-change-and-transport-sector-in-colombia-interview-to-michael-sanovis/" TargetMode="External"/><Relationship Id="rId760" Type="http://schemas.openxmlformats.org/officeDocument/2006/relationships/hyperlink" Target="http://www.inrixtraffic.com/" TargetMode="External"/><Relationship Id="rId761" Type="http://schemas.openxmlformats.org/officeDocument/2006/relationships/hyperlink" Target="http://www.lewatmana.com/" TargetMode="External"/><Relationship Id="rId762" Type="http://schemas.openxmlformats.org/officeDocument/2006/relationships/hyperlink" Target="https://www.techinasia.com/lewatmana-helps-indonesian-commuters-dodge-traffic-live-cctv-feeds-travel-season-2/" TargetMode="External"/><Relationship Id="rId763" Type="http://schemas.openxmlformats.org/officeDocument/2006/relationships/hyperlink" Target="http://www.linfox.com//" TargetMode="External"/><Relationship Id="rId764" Type="http://schemas.openxmlformats.org/officeDocument/2006/relationships/hyperlink" Target="http://www.ma3route.com/" TargetMode="External"/><Relationship Id="rId765" Type="http://schemas.openxmlformats.org/officeDocument/2006/relationships/hyperlink" Target="http://www.mozio.com/" TargetMode="External"/><Relationship Id="rId766" Type="http://schemas.openxmlformats.org/officeDocument/2006/relationships/hyperlink" Target="http://www.murrays.com.au/default.aspx" TargetMode="External"/><Relationship Id="rId767" Type="http://schemas.openxmlformats.org/officeDocument/2006/relationships/hyperlink" Target="http://www.nationalvanlines.com/" TargetMode="External"/><Relationship Id="rId768" Type="http://schemas.openxmlformats.org/officeDocument/2006/relationships/hyperlink" Target="http://www.nextbus.com/" TargetMode="External"/><Relationship Id="rId769" Type="http://schemas.openxmlformats.org/officeDocument/2006/relationships/hyperlink" Target="http://northamericanvanlines.com/" TargetMode="External"/><Relationship Id="rId770" Type="http://schemas.openxmlformats.org/officeDocument/2006/relationships/hyperlink" Target="http://asciano.com.au/pacific-national" TargetMode="External"/><Relationship Id="rId771" Type="http://schemas.openxmlformats.org/officeDocument/2006/relationships/hyperlink" Target="http://GoodRoads.ru/" TargetMode="External"/><Relationship Id="rId772" Type="http://schemas.openxmlformats.org/officeDocument/2006/relationships/hyperlink" Target="http://philippine-transit.hackathome.com/" TargetMode="External"/><Relationship Id="rId773" Type="http://schemas.openxmlformats.org/officeDocument/2006/relationships/hyperlink" Target="http://www.pinoytravel.com.ph/" TargetMode="External"/><Relationship Id="rId774" Type="http://schemas.openxmlformats.org/officeDocument/2006/relationships/hyperlink" Target="http://www.prossess.com/" TargetMode="External"/><Relationship Id="rId775" Type="http://schemas.openxmlformats.org/officeDocument/2006/relationships/hyperlink" Target="http://SpotHero.com/" TargetMode="External"/><Relationship Id="rId776" Type="http://schemas.openxmlformats.org/officeDocument/2006/relationships/hyperlink" Target="http://spothero.com/" TargetMode="External"/><Relationship Id="rId777" Type="http://schemas.openxmlformats.org/officeDocument/2006/relationships/hyperlink" Target="http://www.stevensworldwide.com/" TargetMode="External"/><Relationship Id="rId778" Type="http://schemas.openxmlformats.org/officeDocument/2006/relationships/hyperlink" Target="http://www.suddath.com/" TargetMode="External"/><Relationship Id="rId779" Type="http://schemas.openxmlformats.org/officeDocument/2006/relationships/hyperlink" Target="http://transportapi.com/" TargetMode="External"/><Relationship Id="rId780" Type="http://schemas.openxmlformats.org/officeDocument/2006/relationships/hyperlink" Target="http://www.truecar.com/" TargetMode="External"/><Relationship Id="rId781" Type="http://schemas.openxmlformats.org/officeDocument/2006/relationships/hyperlink" Target="https://www.tsaboin.com/" TargetMode="External"/><Relationship Id="rId782" Type="http://schemas.openxmlformats.org/officeDocument/2006/relationships/hyperlink" Target="https://www.uber.com/" TargetMode="External"/><Relationship Id="rId783" Type="http://schemas.openxmlformats.org/officeDocument/2006/relationships/hyperlink" Target="http://www.unitedmayflower.com/" TargetMode="External"/><Relationship Id="rId784" Type="http://schemas.openxmlformats.org/officeDocument/2006/relationships/hyperlink" Target="http://www.wheatonworldwide.com/" TargetMode="External"/><Relationship Id="rId785" Type="http://schemas.openxmlformats.org/officeDocument/2006/relationships/hyperlink" Target="http://wikiroutes.info/" TargetMode="External"/><Relationship Id="rId786" Type="http://schemas.openxmlformats.org/officeDocument/2006/relationships/hyperlink" Target="http://streetmix.net/" TargetMode="External"/><Relationship Id="rId787" Type="http://schemas.openxmlformats.org/officeDocument/2006/relationships/hyperlink" Target="http://www.civicstack.org/" TargetMode="External"/><Relationship Id="rId788" Type="http://schemas.openxmlformats.org/officeDocument/2006/relationships/hyperlink" Target="http://www.wanderu.com/" TargetMode="External"/><Relationship Id="rId789" Type="http://schemas.openxmlformats.org/officeDocument/2006/relationships/hyperlink" Target="http://www.vhb.com/" TargetMode="External"/><Relationship Id="rId790" Type="http://schemas.openxmlformats.org/officeDocument/2006/relationships/hyperlink" Target="http://www.transitlabs.com/" TargetMode="External"/><Relationship Id="rId791" Type="http://schemas.openxmlformats.org/officeDocument/2006/relationships/hyperlink" Target="http://Transfix.io/" TargetMode="External"/><Relationship Id="rId792" Type="http://schemas.openxmlformats.org/officeDocument/2006/relationships/hyperlink" Target="http://www.transfix.io/" TargetMode="External"/><Relationship Id="rId793" Type="http://schemas.openxmlformats.org/officeDocument/2006/relationships/hyperlink" Target="http://www.transafe-inc.com/" TargetMode="External"/><Relationship Id="rId794" Type="http://schemas.openxmlformats.org/officeDocument/2006/relationships/hyperlink" Target="http://www.targetfmi.com/" TargetMode="External"/><Relationship Id="rId795" Type="http://schemas.openxmlformats.org/officeDocument/2006/relationships/hyperlink" Target="http://synacor.co.ke/" TargetMode="External"/><Relationship Id="rId796" Type="http://schemas.openxmlformats.org/officeDocument/2006/relationships/hyperlink" Target="http://www.sarvajal.com/" TargetMode="External"/><Relationship Id="rId797" Type="http://schemas.openxmlformats.org/officeDocument/2006/relationships/hyperlink" Target="https://www.caminosdelavilla.org/" TargetMode="External"/><Relationship Id="rId798" Type="http://schemas.openxmlformats.org/officeDocument/2006/relationships/hyperlink" Target="http://www.civicstack.org/" TargetMode="External"/><Relationship Id="rId799" Type="http://schemas.openxmlformats.org/officeDocument/2006/relationships/hyperlink" Target="http://www.daraja.org/our-work/rtwp" TargetMode="External"/><Relationship Id="rId800" Type="http://schemas.openxmlformats.org/officeDocument/2006/relationships/hyperlink" Target="http://www.accuweather.com/" TargetMode="External"/><Relationship Id="rId801" Type="http://schemas.openxmlformats.org/officeDocument/2006/relationships/hyperlink" Target="http://www.accuweather.com/en/about" TargetMode="External"/><Relationship Id="rId802" Type="http://schemas.openxmlformats.org/officeDocument/2006/relationships/hyperlink" Target="http://forecast.io/" TargetMode="External"/><Relationship Id="rId803" Type="http://schemas.openxmlformats.org/officeDocument/2006/relationships/hyperlink" Target="http://forecast.io/raw/" TargetMode="External"/><Relationship Id="rId804" Type="http://schemas.openxmlformats.org/officeDocument/2006/relationships/hyperlink" Target="http://www.weather.com/" TargetMode="External"/><Relationship Id="rId805" Type="http://schemas.openxmlformats.org/officeDocument/2006/relationships/hyperlink" Target="http://www.wdtinc.com/" TargetMode="External"/><Relationship Id="rId806" Type="http://schemas.openxmlformats.org/officeDocument/2006/relationships/hyperlink" Target="http://www.wunderground.com/" TargetMode="External"/><Relationship Id="rId807" Type="http://schemas.openxmlformats.org/officeDocument/2006/relationships/hyperlink" Target="http://www.amigooptima.com/" TargetMode="External"/><Relationship Id="rId808" Type="http://schemas.openxmlformats.org/officeDocument/2006/relationships/hyperlink" Target="http://www.amigooptima.com/about-us.php" TargetMode="External"/><Relationship Id="rId809" Type="http://schemas.openxmlformats.org/officeDocument/2006/relationships/hyperlink" Target="http://www.appface.in/" TargetMode="External"/><Relationship Id="rId810" Type="http://schemas.openxmlformats.org/officeDocument/2006/relationships/hyperlink" Target="https://www.zauba.com/company/AROGYA-MOBILE-HEALTH-PRIVATE-LIMITED/U85100DL2012PTC239654" TargetMode="External"/><Relationship Id="rId811" Type="http://schemas.openxmlformats.org/officeDocument/2006/relationships/hyperlink" Target="http://arrown.com/" TargetMode="External"/><Relationship Id="rId812" Type="http://schemas.openxmlformats.org/officeDocument/2006/relationships/hyperlink" Target="http://www.artinfosystems.com/industries.html" TargetMode="External"/><Relationship Id="rId813" Type="http://schemas.openxmlformats.org/officeDocument/2006/relationships/hyperlink" Target="http://astrainfosystems.com/services/GIS_services.htm" TargetMode="External"/><Relationship Id="rId814" Type="http://schemas.openxmlformats.org/officeDocument/2006/relationships/hyperlink" Target="http://www.atginformatics.com/GeospatialService.aspx" TargetMode="External"/><Relationship Id="rId815" Type="http://schemas.openxmlformats.org/officeDocument/2006/relationships/hyperlink" Target="http://www.attanocorp.com/" TargetMode="External"/><Relationship Id="rId816" Type="http://schemas.openxmlformats.org/officeDocument/2006/relationships/hyperlink" Target="http://www.avineonindia.com/what-we-do" TargetMode="External"/><Relationship Id="rId817" Type="http://schemas.openxmlformats.org/officeDocument/2006/relationships/hyperlink" Target="https://play.google.com/store/apps/details?id=com.appkiddo.smartfarmer" TargetMode="External"/><Relationship Id="rId818" Type="http://schemas.openxmlformats.org/officeDocument/2006/relationships/hyperlink" Target="http://www.bioexplore.co.in/index.php/en/" TargetMode="External"/><Relationship Id="rId819" Type="http://schemas.openxmlformats.org/officeDocument/2006/relationships/hyperlink" Target="http://www.birdseyetech.com/index.html" TargetMode="External"/><Relationship Id="rId820" Type="http://schemas.openxmlformats.org/officeDocument/2006/relationships/hyperlink" Target="http://Busroutes.in/" TargetMode="External"/><Relationship Id="rId821" Type="http://schemas.openxmlformats.org/officeDocument/2006/relationships/hyperlink" Target="http://busroutes.in/chennai/" TargetMode="External"/><Relationship Id="rId822" Type="http://schemas.openxmlformats.org/officeDocument/2006/relationships/hyperlink" Target="http://www.cdac.in/" TargetMode="External"/><Relationship Id="rId823" Type="http://schemas.openxmlformats.org/officeDocument/2006/relationships/hyperlink" Target="http://www.campsallowen.co.uk/contact-us" TargetMode="External"/><Relationship Id="rId824" Type="http://schemas.openxmlformats.org/officeDocument/2006/relationships/hyperlink" Target="http://cdf.ifmr.ac.in/?cdf-site=india-pollution-map" TargetMode="External"/><Relationship Id="rId825" Type="http://schemas.openxmlformats.org/officeDocument/2006/relationships/hyperlink" Target="http://cgnetswara.org/" TargetMode="External"/><Relationship Id="rId826" Type="http://schemas.openxmlformats.org/officeDocument/2006/relationships/hyperlink" Target="https://itunes.apple.com/us/app/city-san-francisco-recreation/id549416838?ls=1&amp;mt=8" TargetMode="External"/><Relationship Id="rId827" Type="http://schemas.openxmlformats.org/officeDocument/2006/relationships/hyperlink" Target="http://www.cogentdataanalytics.com/contact.php" TargetMode="External"/><Relationship Id="rId828" Type="http://schemas.openxmlformats.org/officeDocument/2006/relationships/hyperlink" Target="http://compusense.in/" TargetMode="External"/><Relationship Id="rId829" Type="http://schemas.openxmlformats.org/officeDocument/2006/relationships/hyperlink" Target="http://www.connecteddevelopment.org/" TargetMode="External"/><Relationship Id="rId830" Type="http://schemas.openxmlformats.org/officeDocument/2006/relationships/hyperlink" Target="http://www.csridentity.com/" TargetMode="External"/><Relationship Id="rId831" Type="http://schemas.openxmlformats.org/officeDocument/2006/relationships/hyperlink" Target="http://www.osdd.net/" TargetMode="External"/><Relationship Id="rId832" Type="http://schemas.openxmlformats.org/officeDocument/2006/relationships/hyperlink" Target="http://www.cyscom.com/Contact/Default.aspx" TargetMode="External"/><Relationship Id="rId833" Type="http://schemas.openxmlformats.org/officeDocument/2006/relationships/hyperlink" Target="http://devinit.org/" TargetMode="External"/><Relationship Id="rId834" Type="http://schemas.openxmlformats.org/officeDocument/2006/relationships/hyperlink" Target="http://www.digicollectgis.com/" TargetMode="External"/><Relationship Id="rId835" Type="http://schemas.openxmlformats.org/officeDocument/2006/relationships/hyperlink" Target="http://www.digitalgreen.org/" TargetMode="External"/><Relationship Id="rId836" Type="http://schemas.openxmlformats.org/officeDocument/2006/relationships/hyperlink" Target="http://www.dimagi.com/" TargetMode="External"/><Relationship Id="rId837" Type="http://schemas.openxmlformats.org/officeDocument/2006/relationships/hyperlink" Target="http://www.donteat.at/" TargetMode="External"/><Relationship Id="rId838" Type="http://schemas.openxmlformats.org/officeDocument/2006/relationships/hyperlink" Target="http://www.dsmsoft.com/geospatial.html" TargetMode="External"/><Relationship Id="rId839" Type="http://schemas.openxmlformats.org/officeDocument/2006/relationships/hyperlink" Target="http://www.ecocapita.in/gis.php" TargetMode="External"/><Relationship Id="rId840" Type="http://schemas.openxmlformats.org/officeDocument/2006/relationships/hyperlink" Target="https://www.evaidya.com/index.html" TargetMode="External"/><Relationship Id="rId841" Type="http://schemas.openxmlformats.org/officeDocument/2006/relationships/hyperlink" Target="http://www.ekgaon.com/" TargetMode="External"/><Relationship Id="rId842" Type="http://schemas.openxmlformats.org/officeDocument/2006/relationships/hyperlink" Target="http://www.emoksha.org/about.html" TargetMode="External"/><Relationship Id="rId843" Type="http://schemas.openxmlformats.org/officeDocument/2006/relationships/hyperlink" Target="http://www.empowerconsultancy.com/" TargetMode="External"/><Relationship Id="rId844" Type="http://schemas.openxmlformats.org/officeDocument/2006/relationships/hyperlink" Target="http://www.egssindia.com/" TargetMode="External"/><Relationship Id="rId845" Type="http://schemas.openxmlformats.org/officeDocument/2006/relationships/hyperlink" Target="http://www.excelgeomatics.com/" TargetMode="External"/><Relationship Id="rId846" Type="http://schemas.openxmlformats.org/officeDocument/2006/relationships/hyperlink" Target="http://www.experttechnologies.com/index.html" TargetMode="External"/><Relationship Id="rId847" Type="http://schemas.openxmlformats.org/officeDocument/2006/relationships/hyperlink" Target="http://www.brettonwoodsproject.org/2014/04/follow-the-money/" TargetMode="External"/><Relationship Id="rId848" Type="http://schemas.openxmlformats.org/officeDocument/2006/relationships/hyperlink" Target="http://www.frontalrain.com/" TargetMode="External"/><Relationship Id="rId849" Type="http://schemas.openxmlformats.org/officeDocument/2006/relationships/hyperlink" Target="http://www.fullcirclearts.co.uk/about/contact-us/" TargetMode="External"/><Relationship Id="rId850" Type="http://schemas.openxmlformats.org/officeDocument/2006/relationships/hyperlink" Target="http://www.genuineenterprice.com/" TargetMode="External"/><Relationship Id="rId851" Type="http://schemas.openxmlformats.org/officeDocument/2006/relationships/hyperlink" Target="http://www.geoadithya.com/" TargetMode="External"/><Relationship Id="rId852" Type="http://schemas.openxmlformats.org/officeDocument/2006/relationships/hyperlink" Target="http://www.geoconcept.in/emergency-and-safety" TargetMode="External"/><Relationship Id="rId853" Type="http://schemas.openxmlformats.org/officeDocument/2006/relationships/hyperlink" Target="http://www.geoicon.com/" TargetMode="External"/><Relationship Id="rId854" Type="http://schemas.openxmlformats.org/officeDocument/2006/relationships/hyperlink" Target="http://www.geokno.com/" TargetMode="External"/><Relationship Id="rId855" Type="http://schemas.openxmlformats.org/officeDocument/2006/relationships/hyperlink" Target="http://www.geoshott.com/" TargetMode="External"/><Relationship Id="rId856" Type="http://schemas.openxmlformats.org/officeDocument/2006/relationships/hyperlink" Target="http://www.geospoc.com/index.html" TargetMode="External"/><Relationship Id="rId857" Type="http://schemas.openxmlformats.org/officeDocument/2006/relationships/hyperlink" Target="http://www.geovista.co.in/services.html" TargetMode="External"/><Relationship Id="rId858" Type="http://schemas.openxmlformats.org/officeDocument/2006/relationships/hyperlink" Target="http://www.giscindia.com/" TargetMode="External"/><Relationship Id="rId859" Type="http://schemas.openxmlformats.org/officeDocument/2006/relationships/hyperlink" Target="http://www.harnesstouch.com/Implementation.htm" TargetMode="External"/><Relationship Id="rId860" Type="http://schemas.openxmlformats.org/officeDocument/2006/relationships/hyperlink" Target="http://healthifyme.com/" TargetMode="External"/><Relationship Id="rId861" Type="http://schemas.openxmlformats.org/officeDocument/2006/relationships/hyperlink" Target="http://Housing.com/" TargetMode="External"/><Relationship Id="rId862" Type="http://schemas.openxmlformats.org/officeDocument/2006/relationships/hyperlink" Target="http://housing.com/careers" TargetMode="External"/><Relationship Id="rId863" Type="http://schemas.openxmlformats.org/officeDocument/2006/relationships/hyperlink" Target="http://www.linkedin.com/profile/view?id=92030208&amp;authType=NAME_SEARCH&amp;authToken=9oWv&amp;locale=en_US&amp;srchid=769280191394608484821&amp;srchindex=1&amp;srchtotal=1&amp;trk=vsrp_people_res_name&amp;trkInfo=VSRPsearchId%3A769280191394608484821%2CVSRPtargetId%3A92030208%2CVSRPcm" TargetMode="External"/><Relationship Id="rId864" Type="http://schemas.openxmlformats.org/officeDocument/2006/relationships/hyperlink" Target="http://www.igroovetec.com/" TargetMode="External"/><Relationship Id="rId865" Type="http://schemas.openxmlformats.org/officeDocument/2006/relationships/hyperlink" Target="http://www.indiawaterportal.org/data" TargetMode="External"/><Relationship Id="rId866" Type="http://schemas.openxmlformats.org/officeDocument/2006/relationships/hyperlink" Target="http://www.innovaccer.com/" TargetMode="External"/><Relationship Id="rId867" Type="http://schemas.openxmlformats.org/officeDocument/2006/relationships/hyperlink" Target="http://www.innovaccer.com/" TargetMode="External"/><Relationship Id="rId868" Type="http://schemas.openxmlformats.org/officeDocument/2006/relationships/hyperlink" Target="http://www.instahealthsolutions.com/index.html" TargetMode="External"/><Relationship Id="rId869" Type="http://schemas.openxmlformats.org/officeDocument/2006/relationships/hyperlink" Target="http://www.interpretomics.co/background" TargetMode="External"/><Relationship Id="rId870" Type="http://schemas.openxmlformats.org/officeDocument/2006/relationships/hyperlink" Target="http://www.intraspatial.com/" TargetMode="External"/><Relationship Id="rId871" Type="http://schemas.openxmlformats.org/officeDocument/2006/relationships/hyperlink" Target="http://ixorabiosciences.com/index.html" TargetMode="External"/><Relationship Id="rId872" Type="http://schemas.openxmlformats.org/officeDocument/2006/relationships/hyperlink" Target="http://www.janaagraha.org/content/program/ijanaagraha" TargetMode="External"/><Relationship Id="rId873" Type="http://schemas.openxmlformats.org/officeDocument/2006/relationships/hyperlink" Target="http://jetexit.com/GIS.html" TargetMode="External"/><Relationship Id="rId874" Type="http://schemas.openxmlformats.org/officeDocument/2006/relationships/hyperlink" Target="http://www.junar.com/" TargetMode="External"/><Relationship Id="rId875" Type="http://schemas.openxmlformats.org/officeDocument/2006/relationships/hyperlink" Target="http://www.kcubeconsulting.com/" TargetMode="External"/><Relationship Id="rId876" Type="http://schemas.openxmlformats.org/officeDocument/2006/relationships/hyperlink" Target="http://www.kissankerala.net/mobile/index.jsp" TargetMode="External"/><Relationship Id="rId877" Type="http://schemas.openxmlformats.org/officeDocument/2006/relationships/hyperlink" Target="http://laxmimayee.com/gis/" TargetMode="External"/><Relationship Id="rId878" Type="http://schemas.openxmlformats.org/officeDocument/2006/relationships/hyperlink" Target="http://www.layerinformatics.com/" TargetMode="External"/><Relationship Id="rId879" Type="http://schemas.openxmlformats.org/officeDocument/2006/relationships/hyperlink" Target="http://www.lend-a-hand-india.org/project-disha.php" TargetMode="External"/><Relationship Id="rId880" Type="http://schemas.openxmlformats.org/officeDocument/2006/relationships/hyperlink" Target="http://www.letsindia.in/" TargetMode="External"/><Relationship Id="rId881" Type="http://schemas.openxmlformats.org/officeDocument/2006/relationships/hyperlink" Target="http://lifecode.in/services/" TargetMode="External"/><Relationship Id="rId882" Type="http://schemas.openxmlformats.org/officeDocument/2006/relationships/hyperlink" Target="http://www.northstar.ws/" TargetMode="External"/><Relationship Id="rId883" Type="http://schemas.openxmlformats.org/officeDocument/2006/relationships/hyperlink" Target="http://www.mapmygenome.in/" TargetMode="External"/><Relationship Id="rId884" Type="http://schemas.openxmlformats.org/officeDocument/2006/relationships/hyperlink" Target="http://www.mappls.com/" TargetMode="External"/><Relationship Id="rId885" Type="http://schemas.openxmlformats.org/officeDocument/2006/relationships/hyperlink" Target="http://mapunity.in/" TargetMode="External"/><Relationship Id="rId886" Type="http://schemas.openxmlformats.org/officeDocument/2006/relationships/hyperlink" Target="http://www.matrix-geo.com/" TargetMode="External"/><Relationship Id="rId887" Type="http://schemas.openxmlformats.org/officeDocument/2006/relationships/hyperlink" Target="http://www.metaome.com/about.html" TargetMode="External"/><Relationship Id="rId888" Type="http://schemas.openxmlformats.org/officeDocument/2006/relationships/hyperlink" Target="http://www.nesta.org.uk/blog/skills-route-shows-way-next-generation-education-open-data-apps" TargetMode="External"/><Relationship Id="rId889" Type="http://schemas.openxmlformats.org/officeDocument/2006/relationships/hyperlink" Target="http://www.minglebox.com/" TargetMode="External"/><Relationship Id="rId890" Type="http://schemas.openxmlformats.org/officeDocument/2006/relationships/hyperlink" Target="http://www.mixmarket.org/mfi/country/India" TargetMode="External"/><Relationship Id="rId891" Type="http://schemas.openxmlformats.org/officeDocument/2006/relationships/hyperlink" Target="http://mobilizinghealth.org/MobilizingHealthSummary.pdf" TargetMode="External"/><Relationship Id="rId892" Type="http://schemas.openxmlformats.org/officeDocument/2006/relationships/hyperlink" Target="http://www.multimindcreations.com/about.php" TargetMode="External"/><Relationship Id="rId893" Type="http://schemas.openxmlformats.org/officeDocument/2006/relationships/hyperlink" Target="http://naksha-solutions.com/" TargetMode="External"/><Relationship Id="rId894" Type="http://schemas.openxmlformats.org/officeDocument/2006/relationships/hyperlink" Target="http://www.neosphere-ambiance.com/services/gis-remote.html" TargetMode="External"/><Relationship Id="rId895" Type="http://schemas.openxmlformats.org/officeDocument/2006/relationships/hyperlink" Target="http://nextdrop.org/" TargetMode="External"/><Relationship Id="rId896" Type="http://schemas.openxmlformats.org/officeDocument/2006/relationships/hyperlink" Target="http://sumall.org/" TargetMode="External"/><Relationship Id="rId897" Type="http://schemas.openxmlformats.org/officeDocument/2006/relationships/hyperlink" Target="http://www.ocimumbio.com/" TargetMode="External"/><Relationship Id="rId898" Type="http://schemas.openxmlformats.org/officeDocument/2006/relationships/hyperlink" Target="http://www.openpgx.org/about-us" TargetMode="External"/><Relationship Id="rId899" Type="http://schemas.openxmlformats.org/officeDocument/2006/relationships/hyperlink" Target="http://lsi.iiit.ac.in/drupal-7.1/node/47" TargetMode="External"/><Relationship Id="rId900" Type="http://schemas.openxmlformats.org/officeDocument/2006/relationships/hyperlink" Target="http://www.pamtech.biz/home.aspx" TargetMode="External"/><Relationship Id="rId901" Type="http://schemas.openxmlformats.org/officeDocument/2006/relationships/hyperlink" Target="http://www.sarvajal.com/" TargetMode="External"/><Relationship Id="rId902" Type="http://schemas.openxmlformats.org/officeDocument/2006/relationships/hyperlink" Target="http://www.podiuminfotech.com/" TargetMode="External"/><Relationship Id="rId903" Type="http://schemas.openxmlformats.org/officeDocument/2006/relationships/hyperlink" Target="http://Praja.in/" TargetMode="External"/><Relationship Id="rId904" Type="http://schemas.openxmlformats.org/officeDocument/2006/relationships/hyperlink" Target="http://praja.in/en" TargetMode="External"/><Relationship Id="rId905" Type="http://schemas.openxmlformats.org/officeDocument/2006/relationships/hyperlink" Target="http://www.pramuka.in/" TargetMode="External"/><Relationship Id="rId906" Type="http://schemas.openxmlformats.org/officeDocument/2006/relationships/hyperlink" Target="http://www.qmed.org.in/" TargetMode="External"/><Relationship Id="rId907" Type="http://schemas.openxmlformats.org/officeDocument/2006/relationships/hyperlink" Target="http://Railyatri.in/" TargetMode="External"/><Relationship Id="rId908" Type="http://schemas.openxmlformats.org/officeDocument/2006/relationships/hyperlink" Target="http://railyatri.in/" TargetMode="External"/><Relationship Id="rId909" Type="http://schemas.openxmlformats.org/officeDocument/2006/relationships/hyperlink" Target="http://www.greeno.in/index.html" TargetMode="External"/><Relationship Id="rId910" Type="http://schemas.openxmlformats.org/officeDocument/2006/relationships/hyperlink" Target="http://www.caravanstudios.org/" TargetMode="External"/><Relationship Id="rId911" Type="http://schemas.openxmlformats.org/officeDocument/2006/relationships/hyperlink" Target="https://www.ratesetter.com/home/legal" TargetMode="External"/><Relationship Id="rId912" Type="http://schemas.openxmlformats.org/officeDocument/2006/relationships/hyperlink" Target="http://www.rednetworks.in/gis.html" TargetMode="External"/><Relationship Id="rId913" Type="http://schemas.openxmlformats.org/officeDocument/2006/relationships/hyperlink" Target="http://www.redan.in/gis.html" TargetMode="External"/><Relationship Id="rId914" Type="http://schemas.openxmlformats.org/officeDocument/2006/relationships/hyperlink" Target="http://www.rsgisrs.com/" TargetMode="External"/><Relationship Id="rId915" Type="http://schemas.openxmlformats.org/officeDocument/2006/relationships/hyperlink" Target="http://www.caravanstudios.org/" TargetMode="External"/><Relationship Id="rId916" Type="http://schemas.openxmlformats.org/officeDocument/2006/relationships/hyperlink" Target="http://www.tekmindz.com/" TargetMode="External"/><Relationship Id="rId917" Type="http://schemas.openxmlformats.org/officeDocument/2006/relationships/hyperlink" Target="http://www.satpalda.com/" TargetMode="External"/><Relationship Id="rId918" Type="http://schemas.openxmlformats.org/officeDocument/2006/relationships/hyperlink" Target="http://www.scanpointgeomatics.com/" TargetMode="External"/><Relationship Id="rId919" Type="http://schemas.openxmlformats.org/officeDocument/2006/relationships/hyperlink" Target="http://www.secon.in/" TargetMode="External"/><Relationship Id="rId920" Type="http://schemas.openxmlformats.org/officeDocument/2006/relationships/hyperlink" Target="http://socialblood.org/about" TargetMode="External"/><Relationship Id="rId921" Type="http://schemas.openxmlformats.org/officeDocument/2006/relationships/hyperlink" Target="http://www.spageo.co.in/" TargetMode="External"/><Relationship Id="rId922" Type="http://schemas.openxmlformats.org/officeDocument/2006/relationships/hyperlink" Target="http://www.spatialdecisions.com/about_sd/about_sd.htm" TargetMode="External"/><Relationship Id="rId923" Type="http://schemas.openxmlformats.org/officeDocument/2006/relationships/hyperlink" Target="http://www.spatialideas.com/" TargetMode="External"/><Relationship Id="rId924" Type="http://schemas.openxmlformats.org/officeDocument/2006/relationships/hyperlink" Target="https://spendnetwork.com/" TargetMode="External"/><Relationship Id="rId925" Type="http://schemas.openxmlformats.org/officeDocument/2006/relationships/hyperlink" Target="http://www.stellapps.com/" TargetMode="External"/><Relationship Id="rId926" Type="http://schemas.openxmlformats.org/officeDocument/2006/relationships/hyperlink" Target="http://www.crownagents.com/what-we-do/public-financial-management/e-procurement" TargetMode="External"/><Relationship Id="rId927" Type="http://schemas.openxmlformats.org/officeDocument/2006/relationships/hyperlink" Target="http://surgerica.com/about_us.php" TargetMode="External"/><Relationship Id="rId928" Type="http://schemas.openxmlformats.org/officeDocument/2006/relationships/hyperlink" Target="http://www.swasthyaslate.org/" TargetMode="External"/><Relationship Id="rId929" Type="http://schemas.openxmlformats.org/officeDocument/2006/relationships/hyperlink" Target="http://TaxiforSure.com/" TargetMode="External"/><Relationship Id="rId930" Type="http://schemas.openxmlformats.org/officeDocument/2006/relationships/hyperlink" Target="http://www.taxiforsure.com/" TargetMode="External"/><Relationship Id="rId931" Type="http://schemas.openxmlformats.org/officeDocument/2006/relationships/hyperlink" Target="http://lurnq.com/" TargetMode="External"/><Relationship Id="rId932" Type="http://schemas.openxmlformats.org/officeDocument/2006/relationships/hyperlink" Target="http://territorialprescience.co.in/" TargetMode="External"/><Relationship Id="rId933" Type="http://schemas.openxmlformats.org/officeDocument/2006/relationships/hyperlink" Target="http://theovel.com/" TargetMode="External"/><Relationship Id="rId934" Type="http://schemas.openxmlformats.org/officeDocument/2006/relationships/hyperlink" Target="http://www.transparentchennai.com/about/" TargetMode="External"/><Relationship Id="rId935" Type="http://schemas.openxmlformats.org/officeDocument/2006/relationships/hyperlink" Target="http://tsttechnologies.com/ServicesnProducts.aspx" TargetMode="External"/><Relationship Id="rId936" Type="http://schemas.openxmlformats.org/officeDocument/2006/relationships/hyperlink" Target="http://www.uneecops.com/gis_services.html" TargetMode="External"/><Relationship Id="rId937" Type="http://schemas.openxmlformats.org/officeDocument/2006/relationships/hyperlink" Target="http://www.universalgeoinformatics.com/" TargetMode="External"/><Relationship Id="rId938" Type="http://schemas.openxmlformats.org/officeDocument/2006/relationships/hyperlink" Target="http://www.upbeattech.com/" TargetMode="External"/><Relationship Id="rId939" Type="http://schemas.openxmlformats.org/officeDocument/2006/relationships/hyperlink" Target="http://www.variacsystems.com/gisgeospatial.html" TargetMode="External"/><Relationship Id="rId940" Type="http://schemas.openxmlformats.org/officeDocument/2006/relationships/hyperlink" Target="http://vectorhead.co.in/index.html" TargetMode="External"/><Relationship Id="rId941" Type="http://schemas.openxmlformats.org/officeDocument/2006/relationships/hyperlink" Target="http://www.vidyuth.org/" TargetMode="External"/><Relationship Id="rId942" Type="http://schemas.openxmlformats.org/officeDocument/2006/relationships/hyperlink" Target="http://www.voiceofbigdata.com/index.html" TargetMode="External"/><Relationship Id="rId943" Type="http://schemas.openxmlformats.org/officeDocument/2006/relationships/hyperlink" Target="http://wapmerr.in/" TargetMode="External"/><Relationship Id="rId944" Type="http://schemas.openxmlformats.org/officeDocument/2006/relationships/hyperlink" Target="http://www.weavertec.com/" TargetMode="External"/><Relationship Id="rId945" Type="http://schemas.openxmlformats.org/officeDocument/2006/relationships/hyperlink" Target="https://www.erpnext.com/" TargetMode="External"/><Relationship Id="rId946" Type="http://schemas.openxmlformats.org/officeDocument/2006/relationships/hyperlink" Target="http://worldhealthpartners.org/?p=1" TargetMode="External"/><Relationship Id="rId947" Type="http://schemas.openxmlformats.org/officeDocument/2006/relationships/hyperlink" Target="http://www.wtiatl.com/index.html" TargetMode="External"/><Relationship Id="rId948" Type="http://schemas.openxmlformats.org/officeDocument/2006/relationships/hyperlink" Target="http://www.xcelrisgenomics.com/" TargetMode="External"/><Relationship Id="rId949" Type="http://schemas.openxmlformats.org/officeDocument/2006/relationships/hyperlink" Target="http://www.yourbus.in/index.html" TargetMode="External"/><Relationship Id="rId950" Type="http://schemas.openxmlformats.org/officeDocument/2006/relationships/hyperlink" Target="http://www.zoominsoftech.com/" TargetMode="External"/><Relationship Id="rId951" Type="http://schemas.openxmlformats.org/officeDocument/2006/relationships/hyperlink" Target="http://lavacunacontralacorrupcion.blogspot.mx/2014_05_01_archive.html" TargetMode="External"/><Relationship Id="rId952" Type="http://schemas.openxmlformats.org/officeDocument/2006/relationships/hyperlink" Target="https://www.youtube.com/watch?v=XmSh2LfbNRM" TargetMode="External"/><Relationship Id="rId953" Type="http://schemas.openxmlformats.org/officeDocument/2006/relationships/hyperlink" Target="http://lavacunacontralacorrupcion.blogspot.mx/2014_02_01_archive.html" TargetMode="External"/><Relationship Id="rId954" Type="http://schemas.openxmlformats.org/officeDocument/2006/relationships/hyperlink" Target="http://www.boulevard4.com/" TargetMode="External"/><Relationship Id="rId955" Type="http://schemas.openxmlformats.org/officeDocument/2006/relationships/hyperlink" Target="http://www.buenosaires.gob.ar/aplicacionesmoviles/calles-historicas" TargetMode="External"/><Relationship Id="rId956" Type="http://schemas.openxmlformats.org/officeDocument/2006/relationships/hyperlink" Target="http://www.entrenaya.com/" TargetMode="External"/><Relationship Id="rId957" Type="http://schemas.openxmlformats.org/officeDocument/2006/relationships/hyperlink" Target="http://www.buenosaires.gob.ar/aplicacionesmoviles/entrenaya" TargetMode="External"/><Relationship Id="rId958" Type="http://schemas.openxmlformats.org/officeDocument/2006/relationships/hyperlink" Target="http://www.puntoapartes.com.ar/" TargetMode="External"/><Relationship Id="rId959" Type="http://schemas.openxmlformats.org/officeDocument/2006/relationships/hyperlink" Target="http://www.buenosaires.gob.ar/aplicacionesmoviles/donde" TargetMode="External"/><Relationship Id="rId960" Type="http://schemas.openxmlformats.org/officeDocument/2006/relationships/hyperlink" Target="http://paisanoscreando.com/" TargetMode="External"/><Relationship Id="rId961" Type="http://schemas.openxmlformats.org/officeDocument/2006/relationships/hyperlink" Target="http://www.buenosaires.gob.ar/aplicacionesmoviles/me-voy-en-bici" TargetMode="External"/><Relationship Id="rId962" Type="http://schemas.openxmlformats.org/officeDocument/2006/relationships/hyperlink" Target="http://cruzroja.org.ar/" TargetMode="External"/><Relationship Id="rId963" Type="http://schemas.openxmlformats.org/officeDocument/2006/relationships/hyperlink" Target="http://www.buenosaires.gob.ar/aplicacionesmoviles/cruz-roja-argentina" TargetMode="External"/><Relationship Id="rId964" Type="http://schemas.openxmlformats.org/officeDocument/2006/relationships/hyperlink" Target="https://acadeu.com/" TargetMode="External"/><Relationship Id="rId965" Type="http://schemas.openxmlformats.org/officeDocument/2006/relationships/hyperlink" Target="http://www.buenosaires.gob.ar/aplicacionesmoviles/acadeu" TargetMode="External"/><Relationship Id="rId966" Type="http://schemas.openxmlformats.org/officeDocument/2006/relationships/hyperlink" Target="http://mushapps.com/" TargetMode="External"/><Relationship Id="rId967" Type="http://schemas.openxmlformats.org/officeDocument/2006/relationships/hyperlink" Target="http://www.buenosaires.gob.ar/aplicacionesmoviles/biciplus" TargetMode="External"/><Relationship Id="rId968" Type="http://schemas.openxmlformats.org/officeDocument/2006/relationships/hyperlink" Target="http://www.huesped.org.ar/" TargetMode="External"/><Relationship Id="rId969" Type="http://schemas.openxmlformats.org/officeDocument/2006/relationships/hyperlink" Target="http://www.buenosaires.gob.ar/aplicacionesmoviles/donde-0" TargetMode="External"/><Relationship Id="rId970" Type="http://schemas.openxmlformats.org/officeDocument/2006/relationships/hyperlink" Target="https://www.facebook.com/labgcba" TargetMode="External"/><Relationship Id="rId971" Type="http://schemas.openxmlformats.org/officeDocument/2006/relationships/hyperlink" Target="http://blog.properati.com.ar/el-platano-de-la-discordia/" TargetMode="External"/><Relationship Id="rId972" Type="http://schemas.openxmlformats.org/officeDocument/2006/relationships/hyperlink" Target="http://www.lanacion.com.ar/" TargetMode="External"/><Relationship Id="rId973" Type="http://schemas.openxmlformats.org/officeDocument/2006/relationships/hyperlink" Target="http://www.lanacion.com.ar/1760016-reclamos-barrios-buenos-aires-2014" TargetMode="External"/><Relationship Id="rId974" Type="http://schemas.openxmlformats.org/officeDocument/2006/relationships/hyperlink" Target="http://dk.okfn.org/" TargetMode="External"/><Relationship Id="rId975" Type="http://schemas.openxmlformats.org/officeDocument/2006/relationships/hyperlink" Target="https://developer.dansksupermarked.dk/v1/overview/" TargetMode="External"/><Relationship Id="rId976" Type="http://schemas.openxmlformats.org/officeDocument/2006/relationships/hyperlink" Target="http://organicity.projects.cavi.au.dk/" TargetMode="External"/><Relationship Id="rId977" Type="http://schemas.openxmlformats.org/officeDocument/2006/relationships/hyperlink" Target="http://organicity.projects.cavi.au.dk/organicity" TargetMode="External"/><Relationship Id="rId978" Type="http://schemas.openxmlformats.org/officeDocument/2006/relationships/hyperlink" Target="http://kl7.dk/en" TargetMode="External"/><Relationship Id="rId979" Type="http://schemas.openxmlformats.org/officeDocument/2006/relationships/hyperlink" Target="http://sundhedsinnovationsjaelland.dk/projekter/open-data" TargetMode="External"/><Relationship Id="rId980" Type="http://schemas.openxmlformats.org/officeDocument/2006/relationships/hyperlink" Target="http://xpleo.dk/" TargetMode="External"/><Relationship Id="rId981" Type="http://schemas.openxmlformats.org/officeDocument/2006/relationships/hyperlink" Target="http://xpleo.dk/contact" TargetMode="External"/><Relationship Id="rId982" Type="http://schemas.openxmlformats.org/officeDocument/2006/relationships/hyperlink" Target="http://www.dst.dk/da/Statistik/statistikbanken/api.aspx" TargetMode="External"/><Relationship Id="rId983" Type="http://schemas.openxmlformats.org/officeDocument/2006/relationships/hyperlink" Target="http://OpenData.se/" TargetMode="External"/><Relationship Id="rId984" Type="http://schemas.openxmlformats.org/officeDocument/2006/relationships/hyperlink" Target="http://www.opendata.se/" TargetMode="External"/><Relationship Id="rId985" Type="http://schemas.openxmlformats.org/officeDocument/2006/relationships/hyperlink" Target="http://Openaid.se/" TargetMode="External"/><Relationship Id="rId986" Type="http://schemas.openxmlformats.org/officeDocument/2006/relationships/hyperlink" Target="http://www.openaid.se/" TargetMode="External"/><Relationship Id="rId987" Type="http://schemas.openxmlformats.org/officeDocument/2006/relationships/hyperlink" Target="http://www.scb.se/en_/About-us/Open-data-API/" TargetMode="External"/><Relationship Id="rId988" Type="http://schemas.openxmlformats.org/officeDocument/2006/relationships/hyperlink" Target="http://se.okfn.org/" TargetMode="External"/><Relationship Id="rId989" Type="http://schemas.openxmlformats.org/officeDocument/2006/relationships/hyperlink" Target="http://www.opennordics.org/" TargetMode="External"/><Relationship Id="rId990" Type="http://schemas.openxmlformats.org/officeDocument/2006/relationships/hyperlink" Target="http://www.vinnova.se/sv/Var-verksamhet/Strategiskt-viktiga-kunskapsomraden/Tjanster-och-IKT/Oppen-innovation/Oppna-data/" TargetMode="External"/><Relationship Id="rId991" Type="http://schemas.openxmlformats.org/officeDocument/2006/relationships/hyperlink" Target="http://www.opennorth.se/" TargetMode="External"/><Relationship Id="rId992" Type="http://schemas.openxmlformats.org/officeDocument/2006/relationships/hyperlink" Target="http://www.opennorth.se/?page_id=11" TargetMode="External"/><Relationship Id="rId993" Type="http://schemas.openxmlformats.org/officeDocument/2006/relationships/hyperlink" Target="http://data.norge.no/" TargetMode="External"/><Relationship Id="rId994" Type="http://schemas.openxmlformats.org/officeDocument/2006/relationships/hyperlink" Target="http://data.norge.no/" TargetMode="External"/><Relationship Id="rId995" Type="http://schemas.openxmlformats.org/officeDocument/2006/relationships/hyperlink" Target="http://www.septima.dk/" TargetMode="External"/><Relationship Id="rId996" Type="http://schemas.openxmlformats.org/officeDocument/2006/relationships/hyperlink" Target="http://www.geomatic.dk/" TargetMode="External"/><Relationship Id="rId997" Type="http://schemas.openxmlformats.org/officeDocument/2006/relationships/hyperlink" Target="http://beta.findtoilet.dk/" TargetMode="External"/><Relationship Id="rId998" Type="http://schemas.openxmlformats.org/officeDocument/2006/relationships/hyperlink" Target="http://dopter.se/" TargetMode="External"/><Relationship Id="rId999" Type="http://schemas.openxmlformats.org/officeDocument/2006/relationships/hyperlink" Target="https://theodi.org/nodes/gothenburg" TargetMode="External"/><Relationship Id="rId1000" Type="http://schemas.openxmlformats.org/officeDocument/2006/relationships/hyperlink" Target="http://metasolutions.se/" TargetMode="External"/><Relationship Id="rId1001" Type="http://schemas.openxmlformats.org/officeDocument/2006/relationships/hyperlink" Target="http://www.codeforafrica.org/" TargetMode="External"/><Relationship Id="rId1002" Type="http://schemas.openxmlformats.org/officeDocument/2006/relationships/hyperlink" Target="http://codeforall.org/" TargetMode="External"/><Relationship Id="rId1003" Type="http://schemas.openxmlformats.org/officeDocument/2006/relationships/hyperlink" Target="http://codeforall.org/" TargetMode="External"/><Relationship Id="rId1004" Type="http://schemas.openxmlformats.org/officeDocument/2006/relationships/hyperlink" Target="http://codeforall.org/" TargetMode="External"/><Relationship Id="rId1005" Type="http://schemas.openxmlformats.org/officeDocument/2006/relationships/hyperlink" Target="http://codeforall.org/" TargetMode="External"/><Relationship Id="rId1006" Type="http://schemas.openxmlformats.org/officeDocument/2006/relationships/hyperlink" Target="http://openbrazil.org/" TargetMode="External"/><Relationship Id="rId1007" Type="http://schemas.openxmlformats.org/officeDocument/2006/relationships/hyperlink" Target="http://codeforall.org/" TargetMode="External"/><Relationship Id="rId1008" Type="http://schemas.openxmlformats.org/officeDocument/2006/relationships/hyperlink" Target="http://www.civicstack.org/" TargetMode="External"/><Relationship Id="rId1009" Type="http://schemas.openxmlformats.org/officeDocument/2006/relationships/hyperlink" Target="http://www.avoinministerio.fi/" TargetMode="External"/><Relationship Id="rId1010" Type="http://schemas.openxmlformats.org/officeDocument/2006/relationships/hyperlink" Target="http://www.civicstack.org/" TargetMode="External"/><Relationship Id="rId1011" Type="http://schemas.openxmlformats.org/officeDocument/2006/relationships/hyperlink" Target="http://www.cnt.org/" TargetMode="External"/><Relationship Id="rId1012" Type="http://schemas.openxmlformats.org/officeDocument/2006/relationships/hyperlink" Target="http://www.civicstack.org/" TargetMode="External"/><Relationship Id="rId1013" Type="http://schemas.openxmlformats.org/officeDocument/2006/relationships/hyperlink" Target="http://www.civicstack.org/" TargetMode="External"/><Relationship Id="rId1014" Type="http://schemas.openxmlformats.org/officeDocument/2006/relationships/hyperlink" Target="http://codefor.de/" TargetMode="External"/><Relationship Id="rId1015" Type="http://schemas.openxmlformats.org/officeDocument/2006/relationships/hyperlink" Target="https://www.loomio.org/" TargetMode="External"/><Relationship Id="rId1016" Type="http://schemas.openxmlformats.org/officeDocument/2006/relationships/hyperlink" Target="http://www.civicstack.org/" TargetMode="External"/><Relationship Id="rId1017" Type="http://schemas.openxmlformats.org/officeDocument/2006/relationships/hyperlink" Target="https://x.piratar.is/" TargetMode="External"/><Relationship Id="rId1018" Type="http://schemas.openxmlformats.org/officeDocument/2006/relationships/hyperlink" Target="http://www.civicstack.org/" TargetMode="External"/><Relationship Id="rId1019" Type="http://schemas.openxmlformats.org/officeDocument/2006/relationships/hyperlink" Target="http://datos.gob.es/" TargetMode="External"/><Relationship Id="rId1020" Type="http://schemas.openxmlformats.org/officeDocument/2006/relationships/hyperlink" Target="http://datos.gob.es/" TargetMode="External"/><Relationship Id="rId1021" Type="http://schemas.openxmlformats.org/officeDocument/2006/relationships/hyperlink" Target="http://datos.gob.es/" TargetMode="External"/><Relationship Id="rId1022" Type="http://schemas.openxmlformats.org/officeDocument/2006/relationships/hyperlink" Target="http://datos.gob.es/" TargetMode="External"/><Relationship Id="rId1023" Type="http://schemas.openxmlformats.org/officeDocument/2006/relationships/hyperlink" Target="http://datos.gob.es/" TargetMode="External"/><Relationship Id="rId1024" Type="http://schemas.openxmlformats.org/officeDocument/2006/relationships/hyperlink" Target="http://datos.gob.es/" TargetMode="External"/><Relationship Id="rId1025" Type="http://schemas.openxmlformats.org/officeDocument/2006/relationships/hyperlink" Target="http://datos.gob.es/" TargetMode="External"/><Relationship Id="rId1026" Type="http://schemas.openxmlformats.org/officeDocument/2006/relationships/hyperlink" Target="http://datos.gob.es/" TargetMode="External"/><Relationship Id="rId1027" Type="http://schemas.openxmlformats.org/officeDocument/2006/relationships/hyperlink" Target="http://datos.gob.es/" TargetMode="External"/><Relationship Id="rId1028" Type="http://schemas.openxmlformats.org/officeDocument/2006/relationships/hyperlink" Target="http://datos.gob.es/" TargetMode="External"/><Relationship Id="rId1029" Type="http://schemas.openxmlformats.org/officeDocument/2006/relationships/hyperlink" Target="http://datos.gob.es/" TargetMode="External"/><Relationship Id="rId1030" Type="http://schemas.openxmlformats.org/officeDocument/2006/relationships/hyperlink" Target="http://datos.gob.es/" TargetMode="External"/><Relationship Id="rId1031" Type="http://schemas.openxmlformats.org/officeDocument/2006/relationships/hyperlink" Target="http://datos.gob.es/" TargetMode="External"/><Relationship Id="rId1032" Type="http://schemas.openxmlformats.org/officeDocument/2006/relationships/hyperlink" Target="http://datos.gob.es/" TargetMode="External"/><Relationship Id="rId1033" Type="http://schemas.openxmlformats.org/officeDocument/2006/relationships/hyperlink" Target="http://datos.gob.es/" TargetMode="External"/><Relationship Id="rId1034" Type="http://schemas.openxmlformats.org/officeDocument/2006/relationships/hyperlink" Target="http://datos.gob.es/" TargetMode="External"/><Relationship Id="rId1035" Type="http://schemas.openxmlformats.org/officeDocument/2006/relationships/hyperlink" Target="http://datos.gob.es/" TargetMode="External"/><Relationship Id="rId1036" Type="http://schemas.openxmlformats.org/officeDocument/2006/relationships/hyperlink" Target="http://datos.gob.es/" TargetMode="External"/><Relationship Id="rId1037" Type="http://schemas.openxmlformats.org/officeDocument/2006/relationships/hyperlink" Target="http://datos.gob.es/" TargetMode="External"/><Relationship Id="rId1038" Type="http://schemas.openxmlformats.org/officeDocument/2006/relationships/hyperlink" Target="http://datos.gob.es/" TargetMode="External"/><Relationship Id="rId1039" Type="http://schemas.openxmlformats.org/officeDocument/2006/relationships/hyperlink" Target="http://datos.gob.es/" TargetMode="External"/><Relationship Id="rId1040" Type="http://schemas.openxmlformats.org/officeDocument/2006/relationships/hyperlink" Target="http://datos.gob.es/" TargetMode="External"/><Relationship Id="rId1041" Type="http://schemas.openxmlformats.org/officeDocument/2006/relationships/hyperlink" Target="http://datos.gob.es/" TargetMode="External"/><Relationship Id="rId1042" Type="http://schemas.openxmlformats.org/officeDocument/2006/relationships/hyperlink" Target="http://datos.gob.es/" TargetMode="External"/><Relationship Id="rId1043" Type="http://schemas.openxmlformats.org/officeDocument/2006/relationships/hyperlink" Target="http://datos.gob.es/" TargetMode="External"/><Relationship Id="rId1044" Type="http://schemas.openxmlformats.org/officeDocument/2006/relationships/hyperlink" Target="http://datos.gob.es/" TargetMode="External"/><Relationship Id="rId1045" Type="http://schemas.openxmlformats.org/officeDocument/2006/relationships/hyperlink" Target="http://datos.gob.es/" TargetMode="External"/><Relationship Id="rId1046" Type="http://schemas.openxmlformats.org/officeDocument/2006/relationships/hyperlink" Target="http://datos.gob.es/" TargetMode="External"/><Relationship Id="rId1047" Type="http://schemas.openxmlformats.org/officeDocument/2006/relationships/hyperlink" Target="http://datos.gob.es/" TargetMode="External"/><Relationship Id="rId1048" Type="http://schemas.openxmlformats.org/officeDocument/2006/relationships/hyperlink" Target="http://datos.gob.es/" TargetMode="External"/><Relationship Id="rId1049" Type="http://schemas.openxmlformats.org/officeDocument/2006/relationships/hyperlink" Target="http://datos.gob.es/" TargetMode="External"/><Relationship Id="rId1050" Type="http://schemas.openxmlformats.org/officeDocument/2006/relationships/hyperlink" Target="http://datos.gob.es/" TargetMode="External"/><Relationship Id="rId1051" Type="http://schemas.openxmlformats.org/officeDocument/2006/relationships/hyperlink" Target="http://datos.gob.es/" TargetMode="External"/><Relationship Id="rId1052" Type="http://schemas.openxmlformats.org/officeDocument/2006/relationships/hyperlink" Target="http://datos.gob.es/" TargetMode="External"/><Relationship Id="rId1053" Type="http://schemas.openxmlformats.org/officeDocument/2006/relationships/hyperlink" Target="http://datos.gob.es/" TargetMode="External"/><Relationship Id="rId1054" Type="http://schemas.openxmlformats.org/officeDocument/2006/relationships/hyperlink" Target="http://datos.gob.es/" TargetMode="External"/><Relationship Id="rId1055" Type="http://schemas.openxmlformats.org/officeDocument/2006/relationships/hyperlink" Target="http://datos.gob.es/" TargetMode="External"/><Relationship Id="rId1056" Type="http://schemas.openxmlformats.org/officeDocument/2006/relationships/hyperlink" Target="http://datos.gob.es/" TargetMode="External"/><Relationship Id="rId1057" Type="http://schemas.openxmlformats.org/officeDocument/2006/relationships/hyperlink" Target="http://datos.gob.es/" TargetMode="External"/><Relationship Id="rId1058" Type="http://schemas.openxmlformats.org/officeDocument/2006/relationships/hyperlink" Target="http://datos.gob.es/" TargetMode="External"/><Relationship Id="rId1059" Type="http://schemas.openxmlformats.org/officeDocument/2006/relationships/hyperlink" Target="http://datos.gob.es/" TargetMode="External"/><Relationship Id="rId1060" Type="http://schemas.openxmlformats.org/officeDocument/2006/relationships/hyperlink" Target="http://datos.gob.es/" TargetMode="External"/><Relationship Id="rId1061" Type="http://schemas.openxmlformats.org/officeDocument/2006/relationships/hyperlink" Target="http://datos.gob.es/" TargetMode="External"/><Relationship Id="rId1062" Type="http://schemas.openxmlformats.org/officeDocument/2006/relationships/hyperlink" Target="http://datos.gob.es/" TargetMode="External"/><Relationship Id="rId1063" Type="http://schemas.openxmlformats.org/officeDocument/2006/relationships/hyperlink" Target="http://datos.gob.es/" TargetMode="External"/><Relationship Id="rId1064" Type="http://schemas.openxmlformats.org/officeDocument/2006/relationships/hyperlink" Target="http://datos.gob.es/" TargetMode="External"/><Relationship Id="rId1065" Type="http://schemas.openxmlformats.org/officeDocument/2006/relationships/hyperlink" Target="http://datos.gob.es/" TargetMode="External"/><Relationship Id="rId1066" Type="http://schemas.openxmlformats.org/officeDocument/2006/relationships/hyperlink" Target="http://datos.gob.es/" TargetMode="External"/><Relationship Id="rId1067" Type="http://schemas.openxmlformats.org/officeDocument/2006/relationships/hyperlink" Target="http://datos.gob.es/" TargetMode="External"/><Relationship Id="rId1068" Type="http://schemas.openxmlformats.org/officeDocument/2006/relationships/hyperlink" Target="http://datos.gob.es/" TargetMode="External"/><Relationship Id="rId1069" Type="http://schemas.openxmlformats.org/officeDocument/2006/relationships/hyperlink" Target="http://datos.gob.es/" TargetMode="External"/><Relationship Id="rId1070" Type="http://schemas.openxmlformats.org/officeDocument/2006/relationships/hyperlink" Target="http://datos.gob.es/" TargetMode="External"/><Relationship Id="rId1071" Type="http://schemas.openxmlformats.org/officeDocument/2006/relationships/hyperlink" Target="http://datos.gob.es/" TargetMode="External"/><Relationship Id="rId1072" Type="http://schemas.openxmlformats.org/officeDocument/2006/relationships/hyperlink" Target="http://datos.gob.es/" TargetMode="External"/><Relationship Id="rId1073" Type="http://schemas.openxmlformats.org/officeDocument/2006/relationships/hyperlink" Target="http://datos.gob.es/" TargetMode="External"/><Relationship Id="rId1074" Type="http://schemas.openxmlformats.org/officeDocument/2006/relationships/hyperlink" Target="http://datos.gob.es/" TargetMode="External"/><Relationship Id="rId1075" Type="http://schemas.openxmlformats.org/officeDocument/2006/relationships/hyperlink" Target="http://datos.gob.es/" TargetMode="External"/><Relationship Id="rId1076" Type="http://schemas.openxmlformats.org/officeDocument/2006/relationships/hyperlink" Target="http://datos.gob.es/" TargetMode="External"/><Relationship Id="rId1077" Type="http://schemas.openxmlformats.org/officeDocument/2006/relationships/hyperlink" Target="http://datos.gob.es/" TargetMode="External"/><Relationship Id="rId1078" Type="http://schemas.openxmlformats.org/officeDocument/2006/relationships/hyperlink" Target="http://datos.gob.es/" TargetMode="External"/><Relationship Id="rId1079" Type="http://schemas.openxmlformats.org/officeDocument/2006/relationships/hyperlink" Target="http://datos.gob.es/" TargetMode="External"/><Relationship Id="rId1080" Type="http://schemas.openxmlformats.org/officeDocument/2006/relationships/hyperlink" Target="http://datos.gob.es/" TargetMode="External"/><Relationship Id="rId1081" Type="http://schemas.openxmlformats.org/officeDocument/2006/relationships/hyperlink" Target="http://datos.gob.es/" TargetMode="External"/><Relationship Id="rId1082" Type="http://schemas.openxmlformats.org/officeDocument/2006/relationships/hyperlink" Target="http://datos.gob.es/" TargetMode="External"/><Relationship Id="rId1083" Type="http://schemas.openxmlformats.org/officeDocument/2006/relationships/hyperlink" Target="http://datos.gob.es/" TargetMode="External"/><Relationship Id="rId1084" Type="http://schemas.openxmlformats.org/officeDocument/2006/relationships/hyperlink" Target="http://datos.gob.es/" TargetMode="External"/><Relationship Id="rId1085" Type="http://schemas.openxmlformats.org/officeDocument/2006/relationships/hyperlink" Target="http://datos.gob.es/" TargetMode="External"/><Relationship Id="rId1086" Type="http://schemas.openxmlformats.org/officeDocument/2006/relationships/hyperlink" Target="http://datos.gob.es/" TargetMode="External"/><Relationship Id="rId1087" Type="http://schemas.openxmlformats.org/officeDocument/2006/relationships/hyperlink" Target="http://datos.gob.es/" TargetMode="External"/><Relationship Id="rId1088" Type="http://schemas.openxmlformats.org/officeDocument/2006/relationships/hyperlink" Target="http://datos.gob.es/" TargetMode="External"/><Relationship Id="rId1089" Type="http://schemas.openxmlformats.org/officeDocument/2006/relationships/hyperlink" Target="http://datos.gob.es/" TargetMode="External"/><Relationship Id="rId1090" Type="http://schemas.openxmlformats.org/officeDocument/2006/relationships/hyperlink" Target="http://datos.gob.es/" TargetMode="External"/><Relationship Id="rId1091" Type="http://schemas.openxmlformats.org/officeDocument/2006/relationships/hyperlink" Target="http://datos.gob.es/" TargetMode="External"/><Relationship Id="rId1092" Type="http://schemas.openxmlformats.org/officeDocument/2006/relationships/hyperlink" Target="http://datos.gob.es/" TargetMode="External"/><Relationship Id="rId1093" Type="http://schemas.openxmlformats.org/officeDocument/2006/relationships/hyperlink" Target="http://datos.gob.es/" TargetMode="External"/><Relationship Id="rId1094" Type="http://schemas.openxmlformats.org/officeDocument/2006/relationships/hyperlink" Target="http://datos.gob.es/" TargetMode="External"/><Relationship Id="rId1095" Type="http://schemas.openxmlformats.org/officeDocument/2006/relationships/hyperlink" Target="http://datos.gob.es/" TargetMode="External"/><Relationship Id="rId1096" Type="http://schemas.openxmlformats.org/officeDocument/2006/relationships/hyperlink" Target="http://datos.gob.es/" TargetMode="External"/><Relationship Id="rId1097" Type="http://schemas.openxmlformats.org/officeDocument/2006/relationships/hyperlink" Target="http://datos.gob.es/" TargetMode="External"/><Relationship Id="rId1098" Type="http://schemas.openxmlformats.org/officeDocument/2006/relationships/hyperlink" Target="http://datos.gob.es/" TargetMode="External"/><Relationship Id="rId1099" Type="http://schemas.openxmlformats.org/officeDocument/2006/relationships/hyperlink" Target="http://datos.gob.es/" TargetMode="External"/><Relationship Id="rId1100" Type="http://schemas.openxmlformats.org/officeDocument/2006/relationships/hyperlink" Target="http://datos.gob.es/" TargetMode="External"/><Relationship Id="rId1101" Type="http://schemas.openxmlformats.org/officeDocument/2006/relationships/hyperlink" Target="http://datos.gob.es/" TargetMode="External"/><Relationship Id="rId1102" Type="http://schemas.openxmlformats.org/officeDocument/2006/relationships/hyperlink" Target="http://datos.gob.es/" TargetMode="External"/><Relationship Id="rId1103" Type="http://schemas.openxmlformats.org/officeDocument/2006/relationships/hyperlink" Target="http://datos.gob.es/" TargetMode="External"/><Relationship Id="rId1104" Type="http://schemas.openxmlformats.org/officeDocument/2006/relationships/hyperlink" Target="http://datos.gob.es/" TargetMode="External"/><Relationship Id="rId1105" Type="http://schemas.openxmlformats.org/officeDocument/2006/relationships/hyperlink" Target="http://datos.gob.es/" TargetMode="External"/><Relationship Id="rId1106" Type="http://schemas.openxmlformats.org/officeDocument/2006/relationships/hyperlink" Target="http://datos.gob.es/" TargetMode="External"/><Relationship Id="rId1107" Type="http://schemas.openxmlformats.org/officeDocument/2006/relationships/hyperlink" Target="http://datos.gob.es/" TargetMode="External"/><Relationship Id="rId1108" Type="http://schemas.openxmlformats.org/officeDocument/2006/relationships/hyperlink" Target="http://datos.gob.es/" TargetMode="External"/><Relationship Id="rId1109" Type="http://schemas.openxmlformats.org/officeDocument/2006/relationships/hyperlink" Target="http://datos.gob.es/" TargetMode="External"/><Relationship Id="rId1110" Type="http://schemas.openxmlformats.org/officeDocument/2006/relationships/hyperlink" Target="http://datos.gob.es/" TargetMode="External"/><Relationship Id="rId1111" Type="http://schemas.openxmlformats.org/officeDocument/2006/relationships/hyperlink" Target="http://datos.gob.es/" TargetMode="External"/><Relationship Id="rId1112" Type="http://schemas.openxmlformats.org/officeDocument/2006/relationships/hyperlink" Target="http://datos.gob.es/" TargetMode="External"/><Relationship Id="rId1113" Type="http://schemas.openxmlformats.org/officeDocument/2006/relationships/hyperlink" Target="http://datos.gob.es/" TargetMode="External"/><Relationship Id="rId1114" Type="http://schemas.openxmlformats.org/officeDocument/2006/relationships/hyperlink" Target="http://datos.gob.es/" TargetMode="External"/><Relationship Id="rId1115" Type="http://schemas.openxmlformats.org/officeDocument/2006/relationships/hyperlink" Target="http://datos.gob.es/" TargetMode="External"/><Relationship Id="rId1116" Type="http://schemas.openxmlformats.org/officeDocument/2006/relationships/hyperlink" Target="http://datos.gob.es/" TargetMode="External"/><Relationship Id="rId1117" Type="http://schemas.openxmlformats.org/officeDocument/2006/relationships/hyperlink" Target="http://datos.gob.es/" TargetMode="External"/><Relationship Id="rId1118" Type="http://schemas.openxmlformats.org/officeDocument/2006/relationships/hyperlink" Target="http://datos.gob.es/" TargetMode="External"/><Relationship Id="rId1119" Type="http://schemas.openxmlformats.org/officeDocument/2006/relationships/hyperlink" Target="http://datos.gob.es/" TargetMode="External"/><Relationship Id="rId1120" Type="http://schemas.openxmlformats.org/officeDocument/2006/relationships/hyperlink" Target="http://datos.gob.es/" TargetMode="External"/><Relationship Id="rId1121" Type="http://schemas.openxmlformats.org/officeDocument/2006/relationships/hyperlink" Target="http://datos.gob.es/" TargetMode="External"/><Relationship Id="rId1122" Type="http://schemas.openxmlformats.org/officeDocument/2006/relationships/hyperlink" Target="http://datos.gob.es/" TargetMode="External"/><Relationship Id="rId1123" Type="http://schemas.openxmlformats.org/officeDocument/2006/relationships/hyperlink" Target="http://datos.gob.es/" TargetMode="External"/><Relationship Id="rId1124" Type="http://schemas.openxmlformats.org/officeDocument/2006/relationships/hyperlink" Target="http://datos.gob.es/" TargetMode="External"/><Relationship Id="rId1125" Type="http://schemas.openxmlformats.org/officeDocument/2006/relationships/hyperlink" Target="http://datos.gob.es/" TargetMode="External"/><Relationship Id="rId1126" Type="http://schemas.openxmlformats.org/officeDocument/2006/relationships/hyperlink" Target="http://datos.gob.es/" TargetMode="External"/><Relationship Id="rId1127" Type="http://schemas.openxmlformats.org/officeDocument/2006/relationships/hyperlink" Target="http://datos.gob.es/" TargetMode="External"/><Relationship Id="rId1128" Type="http://schemas.openxmlformats.org/officeDocument/2006/relationships/hyperlink" Target="http://datos.gob.es/" TargetMode="External"/><Relationship Id="rId1129" Type="http://schemas.openxmlformats.org/officeDocument/2006/relationships/hyperlink" Target="http://datos.gob.es/" TargetMode="External"/><Relationship Id="rId1130" Type="http://schemas.openxmlformats.org/officeDocument/2006/relationships/hyperlink" Target="http://datos.gob.es/" TargetMode="External"/><Relationship Id="rId1131" Type="http://schemas.openxmlformats.org/officeDocument/2006/relationships/hyperlink" Target="http://datos.gob.es/" TargetMode="External"/><Relationship Id="rId1132" Type="http://schemas.openxmlformats.org/officeDocument/2006/relationships/hyperlink" Target="http://datos.gob.es/" TargetMode="External"/><Relationship Id="rId1133" Type="http://schemas.openxmlformats.org/officeDocument/2006/relationships/hyperlink" Target="http://datos.gob.es/" TargetMode="External"/><Relationship Id="rId1134" Type="http://schemas.openxmlformats.org/officeDocument/2006/relationships/hyperlink" Target="http://datos.gob.es/" TargetMode="External"/><Relationship Id="rId1135" Type="http://schemas.openxmlformats.org/officeDocument/2006/relationships/hyperlink" Target="http://datos.gob.es/" TargetMode="External"/><Relationship Id="rId1136" Type="http://schemas.openxmlformats.org/officeDocument/2006/relationships/hyperlink" Target="http://datos.gob.es/" TargetMode="External"/><Relationship Id="rId1137" Type="http://schemas.openxmlformats.org/officeDocument/2006/relationships/hyperlink" Target="http://datos.gob.es/" TargetMode="External"/><Relationship Id="rId1138" Type="http://schemas.openxmlformats.org/officeDocument/2006/relationships/hyperlink" Target="http://datos.gob.es/" TargetMode="External"/><Relationship Id="rId1139" Type="http://schemas.openxmlformats.org/officeDocument/2006/relationships/hyperlink" Target="http://datos.gob.es/" TargetMode="External"/><Relationship Id="rId1140" Type="http://schemas.openxmlformats.org/officeDocument/2006/relationships/hyperlink" Target="http://datos.gob.es/" TargetMode="External"/><Relationship Id="rId1141" Type="http://schemas.openxmlformats.org/officeDocument/2006/relationships/hyperlink" Target="http://datos.gob.es/" TargetMode="External"/><Relationship Id="rId1142" Type="http://schemas.openxmlformats.org/officeDocument/2006/relationships/hyperlink" Target="http://datos.gob.es/" TargetMode="External"/><Relationship Id="rId1143" Type="http://schemas.openxmlformats.org/officeDocument/2006/relationships/hyperlink" Target="http://datos.gob.es/" TargetMode="External"/><Relationship Id="rId1144" Type="http://schemas.openxmlformats.org/officeDocument/2006/relationships/hyperlink" Target="http://datos.gob.es/" TargetMode="External"/><Relationship Id="rId1145" Type="http://schemas.openxmlformats.org/officeDocument/2006/relationships/hyperlink" Target="http://datos.gob.es/" TargetMode="External"/><Relationship Id="rId1146" Type="http://schemas.openxmlformats.org/officeDocument/2006/relationships/hyperlink" Target="http://datos.gob.es/" TargetMode="External"/><Relationship Id="rId1147" Type="http://schemas.openxmlformats.org/officeDocument/2006/relationships/hyperlink" Target="http://datos.gob.es/" TargetMode="External"/><Relationship Id="rId1148" Type="http://schemas.openxmlformats.org/officeDocument/2006/relationships/hyperlink" Target="http://datos.gob.es/" TargetMode="External"/><Relationship Id="rId1149" Type="http://schemas.openxmlformats.org/officeDocument/2006/relationships/hyperlink" Target="http://datos.gob.es/" TargetMode="External"/><Relationship Id="rId1150" Type="http://schemas.openxmlformats.org/officeDocument/2006/relationships/hyperlink" Target="http://datos.gob.es/" TargetMode="External"/><Relationship Id="rId1151" Type="http://schemas.openxmlformats.org/officeDocument/2006/relationships/hyperlink" Target="http://datos.gob.es/" TargetMode="External"/><Relationship Id="rId1152" Type="http://schemas.openxmlformats.org/officeDocument/2006/relationships/hyperlink" Target="http://datos.gob.es/" TargetMode="External"/><Relationship Id="rId1153" Type="http://schemas.openxmlformats.org/officeDocument/2006/relationships/hyperlink" Target="http://datos.gob.es/" TargetMode="External"/><Relationship Id="rId1154" Type="http://schemas.openxmlformats.org/officeDocument/2006/relationships/hyperlink" Target="http://datos.gob.es/" TargetMode="External"/><Relationship Id="rId1155" Type="http://schemas.openxmlformats.org/officeDocument/2006/relationships/hyperlink" Target="http://datos.gob.es/" TargetMode="External"/><Relationship Id="rId1156" Type="http://schemas.openxmlformats.org/officeDocument/2006/relationships/hyperlink" Target="http://datos.gob.es/" TargetMode="External"/><Relationship Id="rId1157" Type="http://schemas.openxmlformats.org/officeDocument/2006/relationships/hyperlink" Target="http://datos.gob.es/" TargetMode="External"/><Relationship Id="rId1158" Type="http://schemas.openxmlformats.org/officeDocument/2006/relationships/hyperlink" Target="http://datos.gob.es/" TargetMode="External"/><Relationship Id="rId1159" Type="http://schemas.openxmlformats.org/officeDocument/2006/relationships/hyperlink" Target="http://datos.gob.es/" TargetMode="External"/><Relationship Id="rId1160" Type="http://schemas.openxmlformats.org/officeDocument/2006/relationships/hyperlink" Target="http://datos.gob.es/" TargetMode="External"/><Relationship Id="rId1161" Type="http://schemas.openxmlformats.org/officeDocument/2006/relationships/hyperlink" Target="http://datos.gob.es/" TargetMode="External"/><Relationship Id="rId1162" Type="http://schemas.openxmlformats.org/officeDocument/2006/relationships/hyperlink" Target="http://datos.gob.es/" TargetMode="External"/><Relationship Id="rId1163" Type="http://schemas.openxmlformats.org/officeDocument/2006/relationships/hyperlink" Target="http://datos.gob.es/" TargetMode="External"/><Relationship Id="rId1164" Type="http://schemas.openxmlformats.org/officeDocument/2006/relationships/hyperlink" Target="http://datos.gob.es/" TargetMode="External"/><Relationship Id="rId1165" Type="http://schemas.openxmlformats.org/officeDocument/2006/relationships/hyperlink" Target="http://datos.gob.es/" TargetMode="External"/><Relationship Id="rId1166" Type="http://schemas.openxmlformats.org/officeDocument/2006/relationships/hyperlink" Target="http://datos.gob.es/" TargetMode="External"/><Relationship Id="rId1167" Type="http://schemas.openxmlformats.org/officeDocument/2006/relationships/hyperlink" Target="http://datos.gob.es/" TargetMode="External"/><Relationship Id="rId1168" Type="http://schemas.openxmlformats.org/officeDocument/2006/relationships/hyperlink" Target="http://datos.gob.es/" TargetMode="External"/><Relationship Id="rId1169" Type="http://schemas.openxmlformats.org/officeDocument/2006/relationships/hyperlink" Target="http://datos.gob.es/" TargetMode="External"/><Relationship Id="rId1170" Type="http://schemas.openxmlformats.org/officeDocument/2006/relationships/hyperlink" Target="http://datos.gob.es/" TargetMode="External"/><Relationship Id="rId1171" Type="http://schemas.openxmlformats.org/officeDocument/2006/relationships/hyperlink" Target="http://datos.gob.es/" TargetMode="External"/><Relationship Id="rId1172" Type="http://schemas.openxmlformats.org/officeDocument/2006/relationships/hyperlink" Target="http://datos.gob.es/" TargetMode="External"/><Relationship Id="rId1173" Type="http://schemas.openxmlformats.org/officeDocument/2006/relationships/hyperlink" Target="http://datos.gob.es/" TargetMode="External"/><Relationship Id="rId1174" Type="http://schemas.openxmlformats.org/officeDocument/2006/relationships/hyperlink" Target="http://datos.gob.es/" TargetMode="External"/><Relationship Id="rId1175" Type="http://schemas.openxmlformats.org/officeDocument/2006/relationships/hyperlink" Target="http://datos.gob.es/" TargetMode="External"/><Relationship Id="rId1176" Type="http://schemas.openxmlformats.org/officeDocument/2006/relationships/hyperlink" Target="http://datos.gob.es/" TargetMode="External"/><Relationship Id="rId1177" Type="http://schemas.openxmlformats.org/officeDocument/2006/relationships/hyperlink" Target="http://datos.gob.es/" TargetMode="External"/><Relationship Id="rId1178" Type="http://schemas.openxmlformats.org/officeDocument/2006/relationships/hyperlink" Target="http://datos.gob.es/" TargetMode="External"/><Relationship Id="rId1179" Type="http://schemas.openxmlformats.org/officeDocument/2006/relationships/hyperlink" Target="http://datos.gob.es/" TargetMode="External"/><Relationship Id="rId1180" Type="http://schemas.openxmlformats.org/officeDocument/2006/relationships/hyperlink" Target="http://datos.gob.es/" TargetMode="External"/><Relationship Id="rId1181" Type="http://schemas.openxmlformats.org/officeDocument/2006/relationships/hyperlink" Target="http://datos.gob.es/" TargetMode="External"/><Relationship Id="rId1182" Type="http://schemas.openxmlformats.org/officeDocument/2006/relationships/hyperlink" Target="http://datos.gob.es/" TargetMode="External"/><Relationship Id="rId1183" Type="http://schemas.openxmlformats.org/officeDocument/2006/relationships/hyperlink" Target="http://datos.gob.es/" TargetMode="External"/><Relationship Id="rId1184" Type="http://schemas.openxmlformats.org/officeDocument/2006/relationships/hyperlink" Target="http://datos.gob.es/" TargetMode="External"/><Relationship Id="rId1185" Type="http://schemas.openxmlformats.org/officeDocument/2006/relationships/hyperlink" Target="http://datos.gob.es/" TargetMode="External"/><Relationship Id="rId1186" Type="http://schemas.openxmlformats.org/officeDocument/2006/relationships/hyperlink" Target="http://datos.gob.es/" TargetMode="External"/><Relationship Id="rId1187" Type="http://schemas.openxmlformats.org/officeDocument/2006/relationships/hyperlink" Target="http://datos.gob.es/" TargetMode="External"/><Relationship Id="rId1188" Type="http://schemas.openxmlformats.org/officeDocument/2006/relationships/hyperlink" Target="http://datos.gob.es/" TargetMode="External"/><Relationship Id="rId1189" Type="http://schemas.openxmlformats.org/officeDocument/2006/relationships/hyperlink" Target="http://datos.gob.es/" TargetMode="External"/><Relationship Id="rId1190" Type="http://schemas.openxmlformats.org/officeDocument/2006/relationships/hyperlink" Target="http://datos.gob.es/" TargetMode="External"/><Relationship Id="rId1191" Type="http://schemas.openxmlformats.org/officeDocument/2006/relationships/hyperlink" Target="http://datos.gob.es/" TargetMode="External"/><Relationship Id="rId1192" Type="http://schemas.openxmlformats.org/officeDocument/2006/relationships/hyperlink" Target="http://datos.gob.es/" TargetMode="External"/><Relationship Id="rId1193" Type="http://schemas.openxmlformats.org/officeDocument/2006/relationships/hyperlink" Target="http://datos.gob.es/" TargetMode="External"/><Relationship Id="rId1194" Type="http://schemas.openxmlformats.org/officeDocument/2006/relationships/hyperlink" Target="http://datos.gob.es/" TargetMode="External"/><Relationship Id="rId1195" Type="http://schemas.openxmlformats.org/officeDocument/2006/relationships/hyperlink" Target="http://datos.gob.es/" TargetMode="External"/><Relationship Id="rId1196" Type="http://schemas.openxmlformats.org/officeDocument/2006/relationships/hyperlink" Target="http://datos.gob.es/" TargetMode="External"/><Relationship Id="rId1197" Type="http://schemas.openxmlformats.org/officeDocument/2006/relationships/hyperlink" Target="http://datos.gob.es/" TargetMode="External"/><Relationship Id="rId1198" Type="http://schemas.openxmlformats.org/officeDocument/2006/relationships/hyperlink" Target="http://datos.gob.es/" TargetMode="External"/><Relationship Id="rId1199" Type="http://schemas.openxmlformats.org/officeDocument/2006/relationships/hyperlink" Target="http://datos.gob.es/" TargetMode="External"/><Relationship Id="rId1200" Type="http://schemas.openxmlformats.org/officeDocument/2006/relationships/hyperlink" Target="http://datos.gob.es/" TargetMode="External"/><Relationship Id="rId1201" Type="http://schemas.openxmlformats.org/officeDocument/2006/relationships/hyperlink" Target="http://datos.gob.es/" TargetMode="External"/><Relationship Id="rId1202" Type="http://schemas.openxmlformats.org/officeDocument/2006/relationships/hyperlink" Target="http://datos.gob.es/" TargetMode="External"/><Relationship Id="rId1203" Type="http://schemas.openxmlformats.org/officeDocument/2006/relationships/hyperlink" Target="http://datos.gob.es/" TargetMode="External"/><Relationship Id="rId1204" Type="http://schemas.openxmlformats.org/officeDocument/2006/relationships/hyperlink" Target="http://datos.gob.es/" TargetMode="External"/><Relationship Id="rId1205" Type="http://schemas.openxmlformats.org/officeDocument/2006/relationships/hyperlink" Target="http://datos.gob.es/" TargetMode="External"/><Relationship Id="rId1206" Type="http://schemas.openxmlformats.org/officeDocument/2006/relationships/hyperlink" Target="http://datos.gob.es/" TargetMode="External"/><Relationship Id="rId1207" Type="http://schemas.openxmlformats.org/officeDocument/2006/relationships/hyperlink" Target="http://datos.gob.es/" TargetMode="External"/><Relationship Id="rId1208" Type="http://schemas.openxmlformats.org/officeDocument/2006/relationships/hyperlink" Target="http://datos.gob.es/" TargetMode="External"/><Relationship Id="rId1209" Type="http://schemas.openxmlformats.org/officeDocument/2006/relationships/hyperlink" Target="http://datos.gob.es/" TargetMode="External"/><Relationship Id="rId1210" Type="http://schemas.openxmlformats.org/officeDocument/2006/relationships/hyperlink" Target="http://datos.gob.es/" TargetMode="External"/><Relationship Id="rId1211" Type="http://schemas.openxmlformats.org/officeDocument/2006/relationships/hyperlink" Target="http://datos.gob.es/" TargetMode="External"/><Relationship Id="rId1212" Type="http://schemas.openxmlformats.org/officeDocument/2006/relationships/hyperlink" Target="http://datos.gob.es/" TargetMode="External"/><Relationship Id="rId1213" Type="http://schemas.openxmlformats.org/officeDocument/2006/relationships/hyperlink" Target="http://datos.gob.es/" TargetMode="External"/><Relationship Id="rId1214" Type="http://schemas.openxmlformats.org/officeDocument/2006/relationships/hyperlink" Target="http://datos.gob.es/" TargetMode="External"/><Relationship Id="rId1215" Type="http://schemas.openxmlformats.org/officeDocument/2006/relationships/hyperlink" Target="http://datos.gob.es/" TargetMode="External"/><Relationship Id="rId1216" Type="http://schemas.openxmlformats.org/officeDocument/2006/relationships/hyperlink" Target="http://datos.gob.es/" TargetMode="External"/><Relationship Id="rId1217" Type="http://schemas.openxmlformats.org/officeDocument/2006/relationships/hyperlink" Target="http://datos.gob.es/" TargetMode="External"/><Relationship Id="rId1218" Type="http://schemas.openxmlformats.org/officeDocument/2006/relationships/hyperlink" Target="http://datos.gob.es/" TargetMode="External"/><Relationship Id="rId1219" Type="http://schemas.openxmlformats.org/officeDocument/2006/relationships/hyperlink" Target="http://datos.gob.es/" TargetMode="External"/><Relationship Id="rId1220" Type="http://schemas.openxmlformats.org/officeDocument/2006/relationships/hyperlink" Target="http://datos.gob.es/" TargetMode="External"/><Relationship Id="rId1221" Type="http://schemas.openxmlformats.org/officeDocument/2006/relationships/hyperlink" Target="http://datos.gob.es/" TargetMode="External"/><Relationship Id="rId1222" Type="http://schemas.openxmlformats.org/officeDocument/2006/relationships/hyperlink" Target="http://datos.gob.es/" TargetMode="External"/><Relationship Id="rId1223" Type="http://schemas.openxmlformats.org/officeDocument/2006/relationships/hyperlink" Target="http://datos.gob.es/" TargetMode="External"/><Relationship Id="rId1224" Type="http://schemas.openxmlformats.org/officeDocument/2006/relationships/hyperlink" Target="http://datos.gob.es/" TargetMode="External"/><Relationship Id="rId1225" Type="http://schemas.openxmlformats.org/officeDocument/2006/relationships/hyperlink" Target="http://datos.gob.es/" TargetMode="External"/><Relationship Id="rId1226" Type="http://schemas.openxmlformats.org/officeDocument/2006/relationships/hyperlink" Target="http://datos.gob.es/" TargetMode="External"/><Relationship Id="rId1227" Type="http://schemas.openxmlformats.org/officeDocument/2006/relationships/hyperlink" Target="http://datos.gob.es/" TargetMode="External"/><Relationship Id="rId1228" Type="http://schemas.openxmlformats.org/officeDocument/2006/relationships/hyperlink" Target="http://datos.gob.es/" TargetMode="External"/><Relationship Id="rId1229" Type="http://schemas.openxmlformats.org/officeDocument/2006/relationships/hyperlink" Target="http://datos.gob.es/" TargetMode="External"/><Relationship Id="rId1230" Type="http://schemas.openxmlformats.org/officeDocument/2006/relationships/hyperlink" Target="http://datos.gob.es/" TargetMode="External"/><Relationship Id="rId1231" Type="http://schemas.openxmlformats.org/officeDocument/2006/relationships/hyperlink" Target="http://datos.gob.es/" TargetMode="External"/><Relationship Id="rId1232" Type="http://schemas.openxmlformats.org/officeDocument/2006/relationships/hyperlink" Target="http://datos.gob.es/" TargetMode="External"/><Relationship Id="rId1233" Type="http://schemas.openxmlformats.org/officeDocument/2006/relationships/hyperlink" Target="http://datos.gob.es/" TargetMode="External"/><Relationship Id="rId1234" Type="http://schemas.openxmlformats.org/officeDocument/2006/relationships/hyperlink" Target="http://datos.gob.es/" TargetMode="External"/><Relationship Id="rId1235" Type="http://schemas.openxmlformats.org/officeDocument/2006/relationships/hyperlink" Target="http://datos.gob.es/" TargetMode="External"/><Relationship Id="rId1236" Type="http://schemas.openxmlformats.org/officeDocument/2006/relationships/hyperlink" Target="http://datos.gob.es/" TargetMode="External"/><Relationship Id="rId1237" Type="http://schemas.openxmlformats.org/officeDocument/2006/relationships/hyperlink" Target="http://datos.gob.es/" TargetMode="External"/><Relationship Id="rId1238" Type="http://schemas.openxmlformats.org/officeDocument/2006/relationships/hyperlink" Target="http://datos.gob.es/" TargetMode="External"/><Relationship Id="rId1239" Type="http://schemas.openxmlformats.org/officeDocument/2006/relationships/hyperlink" Target="http://datos.gob.es/" TargetMode="External"/><Relationship Id="rId1240" Type="http://schemas.openxmlformats.org/officeDocument/2006/relationships/hyperlink" Target="http://datos.gob.es/" TargetMode="External"/><Relationship Id="rId1241" Type="http://schemas.openxmlformats.org/officeDocument/2006/relationships/hyperlink" Target="http://datos.gob.es/" TargetMode="External"/><Relationship Id="rId1242" Type="http://schemas.openxmlformats.org/officeDocument/2006/relationships/hyperlink" Target="http://datos.gob.es/" TargetMode="External"/><Relationship Id="rId1243" Type="http://schemas.openxmlformats.org/officeDocument/2006/relationships/hyperlink" Target="http://datos.gob.es/" TargetMode="External"/><Relationship Id="rId1244" Type="http://schemas.openxmlformats.org/officeDocument/2006/relationships/hyperlink" Target="http://datos.gob.es/" TargetMode="External"/><Relationship Id="rId1245" Type="http://schemas.openxmlformats.org/officeDocument/2006/relationships/hyperlink" Target="http://datos.gob.es/" TargetMode="External"/><Relationship Id="rId1246" Type="http://schemas.openxmlformats.org/officeDocument/2006/relationships/hyperlink" Target="http://datos.gob.es/" TargetMode="External"/><Relationship Id="rId1247" Type="http://schemas.openxmlformats.org/officeDocument/2006/relationships/hyperlink" Target="http://datos.gob.es/" TargetMode="External"/><Relationship Id="rId1248" Type="http://schemas.openxmlformats.org/officeDocument/2006/relationships/hyperlink" Target="http://datos.gob.es/" TargetMode="External"/><Relationship Id="rId1249" Type="http://schemas.openxmlformats.org/officeDocument/2006/relationships/hyperlink" Target="http://datos.gob.es/" TargetMode="External"/><Relationship Id="rId1250" Type="http://schemas.openxmlformats.org/officeDocument/2006/relationships/hyperlink" Target="http://datos.gob.es/" TargetMode="External"/><Relationship Id="rId1251" Type="http://schemas.openxmlformats.org/officeDocument/2006/relationships/hyperlink" Target="http://datos.gob.es/" TargetMode="External"/><Relationship Id="rId1252" Type="http://schemas.openxmlformats.org/officeDocument/2006/relationships/hyperlink" Target="http://datos.gob.es/" TargetMode="External"/><Relationship Id="rId1253" Type="http://schemas.openxmlformats.org/officeDocument/2006/relationships/hyperlink" Target="http://datos.gob.es/" TargetMode="External"/><Relationship Id="rId1254" Type="http://schemas.openxmlformats.org/officeDocument/2006/relationships/hyperlink" Target="http://datos.gob.es/" TargetMode="External"/><Relationship Id="rId1255" Type="http://schemas.openxmlformats.org/officeDocument/2006/relationships/hyperlink" Target="http://datos.gob.es/" TargetMode="External"/><Relationship Id="rId1256" Type="http://schemas.openxmlformats.org/officeDocument/2006/relationships/hyperlink" Target="http://datos.gob.es/" TargetMode="External"/><Relationship Id="rId1257" Type="http://schemas.openxmlformats.org/officeDocument/2006/relationships/hyperlink" Target="http://datos.gob.es/" TargetMode="External"/><Relationship Id="rId1258" Type="http://schemas.openxmlformats.org/officeDocument/2006/relationships/hyperlink" Target="http://datos.gob.es/" TargetMode="External"/><Relationship Id="rId1259" Type="http://schemas.openxmlformats.org/officeDocument/2006/relationships/hyperlink" Target="http://datos.gob.es/" TargetMode="External"/><Relationship Id="rId1260" Type="http://schemas.openxmlformats.org/officeDocument/2006/relationships/hyperlink" Target="http://datos.gob.es/" TargetMode="External"/><Relationship Id="rId1261" Type="http://schemas.openxmlformats.org/officeDocument/2006/relationships/hyperlink" Target="http://datos.gob.es/" TargetMode="External"/><Relationship Id="rId1262" Type="http://schemas.openxmlformats.org/officeDocument/2006/relationships/hyperlink" Target="http://datos.gob.es/" TargetMode="External"/><Relationship Id="rId1263" Type="http://schemas.openxmlformats.org/officeDocument/2006/relationships/hyperlink" Target="http://datos.gob.es/" TargetMode="External"/><Relationship Id="rId1264" Type="http://schemas.openxmlformats.org/officeDocument/2006/relationships/hyperlink" Target="http://datos.gob.es/" TargetMode="External"/><Relationship Id="rId1265" Type="http://schemas.openxmlformats.org/officeDocument/2006/relationships/hyperlink" Target="http://datos.gob.es/" TargetMode="External"/><Relationship Id="rId1266" Type="http://schemas.openxmlformats.org/officeDocument/2006/relationships/hyperlink" Target="http://datos.gob.es/" TargetMode="External"/><Relationship Id="rId1267" Type="http://schemas.openxmlformats.org/officeDocument/2006/relationships/hyperlink" Target="http://datos.gob.es/" TargetMode="External"/><Relationship Id="rId1268" Type="http://schemas.openxmlformats.org/officeDocument/2006/relationships/hyperlink" Target="http://datos.gob.es/" TargetMode="External"/><Relationship Id="rId1269" Type="http://schemas.openxmlformats.org/officeDocument/2006/relationships/hyperlink" Target="http://datos.gob.es/" TargetMode="External"/><Relationship Id="rId1270" Type="http://schemas.openxmlformats.org/officeDocument/2006/relationships/hyperlink" Target="http://datos.gob.es/" TargetMode="External"/><Relationship Id="rId1271" Type="http://schemas.openxmlformats.org/officeDocument/2006/relationships/hyperlink" Target="http://datos.gob.es/" TargetMode="External"/><Relationship Id="rId1272" Type="http://schemas.openxmlformats.org/officeDocument/2006/relationships/hyperlink" Target="http://datos.gob.es/" TargetMode="External"/><Relationship Id="rId1273" Type="http://schemas.openxmlformats.org/officeDocument/2006/relationships/hyperlink" Target="http://datos.gob.es/" TargetMode="External"/><Relationship Id="rId1274" Type="http://schemas.openxmlformats.org/officeDocument/2006/relationships/hyperlink" Target="http://datos.gob.es/" TargetMode="External"/><Relationship Id="rId1275" Type="http://schemas.openxmlformats.org/officeDocument/2006/relationships/hyperlink" Target="http://datos.gob.es/" TargetMode="External"/><Relationship Id="rId1276" Type="http://schemas.openxmlformats.org/officeDocument/2006/relationships/hyperlink" Target="http://datos.gob.es/" TargetMode="External"/><Relationship Id="rId1277" Type="http://schemas.openxmlformats.org/officeDocument/2006/relationships/hyperlink" Target="http://datos.gob.es/" TargetMode="External"/><Relationship Id="rId1278" Type="http://schemas.openxmlformats.org/officeDocument/2006/relationships/hyperlink" Target="http://datos.gob.es/" TargetMode="External"/><Relationship Id="rId1279" Type="http://schemas.openxmlformats.org/officeDocument/2006/relationships/hyperlink" Target="http://datos.gob.es/" TargetMode="External"/><Relationship Id="rId1280" Type="http://schemas.openxmlformats.org/officeDocument/2006/relationships/hyperlink" Target="http://datos.gob.es/" TargetMode="External"/><Relationship Id="rId1281" Type="http://schemas.openxmlformats.org/officeDocument/2006/relationships/hyperlink" Target="http://datos.gob.es/" TargetMode="External"/><Relationship Id="rId1282" Type="http://schemas.openxmlformats.org/officeDocument/2006/relationships/hyperlink" Target="http://datos.gob.es/" TargetMode="External"/><Relationship Id="rId1283" Type="http://schemas.openxmlformats.org/officeDocument/2006/relationships/hyperlink" Target="http://datos.gob.es/" TargetMode="External"/><Relationship Id="rId1284" Type="http://schemas.openxmlformats.org/officeDocument/2006/relationships/hyperlink" Target="http://datos.gob.es/" TargetMode="External"/><Relationship Id="rId1285" Type="http://schemas.openxmlformats.org/officeDocument/2006/relationships/hyperlink" Target="http://datos.gob.es/" TargetMode="External"/><Relationship Id="rId1286" Type="http://schemas.openxmlformats.org/officeDocument/2006/relationships/hyperlink" Target="http://datos.gob.es/" TargetMode="External"/><Relationship Id="rId1287" Type="http://schemas.openxmlformats.org/officeDocument/2006/relationships/hyperlink" Target="http://datos.gob.es/" TargetMode="External"/><Relationship Id="rId1288" Type="http://schemas.openxmlformats.org/officeDocument/2006/relationships/hyperlink" Target="http://datos.gob.es/" TargetMode="External"/><Relationship Id="rId1289" Type="http://schemas.openxmlformats.org/officeDocument/2006/relationships/hyperlink" Target="http://datos.gob.es/" TargetMode="External"/><Relationship Id="rId1290" Type="http://schemas.openxmlformats.org/officeDocument/2006/relationships/hyperlink" Target="http://datos.gob.es/" TargetMode="External"/><Relationship Id="rId1291" Type="http://schemas.openxmlformats.org/officeDocument/2006/relationships/hyperlink" Target="http://datos.gob.es/" TargetMode="External"/><Relationship Id="rId1292" Type="http://schemas.openxmlformats.org/officeDocument/2006/relationships/hyperlink" Target="http://datos.gob.es/" TargetMode="External"/><Relationship Id="rId1293" Type="http://schemas.openxmlformats.org/officeDocument/2006/relationships/hyperlink" Target="http://datos.gob.es/" TargetMode="External"/><Relationship Id="rId1294" Type="http://schemas.openxmlformats.org/officeDocument/2006/relationships/hyperlink" Target="http://datos.gob.es/" TargetMode="External"/><Relationship Id="rId1295" Type="http://schemas.openxmlformats.org/officeDocument/2006/relationships/hyperlink" Target="http://datos.gob.es/" TargetMode="External"/><Relationship Id="rId1296" Type="http://schemas.openxmlformats.org/officeDocument/2006/relationships/hyperlink" Target="http://datos.gob.es/" TargetMode="External"/><Relationship Id="rId1297" Type="http://schemas.openxmlformats.org/officeDocument/2006/relationships/hyperlink" Target="http://datos.gob.es/" TargetMode="External"/><Relationship Id="rId1298" Type="http://schemas.openxmlformats.org/officeDocument/2006/relationships/hyperlink" Target="http://datos.gob.es/" TargetMode="External"/><Relationship Id="rId1299" Type="http://schemas.openxmlformats.org/officeDocument/2006/relationships/hyperlink" Target="http://datos.gob.es/" TargetMode="External"/><Relationship Id="rId1300" Type="http://schemas.openxmlformats.org/officeDocument/2006/relationships/hyperlink" Target="http://datos.gob.es/" TargetMode="External"/><Relationship Id="rId1301" Type="http://schemas.openxmlformats.org/officeDocument/2006/relationships/hyperlink" Target="http://datos.gob.es/" TargetMode="External"/><Relationship Id="rId1302" Type="http://schemas.openxmlformats.org/officeDocument/2006/relationships/hyperlink" Target="http://datos.gob.es/" TargetMode="External"/><Relationship Id="rId1303" Type="http://schemas.openxmlformats.org/officeDocument/2006/relationships/hyperlink" Target="http://datos.gob.es/" TargetMode="External"/><Relationship Id="rId1304" Type="http://schemas.openxmlformats.org/officeDocument/2006/relationships/hyperlink" Target="http://datos.gob.es/" TargetMode="External"/><Relationship Id="rId1305" Type="http://schemas.openxmlformats.org/officeDocument/2006/relationships/hyperlink" Target="http://datos.gob.es/" TargetMode="External"/><Relationship Id="rId1306" Type="http://schemas.openxmlformats.org/officeDocument/2006/relationships/hyperlink" Target="http://datos.gob.es/" TargetMode="External"/><Relationship Id="rId1307" Type="http://schemas.openxmlformats.org/officeDocument/2006/relationships/hyperlink" Target="http://datos.gob.es/" TargetMode="External"/><Relationship Id="rId1308" Type="http://schemas.openxmlformats.org/officeDocument/2006/relationships/hyperlink" Target="http://datos.gob.es/" TargetMode="External"/><Relationship Id="rId1309" Type="http://schemas.openxmlformats.org/officeDocument/2006/relationships/hyperlink" Target="http://datos.gob.es/" TargetMode="External"/><Relationship Id="rId1310" Type="http://schemas.openxmlformats.org/officeDocument/2006/relationships/hyperlink" Target="http://datos.gob.es/" TargetMode="External"/><Relationship Id="rId1311" Type="http://schemas.openxmlformats.org/officeDocument/2006/relationships/hyperlink" Target="http://datos.gob.es/" TargetMode="External"/><Relationship Id="rId1312" Type="http://schemas.openxmlformats.org/officeDocument/2006/relationships/hyperlink" Target="http://datos.gob.es/" TargetMode="External"/><Relationship Id="rId1313" Type="http://schemas.openxmlformats.org/officeDocument/2006/relationships/hyperlink" Target="http://datos.gob.es/" TargetMode="External"/><Relationship Id="rId1314" Type="http://schemas.openxmlformats.org/officeDocument/2006/relationships/hyperlink" Target="http://datos.gob.es/" TargetMode="External"/><Relationship Id="rId1315" Type="http://schemas.openxmlformats.org/officeDocument/2006/relationships/hyperlink" Target="http://datos.gob.es/" TargetMode="External"/><Relationship Id="rId1316" Type="http://schemas.openxmlformats.org/officeDocument/2006/relationships/hyperlink" Target="http://datos.gob.es/" TargetMode="External"/><Relationship Id="rId1317" Type="http://schemas.openxmlformats.org/officeDocument/2006/relationships/hyperlink" Target="http://datos.gob.es/" TargetMode="External"/><Relationship Id="rId1318" Type="http://schemas.openxmlformats.org/officeDocument/2006/relationships/hyperlink" Target="http://datos.gob.es/" TargetMode="External"/><Relationship Id="rId1319" Type="http://schemas.openxmlformats.org/officeDocument/2006/relationships/hyperlink" Target="http://datos.gob.es/" TargetMode="External"/><Relationship Id="rId1320" Type="http://schemas.openxmlformats.org/officeDocument/2006/relationships/hyperlink" Target="http://datos.gob.es/" TargetMode="External"/><Relationship Id="rId1321" Type="http://schemas.openxmlformats.org/officeDocument/2006/relationships/hyperlink" Target="http://datos.gob.es/" TargetMode="External"/><Relationship Id="rId1322" Type="http://schemas.openxmlformats.org/officeDocument/2006/relationships/hyperlink" Target="http://datos.gob.es/" TargetMode="External"/><Relationship Id="rId1323" Type="http://schemas.openxmlformats.org/officeDocument/2006/relationships/hyperlink" Target="http://datos.gob.es/" TargetMode="External"/><Relationship Id="rId1324" Type="http://schemas.openxmlformats.org/officeDocument/2006/relationships/hyperlink" Target="http://datos.gob.es/" TargetMode="External"/><Relationship Id="rId1325" Type="http://schemas.openxmlformats.org/officeDocument/2006/relationships/hyperlink" Target="http://datos.gob.es/" TargetMode="External"/><Relationship Id="rId1326" Type="http://schemas.openxmlformats.org/officeDocument/2006/relationships/hyperlink" Target="http://datos.gob.es/" TargetMode="External"/><Relationship Id="rId1327" Type="http://schemas.openxmlformats.org/officeDocument/2006/relationships/hyperlink" Target="http://datos.gob.es/" TargetMode="External"/><Relationship Id="rId1328" Type="http://schemas.openxmlformats.org/officeDocument/2006/relationships/hyperlink" Target="http://datos.gob.es/" TargetMode="External"/><Relationship Id="rId1329" Type="http://schemas.openxmlformats.org/officeDocument/2006/relationships/hyperlink" Target="http://datos.gob.es/" TargetMode="External"/><Relationship Id="rId1330" Type="http://schemas.openxmlformats.org/officeDocument/2006/relationships/hyperlink" Target="http://datos.gob.es/" TargetMode="External"/><Relationship Id="rId1331" Type="http://schemas.openxmlformats.org/officeDocument/2006/relationships/hyperlink" Target="http://datos.gob.es/" TargetMode="External"/><Relationship Id="rId1332" Type="http://schemas.openxmlformats.org/officeDocument/2006/relationships/hyperlink" Target="http://datos.gob.es/" TargetMode="External"/><Relationship Id="rId1333" Type="http://schemas.openxmlformats.org/officeDocument/2006/relationships/hyperlink" Target="http://datos.gob.es/" TargetMode="External"/><Relationship Id="rId1334" Type="http://schemas.openxmlformats.org/officeDocument/2006/relationships/hyperlink" Target="http://datos.gob.es/" TargetMode="External"/><Relationship Id="rId1335" Type="http://schemas.openxmlformats.org/officeDocument/2006/relationships/hyperlink" Target="http://datos.gob.es/" TargetMode="External"/><Relationship Id="rId1336" Type="http://schemas.openxmlformats.org/officeDocument/2006/relationships/hyperlink" Target="http://datos.gob.es/" TargetMode="External"/><Relationship Id="rId1337" Type="http://schemas.openxmlformats.org/officeDocument/2006/relationships/hyperlink" Target="http://datos.gob.es/" TargetMode="External"/><Relationship Id="rId1338" Type="http://schemas.openxmlformats.org/officeDocument/2006/relationships/hyperlink" Target="http://datos.gob.es/" TargetMode="External"/><Relationship Id="rId1339" Type="http://schemas.openxmlformats.org/officeDocument/2006/relationships/hyperlink" Target="http://datos.gob.es/" TargetMode="External"/><Relationship Id="rId1340" Type="http://schemas.openxmlformats.org/officeDocument/2006/relationships/hyperlink" Target="http://datos.gob.es/" TargetMode="External"/><Relationship Id="rId1341" Type="http://schemas.openxmlformats.org/officeDocument/2006/relationships/hyperlink" Target="http://datos.gob.es/" TargetMode="External"/><Relationship Id="rId1342" Type="http://schemas.openxmlformats.org/officeDocument/2006/relationships/hyperlink" Target="http://datos.gob.es/" TargetMode="External"/><Relationship Id="rId1343" Type="http://schemas.openxmlformats.org/officeDocument/2006/relationships/hyperlink" Target="http://datos.gob.es/" TargetMode="External"/><Relationship Id="rId1344" Type="http://schemas.openxmlformats.org/officeDocument/2006/relationships/hyperlink" Target="http://datos.gob.es/" TargetMode="External"/><Relationship Id="rId1345" Type="http://schemas.openxmlformats.org/officeDocument/2006/relationships/hyperlink" Target="http://datos.gob.es/" TargetMode="External"/><Relationship Id="rId1346" Type="http://schemas.openxmlformats.org/officeDocument/2006/relationships/hyperlink" Target="http://datos.gob.es/" TargetMode="External"/><Relationship Id="rId1347" Type="http://schemas.openxmlformats.org/officeDocument/2006/relationships/hyperlink" Target="http://datos.gob.es/" TargetMode="External"/><Relationship Id="rId1348" Type="http://schemas.openxmlformats.org/officeDocument/2006/relationships/hyperlink" Target="http://datos.gob.es/" TargetMode="External"/><Relationship Id="rId1349" Type="http://schemas.openxmlformats.org/officeDocument/2006/relationships/hyperlink" Target="http://datos.gob.es/" TargetMode="External"/><Relationship Id="rId1350" Type="http://schemas.openxmlformats.org/officeDocument/2006/relationships/hyperlink" Target="http://datos.gob.es/" TargetMode="External"/><Relationship Id="rId1351" Type="http://schemas.openxmlformats.org/officeDocument/2006/relationships/hyperlink" Target="http://datos.gob.es/" TargetMode="External"/><Relationship Id="rId1352" Type="http://schemas.openxmlformats.org/officeDocument/2006/relationships/hyperlink" Target="http://datos.gob.es/" TargetMode="External"/><Relationship Id="rId1353" Type="http://schemas.openxmlformats.org/officeDocument/2006/relationships/hyperlink" Target="http://datos.gob.es/" TargetMode="External"/><Relationship Id="rId1354" Type="http://schemas.openxmlformats.org/officeDocument/2006/relationships/hyperlink" Target="http://datos.gob.es/" TargetMode="External"/><Relationship Id="rId1355" Type="http://schemas.openxmlformats.org/officeDocument/2006/relationships/hyperlink" Target="http://datos.gob.es/" TargetMode="External"/><Relationship Id="rId1356" Type="http://schemas.openxmlformats.org/officeDocument/2006/relationships/hyperlink" Target="http://datos.gob.es/" TargetMode="External"/><Relationship Id="rId1357" Type="http://schemas.openxmlformats.org/officeDocument/2006/relationships/hyperlink" Target="http://datos.gob.es/" TargetMode="External"/><Relationship Id="rId1358" Type="http://schemas.openxmlformats.org/officeDocument/2006/relationships/hyperlink" Target="http://datos.gob.es/" TargetMode="External"/><Relationship Id="rId1359" Type="http://schemas.openxmlformats.org/officeDocument/2006/relationships/hyperlink" Target="http://datos.gob.es/" TargetMode="External"/><Relationship Id="rId1360" Type="http://schemas.openxmlformats.org/officeDocument/2006/relationships/hyperlink" Target="http://datos.gob.es/" TargetMode="External"/><Relationship Id="rId1361" Type="http://schemas.openxmlformats.org/officeDocument/2006/relationships/hyperlink" Target="http://datos.gob.es/" TargetMode="External"/><Relationship Id="rId1362" Type="http://schemas.openxmlformats.org/officeDocument/2006/relationships/hyperlink" Target="http://datos.gob.es/" TargetMode="External"/><Relationship Id="rId1363" Type="http://schemas.openxmlformats.org/officeDocument/2006/relationships/hyperlink" Target="http://datos.gob.es/" TargetMode="External"/><Relationship Id="rId1364" Type="http://schemas.openxmlformats.org/officeDocument/2006/relationships/hyperlink" Target="http://datos.gob.es/" TargetMode="External"/><Relationship Id="rId1365" Type="http://schemas.openxmlformats.org/officeDocument/2006/relationships/hyperlink" Target="http://datos.gob.es/" TargetMode="External"/><Relationship Id="rId1366" Type="http://schemas.openxmlformats.org/officeDocument/2006/relationships/hyperlink" Target="http://datos.gob.es/" TargetMode="External"/><Relationship Id="rId1367" Type="http://schemas.openxmlformats.org/officeDocument/2006/relationships/hyperlink" Target="http://datos.gob.es/" TargetMode="External"/><Relationship Id="rId1368" Type="http://schemas.openxmlformats.org/officeDocument/2006/relationships/hyperlink" Target="http://datos.gob.es/" TargetMode="External"/><Relationship Id="rId1369" Type="http://schemas.openxmlformats.org/officeDocument/2006/relationships/hyperlink" Target="http://datos.gob.es/" TargetMode="External"/><Relationship Id="rId1370" Type="http://schemas.openxmlformats.org/officeDocument/2006/relationships/hyperlink" Target="http://datos.gob.es/" TargetMode="External"/><Relationship Id="rId1371" Type="http://schemas.openxmlformats.org/officeDocument/2006/relationships/hyperlink" Target="http://datos.gob.es/" TargetMode="External"/><Relationship Id="rId1372" Type="http://schemas.openxmlformats.org/officeDocument/2006/relationships/hyperlink" Target="http://datos.gob.es/" TargetMode="External"/><Relationship Id="rId1373" Type="http://schemas.openxmlformats.org/officeDocument/2006/relationships/hyperlink" Target="http://datos.gob.es/" TargetMode="External"/><Relationship Id="rId1374" Type="http://schemas.openxmlformats.org/officeDocument/2006/relationships/hyperlink" Target="http://datos.gob.es/" TargetMode="External"/><Relationship Id="rId1375" Type="http://schemas.openxmlformats.org/officeDocument/2006/relationships/hyperlink" Target="http://datos.gob.es/" TargetMode="External"/><Relationship Id="rId1376" Type="http://schemas.openxmlformats.org/officeDocument/2006/relationships/hyperlink" Target="http://datos.gob.es/" TargetMode="External"/><Relationship Id="rId1377" Type="http://schemas.openxmlformats.org/officeDocument/2006/relationships/hyperlink" Target="http://datos.gob.es/" TargetMode="External"/><Relationship Id="rId1378" Type="http://schemas.openxmlformats.org/officeDocument/2006/relationships/hyperlink" Target="http://datos.gob.es/" TargetMode="External"/><Relationship Id="rId1379" Type="http://schemas.openxmlformats.org/officeDocument/2006/relationships/hyperlink" Target="http://datos.gob.es/" TargetMode="External"/><Relationship Id="rId1380" Type="http://schemas.openxmlformats.org/officeDocument/2006/relationships/hyperlink" Target="http://datos.gob.es/" TargetMode="External"/><Relationship Id="rId1381" Type="http://schemas.openxmlformats.org/officeDocument/2006/relationships/hyperlink" Target="http://datos.gob.es/" TargetMode="External"/><Relationship Id="rId1382" Type="http://schemas.openxmlformats.org/officeDocument/2006/relationships/hyperlink" Target="http://datos.gob.es/" TargetMode="External"/><Relationship Id="rId1383" Type="http://schemas.openxmlformats.org/officeDocument/2006/relationships/hyperlink" Target="http://datos.gob.es/" TargetMode="External"/><Relationship Id="rId1384" Type="http://schemas.openxmlformats.org/officeDocument/2006/relationships/hyperlink" Target="http://datos.gob.es/" TargetMode="External"/><Relationship Id="rId1385" Type="http://schemas.openxmlformats.org/officeDocument/2006/relationships/hyperlink" Target="http://datos.gob.es/" TargetMode="External"/><Relationship Id="rId1386" Type="http://schemas.openxmlformats.org/officeDocument/2006/relationships/hyperlink" Target="http://datos.gob.es/" TargetMode="External"/><Relationship Id="rId1387" Type="http://schemas.openxmlformats.org/officeDocument/2006/relationships/hyperlink" Target="http://datos.gob.es/" TargetMode="External"/><Relationship Id="rId1388" Type="http://schemas.openxmlformats.org/officeDocument/2006/relationships/hyperlink" Target="http://datos.gob.es/" TargetMode="External"/><Relationship Id="rId1389" Type="http://schemas.openxmlformats.org/officeDocument/2006/relationships/hyperlink" Target="http://datos.gob.es/" TargetMode="External"/><Relationship Id="rId1390" Type="http://schemas.openxmlformats.org/officeDocument/2006/relationships/hyperlink" Target="http://datos.gob.es/" TargetMode="External"/><Relationship Id="rId1391" Type="http://schemas.openxmlformats.org/officeDocument/2006/relationships/hyperlink" Target="http://datos.gob.es/" TargetMode="External"/><Relationship Id="rId1392" Type="http://schemas.openxmlformats.org/officeDocument/2006/relationships/hyperlink" Target="http://datos.gob.es/" TargetMode="External"/><Relationship Id="rId1393" Type="http://schemas.openxmlformats.org/officeDocument/2006/relationships/hyperlink" Target="http://datos.gob.es/" TargetMode="External"/><Relationship Id="rId1394" Type="http://schemas.openxmlformats.org/officeDocument/2006/relationships/hyperlink" Target="http://datos.gob.es/" TargetMode="External"/><Relationship Id="rId1395" Type="http://schemas.openxmlformats.org/officeDocument/2006/relationships/hyperlink" Target="http://datos.gob.es/" TargetMode="External"/><Relationship Id="rId1396" Type="http://schemas.openxmlformats.org/officeDocument/2006/relationships/hyperlink" Target="http://datos.gob.es/" TargetMode="External"/><Relationship Id="rId1397" Type="http://schemas.openxmlformats.org/officeDocument/2006/relationships/hyperlink" Target="http://datos.gob.es/" TargetMode="External"/><Relationship Id="rId1398" Type="http://schemas.openxmlformats.org/officeDocument/2006/relationships/hyperlink" Target="http://datos.gob.es/" TargetMode="External"/><Relationship Id="rId1399" Type="http://schemas.openxmlformats.org/officeDocument/2006/relationships/hyperlink" Target="http://datos.gob.es/" TargetMode="External"/><Relationship Id="rId1400" Type="http://schemas.openxmlformats.org/officeDocument/2006/relationships/hyperlink" Target="http://datos.gob.es/" TargetMode="External"/><Relationship Id="rId1401" Type="http://schemas.openxmlformats.org/officeDocument/2006/relationships/hyperlink" Target="http://datos.gob.es/" TargetMode="External"/><Relationship Id="rId1402" Type="http://schemas.openxmlformats.org/officeDocument/2006/relationships/hyperlink" Target="http://datos.gob.es/" TargetMode="External"/><Relationship Id="rId1403" Type="http://schemas.openxmlformats.org/officeDocument/2006/relationships/hyperlink" Target="http://datos.gob.es/" TargetMode="External"/><Relationship Id="rId1404" Type="http://schemas.openxmlformats.org/officeDocument/2006/relationships/hyperlink" Target="http://datos.gob.es/" TargetMode="External"/><Relationship Id="rId1405" Type="http://schemas.openxmlformats.org/officeDocument/2006/relationships/hyperlink" Target="http://datos.gob.es/" TargetMode="External"/><Relationship Id="rId1406" Type="http://schemas.openxmlformats.org/officeDocument/2006/relationships/hyperlink" Target="http://datos.gob.es/" TargetMode="External"/><Relationship Id="rId1407" Type="http://schemas.openxmlformats.org/officeDocument/2006/relationships/hyperlink" Target="http://datos.gob.es/" TargetMode="External"/><Relationship Id="rId1408" Type="http://schemas.openxmlformats.org/officeDocument/2006/relationships/hyperlink" Target="http://datos.gob.es/" TargetMode="External"/><Relationship Id="rId1409" Type="http://schemas.openxmlformats.org/officeDocument/2006/relationships/hyperlink" Target="http://datos.gob.es/" TargetMode="External"/><Relationship Id="rId1410" Type="http://schemas.openxmlformats.org/officeDocument/2006/relationships/hyperlink" Target="http://datos.gob.es/" TargetMode="External"/><Relationship Id="rId1411" Type="http://schemas.openxmlformats.org/officeDocument/2006/relationships/hyperlink" Target="http://datos.gob.es/" TargetMode="External"/><Relationship Id="rId1412" Type="http://schemas.openxmlformats.org/officeDocument/2006/relationships/hyperlink" Target="http://datos.gob.es/" TargetMode="External"/><Relationship Id="rId1413" Type="http://schemas.openxmlformats.org/officeDocument/2006/relationships/hyperlink" Target="http://datos.gob.es/" TargetMode="External"/><Relationship Id="rId1414" Type="http://schemas.openxmlformats.org/officeDocument/2006/relationships/hyperlink" Target="http://datos.gob.es/" TargetMode="External"/><Relationship Id="rId1415" Type="http://schemas.openxmlformats.org/officeDocument/2006/relationships/hyperlink" Target="http://datos.gob.es/" TargetMode="External"/><Relationship Id="rId1416" Type="http://schemas.openxmlformats.org/officeDocument/2006/relationships/hyperlink" Target="http://datos.gob.es/" TargetMode="External"/><Relationship Id="rId1417" Type="http://schemas.openxmlformats.org/officeDocument/2006/relationships/hyperlink" Target="http://datos.gob.es/" TargetMode="External"/><Relationship Id="rId1418" Type="http://schemas.openxmlformats.org/officeDocument/2006/relationships/hyperlink" Target="http://datos.gob.es/" TargetMode="External"/><Relationship Id="rId1419" Type="http://schemas.openxmlformats.org/officeDocument/2006/relationships/hyperlink" Target="http://datos.gob.es/" TargetMode="External"/><Relationship Id="rId1420" Type="http://schemas.openxmlformats.org/officeDocument/2006/relationships/hyperlink" Target="http://datos.gob.es/" TargetMode="External"/><Relationship Id="rId1421" Type="http://schemas.openxmlformats.org/officeDocument/2006/relationships/hyperlink" Target="http://datos.gob.es/" TargetMode="External"/><Relationship Id="rId1422" Type="http://schemas.openxmlformats.org/officeDocument/2006/relationships/hyperlink" Target="http://datos.gob.es/" TargetMode="External"/><Relationship Id="rId1423" Type="http://schemas.openxmlformats.org/officeDocument/2006/relationships/hyperlink" Target="http://datos.gob.es/" TargetMode="External"/><Relationship Id="rId1424" Type="http://schemas.openxmlformats.org/officeDocument/2006/relationships/hyperlink" Target="http://datos.gob.es/" TargetMode="External"/><Relationship Id="rId1425" Type="http://schemas.openxmlformats.org/officeDocument/2006/relationships/hyperlink" Target="http://datos.gob.es/" TargetMode="External"/><Relationship Id="rId1426" Type="http://schemas.openxmlformats.org/officeDocument/2006/relationships/hyperlink" Target="http://datos.gob.es/" TargetMode="External"/><Relationship Id="rId1427" Type="http://schemas.openxmlformats.org/officeDocument/2006/relationships/hyperlink" Target="http://datos.gob.es/" TargetMode="External"/><Relationship Id="rId1428" Type="http://schemas.openxmlformats.org/officeDocument/2006/relationships/hyperlink" Target="http://datos.gob.es/" TargetMode="External"/><Relationship Id="rId1429" Type="http://schemas.openxmlformats.org/officeDocument/2006/relationships/hyperlink" Target="http://datos.gob.es/" TargetMode="External"/><Relationship Id="rId1430" Type="http://schemas.openxmlformats.org/officeDocument/2006/relationships/hyperlink" Target="http://datos.gob.es/" TargetMode="External"/><Relationship Id="rId1431" Type="http://schemas.openxmlformats.org/officeDocument/2006/relationships/hyperlink" Target="http://datos.gob.es/" TargetMode="External"/><Relationship Id="rId1432" Type="http://schemas.openxmlformats.org/officeDocument/2006/relationships/hyperlink" Target="http://www.vasmajetek.cz/" TargetMode="External"/><Relationship Id="rId1433" Type="http://schemas.openxmlformats.org/officeDocument/2006/relationships/hyperlink" Target="http://www.opendata.cz/en/node/23" TargetMode="External"/><Relationship Id="rId1434" Type="http://schemas.openxmlformats.org/officeDocument/2006/relationships/hyperlink" Target="http://www.opendata.cz/en/node/23" TargetMode="External"/><Relationship Id="rId1435" Type="http://schemas.openxmlformats.org/officeDocument/2006/relationships/hyperlink" Target="http://chequeado.com/acerca-de-la-fundacion/" TargetMode="External"/><Relationship Id="rId1436" Type="http://schemas.openxmlformats.org/officeDocument/2006/relationships/hyperlink" Target="http://www.fugro.com/" TargetMode="External"/><Relationship Id="rId1437" Type="http://schemas.openxmlformats.org/officeDocument/2006/relationships/hyperlink" Target="https://www.stedin.net/" TargetMode="External"/><Relationship Id="rId1438" Type="http://schemas.openxmlformats.org/officeDocument/2006/relationships/hyperlink" Target="http://www.communityenergymanager.org/" TargetMode="External"/><Relationship Id="rId1439" Type="http://schemas.openxmlformats.org/officeDocument/2006/relationships/hyperlink" Target="http://www.epsiplatform.eu/content/community-energy-manager-save-communities-thousands-pounds-through-open-data-0" TargetMode="External"/><Relationship Id="rId1440" Type="http://schemas.openxmlformats.org/officeDocument/2006/relationships/hyperlink" Target="https://www.achmea.nl/" TargetMode="External"/><Relationship Id="rId1441" Type="http://schemas.openxmlformats.org/officeDocument/2006/relationships/hyperlink" Target="http://blindsquare.com/" TargetMode="External"/><Relationship Id="rId1442" Type="http://schemas.openxmlformats.org/officeDocument/2006/relationships/hyperlink" Target="http://www.epsiplatform.eu/content/how-data-driven-app-blind-visually-impaired-grew-international-business-0" TargetMode="External"/><Relationship Id="rId1443" Type="http://schemas.openxmlformats.org/officeDocument/2006/relationships/hyperlink" Target="http://www.philips.nl/" TargetMode="External"/><Relationship Id="rId1444" Type="http://schemas.openxmlformats.org/officeDocument/2006/relationships/hyperlink" Target="https://www.akzonobel.com/" TargetMode="External"/><Relationship Id="rId1445" Type="http://schemas.openxmlformats.org/officeDocument/2006/relationships/hyperlink" Target="http://www.cargill.com/" TargetMode="External"/><Relationship Id="rId1446" Type="http://schemas.openxmlformats.org/officeDocument/2006/relationships/hyperlink" Target="http://www.theheinekencompany.com/" TargetMode="External"/><Relationship Id="rId1447" Type="http://schemas.openxmlformats.org/officeDocument/2006/relationships/hyperlink" Target="http://www.frieslandcampina.com/" TargetMode="External"/><Relationship Id="rId1448" Type="http://schemas.openxmlformats.org/officeDocument/2006/relationships/hyperlink" Target="http://www.bingthomarchitects.com/" TargetMode="External"/><Relationship Id="rId1449" Type="http://schemas.openxmlformats.org/officeDocument/2006/relationships/hyperlink" Target="http://www.bcbusiness.ca/your-business/the-difference-data-makes" TargetMode="External"/><Relationship Id="rId1450" Type="http://schemas.openxmlformats.org/officeDocument/2006/relationships/hyperlink" Target="https://www.digitalglobe.com/" TargetMode="External"/><Relationship Id="rId1451" Type="http://schemas.openxmlformats.org/officeDocument/2006/relationships/hyperlink" Target="http://www.tomnod.com/campaign/nepal_earthquake_2015/map/3gox33y7" TargetMode="External"/><Relationship Id="rId1452" Type="http://schemas.openxmlformats.org/officeDocument/2006/relationships/hyperlink" Target="http://www.sonagroup.com/" TargetMode="External"/><Relationship Id="rId1453" Type="http://schemas.openxmlformats.org/officeDocument/2006/relationships/hyperlink" Target="https://recollect.net/" TargetMode="External"/><Relationship Id="rId1454" Type="http://schemas.openxmlformats.org/officeDocument/2006/relationships/hyperlink" Target="http://www.bcbusiness.ca/your-business/the-difference-data-makes" TargetMode="External"/><Relationship Id="rId1455" Type="http://schemas.openxmlformats.org/officeDocument/2006/relationships/hyperlink" Target="http://www.rodekruis.nl/" TargetMode="External"/><Relationship Id="rId1456" Type="http://schemas.openxmlformats.org/officeDocument/2006/relationships/hyperlink" Target="http://delhaizegroup.com/" TargetMode="External"/><Relationship Id="rId1457" Type="http://schemas.openxmlformats.org/officeDocument/2006/relationships/hyperlink" Target="http://www.itoworld.com/" TargetMode="External"/><Relationship Id="rId1458" Type="http://schemas.openxmlformats.org/officeDocument/2006/relationships/hyperlink" Target="https://www.wildvandespits.nl/" TargetMode="External"/><Relationship Id="rId1459" Type="http://schemas.openxmlformats.org/officeDocument/2006/relationships/hyperlink" Target="http://moetikrennen.nl/" TargetMode="External"/><Relationship Id="rId1460" Type="http://schemas.openxmlformats.org/officeDocument/2006/relationships/hyperlink" Target="http://www.factcheck.org/" TargetMode="External"/><Relationship Id="rId1461" Type="http://schemas.openxmlformats.org/officeDocument/2006/relationships/hyperlink" Target="http://www.politifact.com/" TargetMode="External"/><Relationship Id="rId1462" Type="http://schemas.openxmlformats.org/officeDocument/2006/relationships/hyperlink" Target="http://blogs.channel4.com/factcheck/" TargetMode="External"/><Relationship Id="rId1463" Type="http://schemas.openxmlformats.org/officeDocument/2006/relationships/hyperlink" Target="http://www.lemonde.fr/les-decodeurs/" TargetMode="External"/><Relationship Id="rId1464" Type="http://schemas.openxmlformats.org/officeDocument/2006/relationships/hyperlink" Target="http://lasillavacia.com/hilos-tematicos/detector-de-mentiras" TargetMode="External"/><Relationship Id="rId1465" Type="http://schemas.openxmlformats.org/officeDocument/2006/relationships/hyperlink" Target="http://apublica.org/truco/" TargetMode="External"/><Relationship Id="rId1466" Type="http://schemas.openxmlformats.org/officeDocument/2006/relationships/hyperlink" Target="http://oglobo.globo.com/blogs/preto-no-branco/" TargetMode="External"/><Relationship Id="rId1467" Type="http://schemas.openxmlformats.org/officeDocument/2006/relationships/hyperlink" Target="http://uycheck.com/noticias/" TargetMode="External"/><Relationship Id="rId1468" Type="http://schemas.openxmlformats.org/officeDocument/2006/relationships/hyperlink" Target="http://www.elfaro.net/es/201501/politigrafo/" TargetMode="External"/><Relationship Id="rId1469" Type="http://schemas.openxmlformats.org/officeDocument/2006/relationships/hyperlink" Target="http://www.animalpolitico.com/elsabueso/el-sabueso/" TargetMode="External"/><Relationship Id="rId1470" Type="http://schemas.openxmlformats.org/officeDocument/2006/relationships/hyperlink" Target="http://www.sddc.army.mil/" TargetMode="External"/><Relationship Id="rId1471" Type="http://schemas.openxmlformats.org/officeDocument/2006/relationships/hyperlink" Target="http://IP.com/" TargetMode="External"/><Relationship Id="rId1472" Type="http://schemas.openxmlformats.org/officeDocument/2006/relationships/hyperlink" Target="http://www.bkfs.com/Pages/default.aspx" TargetMode="External"/><Relationship Id="rId1473" Type="http://schemas.openxmlformats.org/officeDocument/2006/relationships/hyperlink" Target="http://www.bloomberg.com/news/articles/2015-05-11/thomas-h-lee-backed-mortgage-venture-seeks-425-million-in-ipo" TargetMode="External"/><Relationship Id="rId1474" Type="http://schemas.openxmlformats.org/officeDocument/2006/relationships/hyperlink" Target="http://www.cubic.com/" TargetMode="External"/><Relationship Id="rId1475" Type="http://schemas.openxmlformats.org/officeDocument/2006/relationships/hyperlink" Target="http://www.evodevo.it/en/" TargetMode="External"/><Relationship Id="rId1476" Type="http://schemas.openxmlformats.org/officeDocument/2006/relationships/hyperlink" Target="http://www.evodevo.it/en/about-us/our-company.html" TargetMode="External"/><Relationship Id="rId1477" Type="http://schemas.openxmlformats.org/officeDocument/2006/relationships/hyperlink" Target="http://twaweza.org/" TargetMode="External"/><Relationship Id="rId1478" Type="http://schemas.openxmlformats.org/officeDocument/2006/relationships/hyperlink" Target="http://education.okfn.org/open-education-tanzania/" TargetMode="External"/><Relationship Id="rId1479" Type="http://schemas.openxmlformats.org/officeDocument/2006/relationships/hyperlink" Target="http://illustreets.co.uk/" TargetMode="External"/><Relationship Id="rId1480" Type="http://schemas.openxmlformats.org/officeDocument/2006/relationships/hyperlink" Target="http://illustreets.co.uk/contact-illustreets/" TargetMode="External"/><Relationship Id="rId1481" Type="http://schemas.openxmlformats.org/officeDocument/2006/relationships/hyperlink" Target="http://www.upreach.org.uk/" TargetMode="External"/><Relationship Id="rId1482" Type="http://schemas.openxmlformats.org/officeDocument/2006/relationships/hyperlink" Target="http://www.nesta.org.uk/blog/skills-route-shows-way-next-generation-education-open-data-apps" TargetMode="External"/><Relationship Id="rId1483" Type="http://schemas.openxmlformats.org/officeDocument/2006/relationships/hyperlink" Target="http://futureeverything.org/" TargetMode="External"/><Relationship Id="rId1484" Type="http://schemas.openxmlformats.org/officeDocument/2006/relationships/hyperlink" Target="http://www.citysdk.eu/partners/" TargetMode="External"/><Relationship Id="rId1485" Type="http://schemas.openxmlformats.org/officeDocument/2006/relationships/hyperlink" Target="https://www.sanoma.com/" TargetMode="External"/><Relationship Id="rId1486" Type="http://schemas.openxmlformats.org/officeDocument/2006/relationships/hyperlink" Target="http://www.citysdk.eu/partners/" TargetMode="External"/><Relationship Id="rId1487" Type="http://schemas.openxmlformats.org/officeDocument/2006/relationships/hyperlink" Target="http://www.lynxlab.com/" TargetMode="External"/><Relationship Id="rId1488" Type="http://schemas.openxmlformats.org/officeDocument/2006/relationships/hyperlink" Target="http://www.citysdk.eu/partners/" TargetMode="External"/><Relationship Id="rId1489" Type="http://schemas.openxmlformats.org/officeDocument/2006/relationships/hyperlink" Target="http://www.isasensing.com/" TargetMode="External"/><Relationship Id="rId1490" Type="http://schemas.openxmlformats.org/officeDocument/2006/relationships/hyperlink" Target="http://www.citysdk.eu/partners/" TargetMode="External"/><Relationship Id="rId1491" Type="http://schemas.openxmlformats.org/officeDocument/2006/relationships/hyperlink" Target="http://www.gnosis.com.gr/" TargetMode="External"/><Relationship Id="rId1492" Type="http://schemas.openxmlformats.org/officeDocument/2006/relationships/hyperlink" Target="http://www.citysdk.eu/partners/" TargetMode="External"/><Relationship Id="rId1493" Type="http://schemas.openxmlformats.org/officeDocument/2006/relationships/hyperlink" Target="http://www.alfamicro.pt/" TargetMode="External"/><Relationship Id="rId1494" Type="http://schemas.openxmlformats.org/officeDocument/2006/relationships/hyperlink" Target="http://www.citysdk.eu/partner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www.edicionsapeticio.com/" TargetMode="External"/><Relationship Id="rId2" Type="http://schemas.openxmlformats.org/officeDocument/2006/relationships/hyperlink" Target="http://datos.gob.es/" TargetMode="External"/><Relationship Id="rId3" Type="http://schemas.openxmlformats.org/officeDocument/2006/relationships/hyperlink" Target="http://datos.gob.es/" TargetMode="External"/><Relationship Id="rId4" Type="http://schemas.openxmlformats.org/officeDocument/2006/relationships/hyperlink" Target="http://absisspain.com/?lang=en" TargetMode="External"/><Relationship Id="rId5" Type="http://schemas.openxmlformats.org/officeDocument/2006/relationships/hyperlink" Target="http://datos.gob.es/" TargetMode="External"/><Relationship Id="rId6" Type="http://schemas.openxmlformats.org/officeDocument/2006/relationships/hyperlink" Target="http://act2lead.es/index.html" TargetMode="External"/><Relationship Id="rId7" Type="http://schemas.openxmlformats.org/officeDocument/2006/relationships/hyperlink" Target="http://datos.gob.es/" TargetMode="External"/><Relationship Id="rId8" Type="http://schemas.openxmlformats.org/officeDocument/2006/relationships/hyperlink" Target="http://adhocinvestigacion.com/en/" TargetMode="External"/><Relationship Id="rId9" Type="http://schemas.openxmlformats.org/officeDocument/2006/relationships/hyperlink" Target="http://datos.gob.es/" TargetMode="External"/><Relationship Id="rId10" Type="http://schemas.openxmlformats.org/officeDocument/2006/relationships/hyperlink" Target="http://datos.gob.es/" TargetMode="External"/><Relationship Id="rId11" Type="http://schemas.openxmlformats.org/officeDocument/2006/relationships/hyperlink" Target="http://adginvestigacion.com/" TargetMode="External"/><Relationship Id="rId12" Type="http://schemas.openxmlformats.org/officeDocument/2006/relationships/hyperlink" Target="http://datos.gob.es/" TargetMode="External"/><Relationship Id="rId13" Type="http://schemas.openxmlformats.org/officeDocument/2006/relationships/hyperlink" Target="http://www.adimen.es/default.aspx" TargetMode="External"/><Relationship Id="rId14" Type="http://schemas.openxmlformats.org/officeDocument/2006/relationships/hyperlink" Target="http://datos.gob.es/" TargetMode="External"/><Relationship Id="rId15" Type="http://schemas.openxmlformats.org/officeDocument/2006/relationships/hyperlink" Target="http://www.adslzone.net/" TargetMode="External"/><Relationship Id="rId16" Type="http://schemas.openxmlformats.org/officeDocument/2006/relationships/hyperlink" Target="http://datos.gob.es/" TargetMode="External"/><Relationship Id="rId17" Type="http://schemas.openxmlformats.org/officeDocument/2006/relationships/hyperlink" Target="http://advicestrategicconsultants.com/" TargetMode="External"/><Relationship Id="rId18" Type="http://schemas.openxmlformats.org/officeDocument/2006/relationships/hyperlink" Target="http://datos.gob.es/" TargetMode="External"/><Relationship Id="rId19" Type="http://schemas.openxmlformats.org/officeDocument/2006/relationships/hyperlink" Target="http://www.aema.info/" TargetMode="External"/><Relationship Id="rId20" Type="http://schemas.openxmlformats.org/officeDocument/2006/relationships/hyperlink" Target="http://datos.gob.es/" TargetMode="External"/><Relationship Id="rId21" Type="http://schemas.openxmlformats.org/officeDocument/2006/relationships/hyperlink" Target="http://datos.gob.es/" TargetMode="External"/><Relationship Id="rId22" Type="http://schemas.openxmlformats.org/officeDocument/2006/relationships/hyperlink" Target="http://www.agoraestudiosdemercado.com/" TargetMode="External"/><Relationship Id="rId23" Type="http://schemas.openxmlformats.org/officeDocument/2006/relationships/hyperlink" Target="http://datos.gob.es/" TargetMode="External"/><Relationship Id="rId24" Type="http://schemas.openxmlformats.org/officeDocument/2006/relationships/hyperlink" Target="http://www.agoranetworks.es/" TargetMode="External"/><Relationship Id="rId25" Type="http://schemas.openxmlformats.org/officeDocument/2006/relationships/hyperlink" Target="http://datos.gob.es/" TargetMode="External"/><Relationship Id="rId26" Type="http://schemas.openxmlformats.org/officeDocument/2006/relationships/hyperlink" Target="http://www.ahorreluz.es/index.php" TargetMode="External"/><Relationship Id="rId27" Type="http://schemas.openxmlformats.org/officeDocument/2006/relationships/hyperlink" Target="http://datos.gob.es/" TargetMode="External"/><Relationship Id="rId28" Type="http://schemas.openxmlformats.org/officeDocument/2006/relationships/hyperlink" Target="http://datos.gob.es/" TargetMode="External"/><Relationship Id="rId29" Type="http://schemas.openxmlformats.org/officeDocument/2006/relationships/hyperlink" Target="http://apertia-consulting.com/" TargetMode="External"/><Relationship Id="rId30" Type="http://schemas.openxmlformats.org/officeDocument/2006/relationships/hyperlink" Target="http://datos.gob.es/" TargetMode="External"/><Relationship Id="rId31" Type="http://schemas.openxmlformats.org/officeDocument/2006/relationships/hyperlink" Target="http://www.alben.es/" TargetMode="External"/><Relationship Id="rId32" Type="http://schemas.openxmlformats.org/officeDocument/2006/relationships/hyperlink" Target="http://datos.gob.es/" TargetMode="External"/><Relationship Id="rId33" Type="http://schemas.openxmlformats.org/officeDocument/2006/relationships/hyperlink" Target="http://www.alimarket.es/home" TargetMode="External"/><Relationship Id="rId34" Type="http://schemas.openxmlformats.org/officeDocument/2006/relationships/hyperlink" Target="http://datos.gob.es/" TargetMode="External"/><Relationship Id="rId35" Type="http://schemas.openxmlformats.org/officeDocument/2006/relationships/hyperlink" Target="http://www.almamedia.es/" TargetMode="External"/><Relationship Id="rId36" Type="http://schemas.openxmlformats.org/officeDocument/2006/relationships/hyperlink" Target="http://datos.gob.es/" TargetMode="External"/><Relationship Id="rId37" Type="http://schemas.openxmlformats.org/officeDocument/2006/relationships/hyperlink" Target="https://www.appannie.com/apps/ios/publisher/alpred-s.l./" TargetMode="External"/><Relationship Id="rId38" Type="http://schemas.openxmlformats.org/officeDocument/2006/relationships/hyperlink" Target="http://datos.gob.es/" TargetMode="External"/><Relationship Id="rId39" Type="http://schemas.openxmlformats.org/officeDocument/2006/relationships/hyperlink" Target="http://datos.gob.es/" TargetMode="External"/><Relationship Id="rId40" Type="http://schemas.openxmlformats.org/officeDocument/2006/relationships/hyperlink" Target="http://datos.gob.es/" TargetMode="External"/><Relationship Id="rId41" Type="http://schemas.openxmlformats.org/officeDocument/2006/relationships/hyperlink" Target="http://datos.gob.es/" TargetMode="External"/><Relationship Id="rId42" Type="http://schemas.openxmlformats.org/officeDocument/2006/relationships/hyperlink" Target="http://www.ambermarketing.com/" TargetMode="External"/><Relationship Id="rId43" Type="http://schemas.openxmlformats.org/officeDocument/2006/relationships/hyperlink" Target="http://datos.gob.es/" TargetMode="External"/><Relationship Id="rId44" Type="http://schemas.openxmlformats.org/officeDocument/2006/relationships/hyperlink" Target="http://www.analisiseinvestigacion.com/" TargetMode="External"/><Relationship Id="rId45" Type="http://schemas.openxmlformats.org/officeDocument/2006/relationships/hyperlink" Target="http://datos.gob.es/" TargetMode="External"/><Relationship Id="rId46" Type="http://schemas.openxmlformats.org/officeDocument/2006/relationships/hyperlink" Target="http://datos.gob.es/" TargetMode="External"/><Relationship Id="rId47" Type="http://schemas.openxmlformats.org/officeDocument/2006/relationships/hyperlink" Target="http://www.grupoasm.com/" TargetMode="External"/><Relationship Id="rId48" Type="http://schemas.openxmlformats.org/officeDocument/2006/relationships/hyperlink" Target="http://datos.gob.es/" TargetMode="External"/><Relationship Id="rId49" Type="http://schemas.openxmlformats.org/officeDocument/2006/relationships/hyperlink" Target="http://www.ines.org.es/node/92" TargetMode="External"/><Relationship Id="rId50" Type="http://schemas.openxmlformats.org/officeDocument/2006/relationships/hyperlink" Target="http://datos.gob.es/" TargetMode="External"/><Relationship Id="rId51" Type="http://schemas.openxmlformats.org/officeDocument/2006/relationships/hyperlink" Target="https://www.linkedin.com/company/answare-tech" TargetMode="External"/><Relationship Id="rId52" Type="http://schemas.openxmlformats.org/officeDocument/2006/relationships/hyperlink" Target="http://datos.gob.es/" TargetMode="External"/><Relationship Id="rId53" Type="http://schemas.openxmlformats.org/officeDocument/2006/relationships/hyperlink" Target="http://www.av-consultores.com/" TargetMode="External"/><Relationship Id="rId54" Type="http://schemas.openxmlformats.org/officeDocument/2006/relationships/hyperlink" Target="http://datos.gob.es/" TargetMode="External"/><Relationship Id="rId55" Type="http://schemas.openxmlformats.org/officeDocument/2006/relationships/hyperlink" Target="http://datos.gob.es/" TargetMode="External"/><Relationship Id="rId56" Type="http://schemas.openxmlformats.org/officeDocument/2006/relationships/hyperlink" Target="http://datos.gob.es/" TargetMode="External"/><Relationship Id="rId57" Type="http://schemas.openxmlformats.org/officeDocument/2006/relationships/hyperlink" Target="http://datos.gob.es/" TargetMode="External"/><Relationship Id="rId58" Type="http://schemas.openxmlformats.org/officeDocument/2006/relationships/hyperlink" Target="http://datos.gob.es/" TargetMode="External"/><Relationship Id="rId59" Type="http://schemas.openxmlformats.org/officeDocument/2006/relationships/hyperlink" Target="http://datos.gob.es/" TargetMode="External"/><Relationship Id="rId60" Type="http://schemas.openxmlformats.org/officeDocument/2006/relationships/hyperlink" Target="http://datos.gob.es/" TargetMode="External"/><Relationship Id="rId61" Type="http://schemas.openxmlformats.org/officeDocument/2006/relationships/hyperlink" Target="http://datos.gob.es/" TargetMode="External"/><Relationship Id="rId62" Type="http://schemas.openxmlformats.org/officeDocument/2006/relationships/hyperlink" Target="http://datos.gob.es/" TargetMode="External"/><Relationship Id="rId63" Type="http://schemas.openxmlformats.org/officeDocument/2006/relationships/hyperlink" Target="http://datos.gob.es/" TargetMode="External"/><Relationship Id="rId64" Type="http://schemas.openxmlformats.org/officeDocument/2006/relationships/hyperlink" Target="http://datos.gob.es/" TargetMode="External"/><Relationship Id="rId65" Type="http://schemas.openxmlformats.org/officeDocument/2006/relationships/hyperlink" Target="http://datos.gob.es/" TargetMode="External"/><Relationship Id="rId66" Type="http://schemas.openxmlformats.org/officeDocument/2006/relationships/hyperlink" Target="http://datos.gob.es/" TargetMode="External"/><Relationship Id="rId67" Type="http://schemas.openxmlformats.org/officeDocument/2006/relationships/hyperlink" Target="http://datos.gob.es/" TargetMode="External"/><Relationship Id="rId68" Type="http://schemas.openxmlformats.org/officeDocument/2006/relationships/hyperlink" Target="http://datos.gob.es/" TargetMode="External"/><Relationship Id="rId69" Type="http://schemas.openxmlformats.org/officeDocument/2006/relationships/hyperlink" Target="http://datos.gob.es/" TargetMode="External"/><Relationship Id="rId70" Type="http://schemas.openxmlformats.org/officeDocument/2006/relationships/hyperlink" Target="http://datos.gob.es/" TargetMode="External"/><Relationship Id="rId71" Type="http://schemas.openxmlformats.org/officeDocument/2006/relationships/hyperlink" Target="http://datos.gob.es/" TargetMode="External"/><Relationship Id="rId72" Type="http://schemas.openxmlformats.org/officeDocument/2006/relationships/hyperlink" Target="http://datos.gob.es/" TargetMode="External"/><Relationship Id="rId73" Type="http://schemas.openxmlformats.org/officeDocument/2006/relationships/hyperlink" Target="http://datos.gob.es/" TargetMode="External"/><Relationship Id="rId74" Type="http://schemas.openxmlformats.org/officeDocument/2006/relationships/hyperlink" Target="http://datos.gob.es/" TargetMode="External"/><Relationship Id="rId75" Type="http://schemas.openxmlformats.org/officeDocument/2006/relationships/hyperlink" Target="http://datos.gob.es/" TargetMode="External"/><Relationship Id="rId76" Type="http://schemas.openxmlformats.org/officeDocument/2006/relationships/hyperlink" Target="http://datos.gob.es/" TargetMode="External"/><Relationship Id="rId77" Type="http://schemas.openxmlformats.org/officeDocument/2006/relationships/hyperlink" Target="http://datos.gob.es/" TargetMode="External"/><Relationship Id="rId78" Type="http://schemas.openxmlformats.org/officeDocument/2006/relationships/hyperlink" Target="http://datos.gob.es/" TargetMode="External"/><Relationship Id="rId79" Type="http://schemas.openxmlformats.org/officeDocument/2006/relationships/hyperlink" Target="http://datos.gob.es/" TargetMode="External"/><Relationship Id="rId80" Type="http://schemas.openxmlformats.org/officeDocument/2006/relationships/hyperlink" Target="http://datos.gob.es/" TargetMode="External"/><Relationship Id="rId81" Type="http://schemas.openxmlformats.org/officeDocument/2006/relationships/hyperlink" Target="http://datos.gob.es/" TargetMode="External"/><Relationship Id="rId82" Type="http://schemas.openxmlformats.org/officeDocument/2006/relationships/hyperlink" Target="http://datos.gob.es/" TargetMode="External"/><Relationship Id="rId83" Type="http://schemas.openxmlformats.org/officeDocument/2006/relationships/hyperlink" Target="http://datos.gob.es/" TargetMode="External"/><Relationship Id="rId84" Type="http://schemas.openxmlformats.org/officeDocument/2006/relationships/hyperlink" Target="http://datos.gob.es/" TargetMode="External"/><Relationship Id="rId85" Type="http://schemas.openxmlformats.org/officeDocument/2006/relationships/hyperlink" Target="http://datos.gob.es/" TargetMode="External"/><Relationship Id="rId86" Type="http://schemas.openxmlformats.org/officeDocument/2006/relationships/hyperlink" Target="http://datos.gob.es/" TargetMode="External"/><Relationship Id="rId87" Type="http://schemas.openxmlformats.org/officeDocument/2006/relationships/hyperlink" Target="http://datos.gob.es/" TargetMode="External"/><Relationship Id="rId88" Type="http://schemas.openxmlformats.org/officeDocument/2006/relationships/hyperlink" Target="http://datos.gob.es/" TargetMode="External"/><Relationship Id="rId89" Type="http://schemas.openxmlformats.org/officeDocument/2006/relationships/hyperlink" Target="http://datos.gob.es/" TargetMode="External"/><Relationship Id="rId90" Type="http://schemas.openxmlformats.org/officeDocument/2006/relationships/hyperlink" Target="http://datos.gob.es/" TargetMode="External"/><Relationship Id="rId91" Type="http://schemas.openxmlformats.org/officeDocument/2006/relationships/hyperlink" Target="http://datos.gob.es/" TargetMode="External"/><Relationship Id="rId92" Type="http://schemas.openxmlformats.org/officeDocument/2006/relationships/hyperlink" Target="http://datos.gob.es/" TargetMode="External"/><Relationship Id="rId93" Type="http://schemas.openxmlformats.org/officeDocument/2006/relationships/hyperlink" Target="http://datos.gob.es/" TargetMode="External"/><Relationship Id="rId94" Type="http://schemas.openxmlformats.org/officeDocument/2006/relationships/hyperlink" Target="http://datos.gob.es/" TargetMode="External"/><Relationship Id="rId95" Type="http://schemas.openxmlformats.org/officeDocument/2006/relationships/hyperlink" Target="http://datos.gob.es/" TargetMode="External"/><Relationship Id="rId96" Type="http://schemas.openxmlformats.org/officeDocument/2006/relationships/hyperlink" Target="http://datos.gob.es/" TargetMode="External"/><Relationship Id="rId97" Type="http://schemas.openxmlformats.org/officeDocument/2006/relationships/hyperlink" Target="http://datos.gob.es/" TargetMode="External"/><Relationship Id="rId98" Type="http://schemas.openxmlformats.org/officeDocument/2006/relationships/hyperlink" Target="http://datos.gob.es/" TargetMode="External"/><Relationship Id="rId99" Type="http://schemas.openxmlformats.org/officeDocument/2006/relationships/hyperlink" Target="http://datos.gob.es/" TargetMode="External"/><Relationship Id="rId100" Type="http://schemas.openxmlformats.org/officeDocument/2006/relationships/hyperlink" Target="http://datos.gob.es/" TargetMode="External"/><Relationship Id="rId101" Type="http://schemas.openxmlformats.org/officeDocument/2006/relationships/hyperlink" Target="http://datos.gob.es/" TargetMode="External"/><Relationship Id="rId102" Type="http://schemas.openxmlformats.org/officeDocument/2006/relationships/hyperlink" Target="http://datos.gob.es/" TargetMode="External"/><Relationship Id="rId103" Type="http://schemas.openxmlformats.org/officeDocument/2006/relationships/hyperlink" Target="http://datos.gob.es/" TargetMode="External"/><Relationship Id="rId104" Type="http://schemas.openxmlformats.org/officeDocument/2006/relationships/hyperlink" Target="http://datos.gob.es/" TargetMode="External"/><Relationship Id="rId105" Type="http://schemas.openxmlformats.org/officeDocument/2006/relationships/hyperlink" Target="http://datos.gob.es/" TargetMode="External"/><Relationship Id="rId106" Type="http://schemas.openxmlformats.org/officeDocument/2006/relationships/hyperlink" Target="http://datos.gob.es/" TargetMode="External"/><Relationship Id="rId107" Type="http://schemas.openxmlformats.org/officeDocument/2006/relationships/hyperlink" Target="http://datos.gob.es/" TargetMode="External"/><Relationship Id="rId108" Type="http://schemas.openxmlformats.org/officeDocument/2006/relationships/hyperlink" Target="http://datos.gob.es/" TargetMode="External"/><Relationship Id="rId109" Type="http://schemas.openxmlformats.org/officeDocument/2006/relationships/hyperlink" Target="http://datos.gob.es/" TargetMode="External"/><Relationship Id="rId110" Type="http://schemas.openxmlformats.org/officeDocument/2006/relationships/hyperlink" Target="http://datos.gob.es/" TargetMode="External"/><Relationship Id="rId111" Type="http://schemas.openxmlformats.org/officeDocument/2006/relationships/hyperlink" Target="http://datos.gob.es/" TargetMode="External"/><Relationship Id="rId112" Type="http://schemas.openxmlformats.org/officeDocument/2006/relationships/hyperlink" Target="http://datos.gob.es/" TargetMode="External"/><Relationship Id="rId113" Type="http://schemas.openxmlformats.org/officeDocument/2006/relationships/hyperlink" Target="http://datos.gob.es/" TargetMode="External"/><Relationship Id="rId114" Type="http://schemas.openxmlformats.org/officeDocument/2006/relationships/hyperlink" Target="http://datos.gob.es/" TargetMode="External"/><Relationship Id="rId115" Type="http://schemas.openxmlformats.org/officeDocument/2006/relationships/hyperlink" Target="http://datos.gob.es/" TargetMode="External"/><Relationship Id="rId116" Type="http://schemas.openxmlformats.org/officeDocument/2006/relationships/hyperlink" Target="http://datos.gob.es/" TargetMode="External"/><Relationship Id="rId117" Type="http://schemas.openxmlformats.org/officeDocument/2006/relationships/hyperlink" Target="http://datos.gob.es/" TargetMode="External"/><Relationship Id="rId118" Type="http://schemas.openxmlformats.org/officeDocument/2006/relationships/hyperlink" Target="http://datos.gob.es/" TargetMode="External"/><Relationship Id="rId119" Type="http://schemas.openxmlformats.org/officeDocument/2006/relationships/hyperlink" Target="http://datos.gob.es/" TargetMode="External"/><Relationship Id="rId120" Type="http://schemas.openxmlformats.org/officeDocument/2006/relationships/hyperlink" Target="http://datos.gob.es/" TargetMode="External"/><Relationship Id="rId121" Type="http://schemas.openxmlformats.org/officeDocument/2006/relationships/hyperlink" Target="http://datos.gob.es/" TargetMode="External"/><Relationship Id="rId122" Type="http://schemas.openxmlformats.org/officeDocument/2006/relationships/hyperlink" Target="http://datos.gob.es/" TargetMode="External"/><Relationship Id="rId123" Type="http://schemas.openxmlformats.org/officeDocument/2006/relationships/hyperlink" Target="http://datos.gob.es/" TargetMode="External"/><Relationship Id="rId124" Type="http://schemas.openxmlformats.org/officeDocument/2006/relationships/hyperlink" Target="http://datos.gob.es/" TargetMode="External"/><Relationship Id="rId125" Type="http://schemas.openxmlformats.org/officeDocument/2006/relationships/hyperlink" Target="http://datos.gob.es/" TargetMode="External"/><Relationship Id="rId126" Type="http://schemas.openxmlformats.org/officeDocument/2006/relationships/hyperlink" Target="http://datos.gob.es/" TargetMode="External"/><Relationship Id="rId127" Type="http://schemas.openxmlformats.org/officeDocument/2006/relationships/hyperlink" Target="http://datos.gob.es/" TargetMode="External"/><Relationship Id="rId128" Type="http://schemas.openxmlformats.org/officeDocument/2006/relationships/hyperlink" Target="http://datos.gob.es/" TargetMode="External"/><Relationship Id="rId129" Type="http://schemas.openxmlformats.org/officeDocument/2006/relationships/hyperlink" Target="http://datos.gob.es/" TargetMode="External"/><Relationship Id="rId130" Type="http://schemas.openxmlformats.org/officeDocument/2006/relationships/hyperlink" Target="http://datos.gob.es/" TargetMode="External"/><Relationship Id="rId131" Type="http://schemas.openxmlformats.org/officeDocument/2006/relationships/hyperlink" Target="http://datos.gob.es/" TargetMode="External"/><Relationship Id="rId132" Type="http://schemas.openxmlformats.org/officeDocument/2006/relationships/hyperlink" Target="http://datos.gob.es/" TargetMode="External"/><Relationship Id="rId133" Type="http://schemas.openxmlformats.org/officeDocument/2006/relationships/hyperlink" Target="http://datos.gob.es/" TargetMode="External"/><Relationship Id="rId134" Type="http://schemas.openxmlformats.org/officeDocument/2006/relationships/hyperlink" Target="http://datos.gob.es/" TargetMode="External"/><Relationship Id="rId135" Type="http://schemas.openxmlformats.org/officeDocument/2006/relationships/hyperlink" Target="http://datos.gob.es/" TargetMode="External"/><Relationship Id="rId136" Type="http://schemas.openxmlformats.org/officeDocument/2006/relationships/hyperlink" Target="http://datos.gob.es/" TargetMode="External"/><Relationship Id="rId137" Type="http://schemas.openxmlformats.org/officeDocument/2006/relationships/hyperlink" Target="http://datos.gob.es/" TargetMode="External"/><Relationship Id="rId138" Type="http://schemas.openxmlformats.org/officeDocument/2006/relationships/hyperlink" Target="http://datos.gob.es/" TargetMode="External"/><Relationship Id="rId139" Type="http://schemas.openxmlformats.org/officeDocument/2006/relationships/hyperlink" Target="http://datos.gob.es/" TargetMode="External"/><Relationship Id="rId140" Type="http://schemas.openxmlformats.org/officeDocument/2006/relationships/hyperlink" Target="http://datos.gob.es/" TargetMode="External"/><Relationship Id="rId141" Type="http://schemas.openxmlformats.org/officeDocument/2006/relationships/hyperlink" Target="http://datos.gob.es/" TargetMode="External"/><Relationship Id="rId142" Type="http://schemas.openxmlformats.org/officeDocument/2006/relationships/hyperlink" Target="http://datos.gob.es/" TargetMode="External"/><Relationship Id="rId143" Type="http://schemas.openxmlformats.org/officeDocument/2006/relationships/hyperlink" Target="http://datos.gob.es/" TargetMode="External"/><Relationship Id="rId144" Type="http://schemas.openxmlformats.org/officeDocument/2006/relationships/hyperlink" Target="http://datos.gob.es/" TargetMode="External"/><Relationship Id="rId145" Type="http://schemas.openxmlformats.org/officeDocument/2006/relationships/hyperlink" Target="http://datos.gob.es/" TargetMode="External"/><Relationship Id="rId146" Type="http://schemas.openxmlformats.org/officeDocument/2006/relationships/hyperlink" Target="http://datos.gob.es/" TargetMode="External"/><Relationship Id="rId147" Type="http://schemas.openxmlformats.org/officeDocument/2006/relationships/hyperlink" Target="http://datos.gob.es/" TargetMode="External"/><Relationship Id="rId148" Type="http://schemas.openxmlformats.org/officeDocument/2006/relationships/hyperlink" Target="http://datos.gob.es/" TargetMode="External"/><Relationship Id="rId149" Type="http://schemas.openxmlformats.org/officeDocument/2006/relationships/hyperlink" Target="http://datos.gob.es/" TargetMode="External"/><Relationship Id="rId150" Type="http://schemas.openxmlformats.org/officeDocument/2006/relationships/hyperlink" Target="http://datos.gob.es/" TargetMode="External"/><Relationship Id="rId151" Type="http://schemas.openxmlformats.org/officeDocument/2006/relationships/hyperlink" Target="http://datos.gob.es/" TargetMode="External"/><Relationship Id="rId152" Type="http://schemas.openxmlformats.org/officeDocument/2006/relationships/hyperlink" Target="http://datos.gob.es/" TargetMode="External"/><Relationship Id="rId153" Type="http://schemas.openxmlformats.org/officeDocument/2006/relationships/hyperlink" Target="http://datos.gob.es/" TargetMode="External"/><Relationship Id="rId154" Type="http://schemas.openxmlformats.org/officeDocument/2006/relationships/hyperlink" Target="http://datos.gob.es/" TargetMode="External"/><Relationship Id="rId155" Type="http://schemas.openxmlformats.org/officeDocument/2006/relationships/hyperlink" Target="http://datos.gob.es/" TargetMode="External"/><Relationship Id="rId156" Type="http://schemas.openxmlformats.org/officeDocument/2006/relationships/hyperlink" Target="http://datos.gob.es/" TargetMode="External"/><Relationship Id="rId157" Type="http://schemas.openxmlformats.org/officeDocument/2006/relationships/hyperlink" Target="http://datos.gob.es/" TargetMode="External"/><Relationship Id="rId158" Type="http://schemas.openxmlformats.org/officeDocument/2006/relationships/hyperlink" Target="http://datos.gob.es/" TargetMode="External"/><Relationship Id="rId159" Type="http://schemas.openxmlformats.org/officeDocument/2006/relationships/hyperlink" Target="http://datos.gob.es/" TargetMode="External"/><Relationship Id="rId160" Type="http://schemas.openxmlformats.org/officeDocument/2006/relationships/hyperlink" Target="http://datos.gob.es/" TargetMode="External"/><Relationship Id="rId161" Type="http://schemas.openxmlformats.org/officeDocument/2006/relationships/hyperlink" Target="http://datos.gob.es/" TargetMode="External"/><Relationship Id="rId162" Type="http://schemas.openxmlformats.org/officeDocument/2006/relationships/hyperlink" Target="http://datos.gob.es/" TargetMode="External"/><Relationship Id="rId163" Type="http://schemas.openxmlformats.org/officeDocument/2006/relationships/hyperlink" Target="http://datos.gob.es/" TargetMode="External"/><Relationship Id="rId164" Type="http://schemas.openxmlformats.org/officeDocument/2006/relationships/hyperlink" Target="http://datos.gob.es/" TargetMode="External"/><Relationship Id="rId165" Type="http://schemas.openxmlformats.org/officeDocument/2006/relationships/hyperlink" Target="http://datos.gob.es/" TargetMode="External"/><Relationship Id="rId166" Type="http://schemas.openxmlformats.org/officeDocument/2006/relationships/hyperlink" Target="http://datos.gob.es/" TargetMode="External"/><Relationship Id="rId167" Type="http://schemas.openxmlformats.org/officeDocument/2006/relationships/hyperlink" Target="http://datos.gob.es/" TargetMode="External"/><Relationship Id="rId168" Type="http://schemas.openxmlformats.org/officeDocument/2006/relationships/hyperlink" Target="http://datos.gob.es/" TargetMode="External"/><Relationship Id="rId169" Type="http://schemas.openxmlformats.org/officeDocument/2006/relationships/hyperlink" Target="http://datos.gob.es/" TargetMode="External"/><Relationship Id="rId170" Type="http://schemas.openxmlformats.org/officeDocument/2006/relationships/hyperlink" Target="http://datos.gob.es/" TargetMode="External"/><Relationship Id="rId171" Type="http://schemas.openxmlformats.org/officeDocument/2006/relationships/hyperlink" Target="http://datos.gob.es/" TargetMode="External"/><Relationship Id="rId172" Type="http://schemas.openxmlformats.org/officeDocument/2006/relationships/hyperlink" Target="http://datos.gob.es/" TargetMode="External"/><Relationship Id="rId173" Type="http://schemas.openxmlformats.org/officeDocument/2006/relationships/hyperlink" Target="http://datos.gob.es/" TargetMode="External"/><Relationship Id="rId174" Type="http://schemas.openxmlformats.org/officeDocument/2006/relationships/hyperlink" Target="http://datos.gob.es/" TargetMode="External"/><Relationship Id="rId175" Type="http://schemas.openxmlformats.org/officeDocument/2006/relationships/hyperlink" Target="http://datos.gob.es/" TargetMode="External"/><Relationship Id="rId176" Type="http://schemas.openxmlformats.org/officeDocument/2006/relationships/hyperlink" Target="http://datos.gob.es/" TargetMode="External"/><Relationship Id="rId177" Type="http://schemas.openxmlformats.org/officeDocument/2006/relationships/hyperlink" Target="http://datos.gob.es/" TargetMode="External"/><Relationship Id="rId178" Type="http://schemas.openxmlformats.org/officeDocument/2006/relationships/hyperlink" Target="http://datos.gob.es/" TargetMode="External"/><Relationship Id="rId179" Type="http://schemas.openxmlformats.org/officeDocument/2006/relationships/hyperlink" Target="http://datos.gob.es/" TargetMode="External"/><Relationship Id="rId180" Type="http://schemas.openxmlformats.org/officeDocument/2006/relationships/hyperlink" Target="http://datos.gob.es/" TargetMode="External"/><Relationship Id="rId181" Type="http://schemas.openxmlformats.org/officeDocument/2006/relationships/hyperlink" Target="http://datos.gob.es/" TargetMode="External"/><Relationship Id="rId182" Type="http://schemas.openxmlformats.org/officeDocument/2006/relationships/hyperlink" Target="http://datos.gob.es/" TargetMode="External"/><Relationship Id="rId183" Type="http://schemas.openxmlformats.org/officeDocument/2006/relationships/hyperlink" Target="http://datos.gob.es/" TargetMode="External"/><Relationship Id="rId184" Type="http://schemas.openxmlformats.org/officeDocument/2006/relationships/hyperlink" Target="http://datos.gob.es/" TargetMode="External"/><Relationship Id="rId185" Type="http://schemas.openxmlformats.org/officeDocument/2006/relationships/hyperlink" Target="http://datos.gob.es/" TargetMode="External"/><Relationship Id="rId186" Type="http://schemas.openxmlformats.org/officeDocument/2006/relationships/hyperlink" Target="http://datos.gob.es/" TargetMode="External"/><Relationship Id="rId187" Type="http://schemas.openxmlformats.org/officeDocument/2006/relationships/hyperlink" Target="http://datos.gob.es/" TargetMode="External"/><Relationship Id="rId188" Type="http://schemas.openxmlformats.org/officeDocument/2006/relationships/hyperlink" Target="http://datos.gob.es/" TargetMode="External"/><Relationship Id="rId189" Type="http://schemas.openxmlformats.org/officeDocument/2006/relationships/hyperlink" Target="http://datos.gob.es/" TargetMode="External"/><Relationship Id="rId190" Type="http://schemas.openxmlformats.org/officeDocument/2006/relationships/hyperlink" Target="http://datos.gob.es/" TargetMode="External"/><Relationship Id="rId191" Type="http://schemas.openxmlformats.org/officeDocument/2006/relationships/hyperlink" Target="http://datos.gob.es/" TargetMode="External"/><Relationship Id="rId192" Type="http://schemas.openxmlformats.org/officeDocument/2006/relationships/hyperlink" Target="http://datos.gob.es/" TargetMode="External"/><Relationship Id="rId193" Type="http://schemas.openxmlformats.org/officeDocument/2006/relationships/hyperlink" Target="http://datos.gob.es/" TargetMode="External"/><Relationship Id="rId194" Type="http://schemas.openxmlformats.org/officeDocument/2006/relationships/hyperlink" Target="http://datos.gob.es/" TargetMode="External"/><Relationship Id="rId195" Type="http://schemas.openxmlformats.org/officeDocument/2006/relationships/hyperlink" Target="http://datos.gob.es/" TargetMode="External"/><Relationship Id="rId196" Type="http://schemas.openxmlformats.org/officeDocument/2006/relationships/hyperlink" Target="http://datos.gob.es/" TargetMode="External"/><Relationship Id="rId197" Type="http://schemas.openxmlformats.org/officeDocument/2006/relationships/hyperlink" Target="http://datos.gob.es/" TargetMode="External"/><Relationship Id="rId198" Type="http://schemas.openxmlformats.org/officeDocument/2006/relationships/hyperlink" Target="http://datos.gob.es/" TargetMode="External"/><Relationship Id="rId199" Type="http://schemas.openxmlformats.org/officeDocument/2006/relationships/hyperlink" Target="http://datos.gob.es/" TargetMode="External"/><Relationship Id="rId200" Type="http://schemas.openxmlformats.org/officeDocument/2006/relationships/hyperlink" Target="http://datos.gob.es/" TargetMode="External"/><Relationship Id="rId201" Type="http://schemas.openxmlformats.org/officeDocument/2006/relationships/hyperlink" Target="http://datos.gob.es/" TargetMode="External"/><Relationship Id="rId202" Type="http://schemas.openxmlformats.org/officeDocument/2006/relationships/hyperlink" Target="http://datos.gob.es/" TargetMode="External"/><Relationship Id="rId203" Type="http://schemas.openxmlformats.org/officeDocument/2006/relationships/hyperlink" Target="http://datos.gob.es/" TargetMode="External"/><Relationship Id="rId204" Type="http://schemas.openxmlformats.org/officeDocument/2006/relationships/hyperlink" Target="http://datos.gob.es/" TargetMode="External"/><Relationship Id="rId205" Type="http://schemas.openxmlformats.org/officeDocument/2006/relationships/hyperlink" Target="http://datos.gob.es/" TargetMode="External"/><Relationship Id="rId206" Type="http://schemas.openxmlformats.org/officeDocument/2006/relationships/hyperlink" Target="http://datos.gob.es/" TargetMode="External"/><Relationship Id="rId207" Type="http://schemas.openxmlformats.org/officeDocument/2006/relationships/hyperlink" Target="http://datos.gob.es/" TargetMode="External"/><Relationship Id="rId208" Type="http://schemas.openxmlformats.org/officeDocument/2006/relationships/hyperlink" Target="http://datos.gob.es/" TargetMode="External"/><Relationship Id="rId209" Type="http://schemas.openxmlformats.org/officeDocument/2006/relationships/hyperlink" Target="http://datos.gob.es/" TargetMode="External"/><Relationship Id="rId210" Type="http://schemas.openxmlformats.org/officeDocument/2006/relationships/hyperlink" Target="http://datos.gob.es/" TargetMode="External"/><Relationship Id="rId211" Type="http://schemas.openxmlformats.org/officeDocument/2006/relationships/hyperlink" Target="http://datos.gob.es/" TargetMode="External"/><Relationship Id="rId212" Type="http://schemas.openxmlformats.org/officeDocument/2006/relationships/hyperlink" Target="http://datos.gob.es/" TargetMode="External"/><Relationship Id="rId213" Type="http://schemas.openxmlformats.org/officeDocument/2006/relationships/hyperlink" Target="http://datos.gob.es/" TargetMode="External"/><Relationship Id="rId214" Type="http://schemas.openxmlformats.org/officeDocument/2006/relationships/hyperlink" Target="http://datos.gob.es/" TargetMode="External"/><Relationship Id="rId215" Type="http://schemas.openxmlformats.org/officeDocument/2006/relationships/hyperlink" Target="http://datos.gob.es/" TargetMode="External"/><Relationship Id="rId216" Type="http://schemas.openxmlformats.org/officeDocument/2006/relationships/hyperlink" Target="http://datos.gob.es/" TargetMode="External"/><Relationship Id="rId217" Type="http://schemas.openxmlformats.org/officeDocument/2006/relationships/hyperlink" Target="http://datos.gob.es/" TargetMode="External"/><Relationship Id="rId218" Type="http://schemas.openxmlformats.org/officeDocument/2006/relationships/hyperlink" Target="http://datos.gob.es/" TargetMode="External"/><Relationship Id="rId219" Type="http://schemas.openxmlformats.org/officeDocument/2006/relationships/hyperlink" Target="http://datos.gob.es/" TargetMode="External"/><Relationship Id="rId220" Type="http://schemas.openxmlformats.org/officeDocument/2006/relationships/hyperlink" Target="http://datos.gob.es/" TargetMode="External"/><Relationship Id="rId221" Type="http://schemas.openxmlformats.org/officeDocument/2006/relationships/hyperlink" Target="http://datos.gob.es/" TargetMode="External"/><Relationship Id="rId222" Type="http://schemas.openxmlformats.org/officeDocument/2006/relationships/hyperlink" Target="http://datos.gob.es/" TargetMode="External"/><Relationship Id="rId223" Type="http://schemas.openxmlformats.org/officeDocument/2006/relationships/hyperlink" Target="http://datos.gob.es/" TargetMode="External"/><Relationship Id="rId224" Type="http://schemas.openxmlformats.org/officeDocument/2006/relationships/hyperlink" Target="http://datos.gob.es/" TargetMode="External"/><Relationship Id="rId225" Type="http://schemas.openxmlformats.org/officeDocument/2006/relationships/hyperlink" Target="http://datos.gob.es/" TargetMode="External"/><Relationship Id="rId226" Type="http://schemas.openxmlformats.org/officeDocument/2006/relationships/hyperlink" Target="http://datos.gob.es/" TargetMode="External"/><Relationship Id="rId227" Type="http://schemas.openxmlformats.org/officeDocument/2006/relationships/hyperlink" Target="http://datos.gob.es/" TargetMode="External"/><Relationship Id="rId228" Type="http://schemas.openxmlformats.org/officeDocument/2006/relationships/hyperlink" Target="http://datos.gob.es/" TargetMode="External"/><Relationship Id="rId229" Type="http://schemas.openxmlformats.org/officeDocument/2006/relationships/hyperlink" Target="http://datos.gob.es/" TargetMode="External"/><Relationship Id="rId230" Type="http://schemas.openxmlformats.org/officeDocument/2006/relationships/hyperlink" Target="http://datos.gob.es/" TargetMode="External"/><Relationship Id="rId231" Type="http://schemas.openxmlformats.org/officeDocument/2006/relationships/hyperlink" Target="http://datos.gob.es/" TargetMode="External"/><Relationship Id="rId232" Type="http://schemas.openxmlformats.org/officeDocument/2006/relationships/hyperlink" Target="http://datos.gob.es/" TargetMode="External"/><Relationship Id="rId233" Type="http://schemas.openxmlformats.org/officeDocument/2006/relationships/hyperlink" Target="http://datos.gob.es/" TargetMode="External"/><Relationship Id="rId234" Type="http://schemas.openxmlformats.org/officeDocument/2006/relationships/hyperlink" Target="http://datos.gob.es/" TargetMode="External"/><Relationship Id="rId235" Type="http://schemas.openxmlformats.org/officeDocument/2006/relationships/hyperlink" Target="http://datos.gob.es/" TargetMode="External"/><Relationship Id="rId236" Type="http://schemas.openxmlformats.org/officeDocument/2006/relationships/hyperlink" Target="http://datos.gob.es/" TargetMode="External"/><Relationship Id="rId237" Type="http://schemas.openxmlformats.org/officeDocument/2006/relationships/hyperlink" Target="http://datos.gob.es/" TargetMode="External"/><Relationship Id="rId238" Type="http://schemas.openxmlformats.org/officeDocument/2006/relationships/hyperlink" Target="http://datos.gob.es/" TargetMode="External"/><Relationship Id="rId239" Type="http://schemas.openxmlformats.org/officeDocument/2006/relationships/hyperlink" Target="http://datos.gob.es/" TargetMode="External"/><Relationship Id="rId240" Type="http://schemas.openxmlformats.org/officeDocument/2006/relationships/hyperlink" Target="http://datos.gob.es/" TargetMode="External"/><Relationship Id="rId241" Type="http://schemas.openxmlformats.org/officeDocument/2006/relationships/hyperlink" Target="http://datos.gob.es/" TargetMode="External"/><Relationship Id="rId242" Type="http://schemas.openxmlformats.org/officeDocument/2006/relationships/hyperlink" Target="http://datos.gob.es/" TargetMode="External"/><Relationship Id="rId243" Type="http://schemas.openxmlformats.org/officeDocument/2006/relationships/hyperlink" Target="http://datos.gob.es/" TargetMode="External"/><Relationship Id="rId244" Type="http://schemas.openxmlformats.org/officeDocument/2006/relationships/hyperlink" Target="http://datos.gob.es/" TargetMode="External"/><Relationship Id="rId245" Type="http://schemas.openxmlformats.org/officeDocument/2006/relationships/hyperlink" Target="http://datos.gob.es/" TargetMode="External"/><Relationship Id="rId246" Type="http://schemas.openxmlformats.org/officeDocument/2006/relationships/hyperlink" Target="http://datos.gob.es/" TargetMode="External"/><Relationship Id="rId247" Type="http://schemas.openxmlformats.org/officeDocument/2006/relationships/hyperlink" Target="http://datos.gob.es/" TargetMode="External"/><Relationship Id="rId248" Type="http://schemas.openxmlformats.org/officeDocument/2006/relationships/hyperlink" Target="http://datos.gob.es/" TargetMode="External"/><Relationship Id="rId249" Type="http://schemas.openxmlformats.org/officeDocument/2006/relationships/hyperlink" Target="http://datos.gob.es/" TargetMode="External"/><Relationship Id="rId250" Type="http://schemas.openxmlformats.org/officeDocument/2006/relationships/hyperlink" Target="http://datos.gob.es/" TargetMode="External"/><Relationship Id="rId251" Type="http://schemas.openxmlformats.org/officeDocument/2006/relationships/hyperlink" Target="http://datos.gob.es/" TargetMode="External"/><Relationship Id="rId252" Type="http://schemas.openxmlformats.org/officeDocument/2006/relationships/hyperlink" Target="http://datos.gob.es/" TargetMode="External"/><Relationship Id="rId253" Type="http://schemas.openxmlformats.org/officeDocument/2006/relationships/hyperlink" Target="http://datos.gob.es/" TargetMode="External"/><Relationship Id="rId254" Type="http://schemas.openxmlformats.org/officeDocument/2006/relationships/hyperlink" Target="http://datos.gob.es/" TargetMode="External"/><Relationship Id="rId255" Type="http://schemas.openxmlformats.org/officeDocument/2006/relationships/hyperlink" Target="http://datos.gob.es/" TargetMode="External"/><Relationship Id="rId256" Type="http://schemas.openxmlformats.org/officeDocument/2006/relationships/hyperlink" Target="http://datos.gob.es/" TargetMode="External"/><Relationship Id="rId257" Type="http://schemas.openxmlformats.org/officeDocument/2006/relationships/hyperlink" Target="http://datos.gob.es/" TargetMode="External"/><Relationship Id="rId258" Type="http://schemas.openxmlformats.org/officeDocument/2006/relationships/hyperlink" Target="http://datos.gob.es/" TargetMode="External"/><Relationship Id="rId259" Type="http://schemas.openxmlformats.org/officeDocument/2006/relationships/hyperlink" Target="http://datos.gob.es/" TargetMode="External"/><Relationship Id="rId260" Type="http://schemas.openxmlformats.org/officeDocument/2006/relationships/hyperlink" Target="http://datos.gob.es/" TargetMode="External"/><Relationship Id="rId261" Type="http://schemas.openxmlformats.org/officeDocument/2006/relationships/hyperlink" Target="http://datos.gob.es/" TargetMode="External"/><Relationship Id="rId262" Type="http://schemas.openxmlformats.org/officeDocument/2006/relationships/hyperlink" Target="http://datos.gob.es/" TargetMode="External"/><Relationship Id="rId263" Type="http://schemas.openxmlformats.org/officeDocument/2006/relationships/hyperlink" Target="http://datos.gob.es/" TargetMode="External"/><Relationship Id="rId264" Type="http://schemas.openxmlformats.org/officeDocument/2006/relationships/hyperlink" Target="http://datos.gob.es/" TargetMode="External"/><Relationship Id="rId265" Type="http://schemas.openxmlformats.org/officeDocument/2006/relationships/hyperlink" Target="http://datos.gob.es/" TargetMode="External"/><Relationship Id="rId266" Type="http://schemas.openxmlformats.org/officeDocument/2006/relationships/hyperlink" Target="http://datos.gob.es/" TargetMode="External"/><Relationship Id="rId267" Type="http://schemas.openxmlformats.org/officeDocument/2006/relationships/hyperlink" Target="http://datos.gob.es/" TargetMode="External"/><Relationship Id="rId268" Type="http://schemas.openxmlformats.org/officeDocument/2006/relationships/hyperlink" Target="http://datos.gob.es/" TargetMode="External"/><Relationship Id="rId269" Type="http://schemas.openxmlformats.org/officeDocument/2006/relationships/hyperlink" Target="http://datos.gob.es/" TargetMode="External"/><Relationship Id="rId270" Type="http://schemas.openxmlformats.org/officeDocument/2006/relationships/hyperlink" Target="http://datos.gob.es/" TargetMode="External"/><Relationship Id="rId271" Type="http://schemas.openxmlformats.org/officeDocument/2006/relationships/hyperlink" Target="http://datos.gob.es/" TargetMode="External"/><Relationship Id="rId272" Type="http://schemas.openxmlformats.org/officeDocument/2006/relationships/hyperlink" Target="http://datos.gob.es/" TargetMode="External"/><Relationship Id="rId273" Type="http://schemas.openxmlformats.org/officeDocument/2006/relationships/hyperlink" Target="http://datos.gob.es/" TargetMode="External"/><Relationship Id="rId274" Type="http://schemas.openxmlformats.org/officeDocument/2006/relationships/hyperlink" Target="http://datos.gob.es/" TargetMode="External"/><Relationship Id="rId275" Type="http://schemas.openxmlformats.org/officeDocument/2006/relationships/hyperlink" Target="http://datos.gob.es/" TargetMode="External"/><Relationship Id="rId276" Type="http://schemas.openxmlformats.org/officeDocument/2006/relationships/hyperlink" Target="http://datos.gob.es/" TargetMode="External"/><Relationship Id="rId277" Type="http://schemas.openxmlformats.org/officeDocument/2006/relationships/hyperlink" Target="http://datos.gob.es/" TargetMode="External"/><Relationship Id="rId278" Type="http://schemas.openxmlformats.org/officeDocument/2006/relationships/hyperlink" Target="http://datos.gob.es/" TargetMode="External"/><Relationship Id="rId279" Type="http://schemas.openxmlformats.org/officeDocument/2006/relationships/hyperlink" Target="http://datos.gob.es/" TargetMode="External"/><Relationship Id="rId280" Type="http://schemas.openxmlformats.org/officeDocument/2006/relationships/hyperlink" Target="http://datos.gob.es/" TargetMode="External"/><Relationship Id="rId281" Type="http://schemas.openxmlformats.org/officeDocument/2006/relationships/hyperlink" Target="http://datos.gob.es/" TargetMode="External"/><Relationship Id="rId282" Type="http://schemas.openxmlformats.org/officeDocument/2006/relationships/hyperlink" Target="http://datos.gob.es/" TargetMode="External"/><Relationship Id="rId283" Type="http://schemas.openxmlformats.org/officeDocument/2006/relationships/hyperlink" Target="http://datos.gob.es/" TargetMode="External"/><Relationship Id="rId284" Type="http://schemas.openxmlformats.org/officeDocument/2006/relationships/hyperlink" Target="http://datos.gob.es/" TargetMode="External"/><Relationship Id="rId285" Type="http://schemas.openxmlformats.org/officeDocument/2006/relationships/hyperlink" Target="http://datos.gob.es/" TargetMode="External"/><Relationship Id="rId286" Type="http://schemas.openxmlformats.org/officeDocument/2006/relationships/hyperlink" Target="http://datos.gob.es/" TargetMode="External"/><Relationship Id="rId287" Type="http://schemas.openxmlformats.org/officeDocument/2006/relationships/hyperlink" Target="http://datos.gob.es/" TargetMode="External"/><Relationship Id="rId288" Type="http://schemas.openxmlformats.org/officeDocument/2006/relationships/hyperlink" Target="http://datos.gob.es/" TargetMode="External"/><Relationship Id="rId289" Type="http://schemas.openxmlformats.org/officeDocument/2006/relationships/hyperlink" Target="http://datos.gob.es/" TargetMode="External"/><Relationship Id="rId290" Type="http://schemas.openxmlformats.org/officeDocument/2006/relationships/hyperlink" Target="http://datos.gob.es/" TargetMode="External"/><Relationship Id="rId291" Type="http://schemas.openxmlformats.org/officeDocument/2006/relationships/hyperlink" Target="http://datos.gob.es/" TargetMode="External"/><Relationship Id="rId292" Type="http://schemas.openxmlformats.org/officeDocument/2006/relationships/hyperlink" Target="http://datos.gob.es/" TargetMode="External"/><Relationship Id="rId293" Type="http://schemas.openxmlformats.org/officeDocument/2006/relationships/hyperlink" Target="http://datos.gob.es/" TargetMode="External"/><Relationship Id="rId294" Type="http://schemas.openxmlformats.org/officeDocument/2006/relationships/hyperlink" Target="http://datos.gob.es/" TargetMode="External"/><Relationship Id="rId295" Type="http://schemas.openxmlformats.org/officeDocument/2006/relationships/hyperlink" Target="http://datos.gob.es/" TargetMode="External"/><Relationship Id="rId296" Type="http://schemas.openxmlformats.org/officeDocument/2006/relationships/hyperlink" Target="http://datos.gob.es/" TargetMode="External"/><Relationship Id="rId297" Type="http://schemas.openxmlformats.org/officeDocument/2006/relationships/hyperlink" Target="http://datos.gob.es/" TargetMode="External"/><Relationship Id="rId298" Type="http://schemas.openxmlformats.org/officeDocument/2006/relationships/hyperlink" Target="http://datos.gob.es/" TargetMode="External"/><Relationship Id="rId299" Type="http://schemas.openxmlformats.org/officeDocument/2006/relationships/hyperlink" Target="http://datos.gob.es/" TargetMode="External"/><Relationship Id="rId300" Type="http://schemas.openxmlformats.org/officeDocument/2006/relationships/hyperlink" Target="http://datos.gob.es/" TargetMode="External"/><Relationship Id="rId301" Type="http://schemas.openxmlformats.org/officeDocument/2006/relationships/hyperlink" Target="http://datos.gob.es/" TargetMode="External"/><Relationship Id="rId302" Type="http://schemas.openxmlformats.org/officeDocument/2006/relationships/hyperlink" Target="http://datos.gob.es/" TargetMode="External"/><Relationship Id="rId303" Type="http://schemas.openxmlformats.org/officeDocument/2006/relationships/hyperlink" Target="http://datos.gob.es/" TargetMode="External"/><Relationship Id="rId304" Type="http://schemas.openxmlformats.org/officeDocument/2006/relationships/hyperlink" Target="http://datos.gob.es/" TargetMode="External"/><Relationship Id="rId305" Type="http://schemas.openxmlformats.org/officeDocument/2006/relationships/hyperlink" Target="http://datos.gob.es/" TargetMode="External"/><Relationship Id="rId306" Type="http://schemas.openxmlformats.org/officeDocument/2006/relationships/hyperlink" Target="http://datos.gob.es/" TargetMode="External"/><Relationship Id="rId307" Type="http://schemas.openxmlformats.org/officeDocument/2006/relationships/hyperlink" Target="http://datos.gob.es/" TargetMode="External"/><Relationship Id="rId308" Type="http://schemas.openxmlformats.org/officeDocument/2006/relationships/hyperlink" Target="http://datos.gob.es/" TargetMode="External"/><Relationship Id="rId309" Type="http://schemas.openxmlformats.org/officeDocument/2006/relationships/hyperlink" Target="http://datos.gob.es/" TargetMode="External"/><Relationship Id="rId310" Type="http://schemas.openxmlformats.org/officeDocument/2006/relationships/hyperlink" Target="http://datos.gob.es/" TargetMode="External"/><Relationship Id="rId311" Type="http://schemas.openxmlformats.org/officeDocument/2006/relationships/hyperlink" Target="http://datos.gob.es/" TargetMode="External"/><Relationship Id="rId312" Type="http://schemas.openxmlformats.org/officeDocument/2006/relationships/hyperlink" Target="http://datos.gob.es/" TargetMode="External"/><Relationship Id="rId313" Type="http://schemas.openxmlformats.org/officeDocument/2006/relationships/hyperlink" Target="http://datos.gob.es/" TargetMode="External"/><Relationship Id="rId314" Type="http://schemas.openxmlformats.org/officeDocument/2006/relationships/hyperlink" Target="http://datos.gob.es/" TargetMode="External"/><Relationship Id="rId315" Type="http://schemas.openxmlformats.org/officeDocument/2006/relationships/hyperlink" Target="http://datos.gob.es/" TargetMode="External"/><Relationship Id="rId316" Type="http://schemas.openxmlformats.org/officeDocument/2006/relationships/hyperlink" Target="http://datos.gob.es/" TargetMode="External"/><Relationship Id="rId317" Type="http://schemas.openxmlformats.org/officeDocument/2006/relationships/hyperlink" Target="http://datos.gob.es/" TargetMode="External"/><Relationship Id="rId318" Type="http://schemas.openxmlformats.org/officeDocument/2006/relationships/hyperlink" Target="http://datos.gob.es/" TargetMode="External"/><Relationship Id="rId319" Type="http://schemas.openxmlformats.org/officeDocument/2006/relationships/hyperlink" Target="http://datos.gob.es/" TargetMode="External"/><Relationship Id="rId320" Type="http://schemas.openxmlformats.org/officeDocument/2006/relationships/hyperlink" Target="http://datos.gob.es/" TargetMode="External"/><Relationship Id="rId321" Type="http://schemas.openxmlformats.org/officeDocument/2006/relationships/hyperlink" Target="http://datos.gob.es/" TargetMode="External"/><Relationship Id="rId322" Type="http://schemas.openxmlformats.org/officeDocument/2006/relationships/hyperlink" Target="http://datos.gob.es/" TargetMode="External"/><Relationship Id="rId323" Type="http://schemas.openxmlformats.org/officeDocument/2006/relationships/hyperlink" Target="http://datos.gob.es/" TargetMode="External"/><Relationship Id="rId324" Type="http://schemas.openxmlformats.org/officeDocument/2006/relationships/hyperlink" Target="http://datos.gob.es/" TargetMode="External"/><Relationship Id="rId325" Type="http://schemas.openxmlformats.org/officeDocument/2006/relationships/hyperlink" Target="http://datos.gob.es/" TargetMode="External"/><Relationship Id="rId326" Type="http://schemas.openxmlformats.org/officeDocument/2006/relationships/hyperlink" Target="http://datos.gob.es/" TargetMode="External"/><Relationship Id="rId327" Type="http://schemas.openxmlformats.org/officeDocument/2006/relationships/hyperlink" Target="http://datos.gob.es/" TargetMode="External"/><Relationship Id="rId328" Type="http://schemas.openxmlformats.org/officeDocument/2006/relationships/hyperlink" Target="http://datos.gob.es/" TargetMode="External"/><Relationship Id="rId329" Type="http://schemas.openxmlformats.org/officeDocument/2006/relationships/hyperlink" Target="http://datos.gob.es/" TargetMode="External"/><Relationship Id="rId330" Type="http://schemas.openxmlformats.org/officeDocument/2006/relationships/hyperlink" Target="http://datos.gob.es/" TargetMode="External"/><Relationship Id="rId331" Type="http://schemas.openxmlformats.org/officeDocument/2006/relationships/hyperlink" Target="http://datos.gob.es/" TargetMode="External"/><Relationship Id="rId332" Type="http://schemas.openxmlformats.org/officeDocument/2006/relationships/hyperlink" Target="http://datos.gob.es/" TargetMode="External"/><Relationship Id="rId333" Type="http://schemas.openxmlformats.org/officeDocument/2006/relationships/hyperlink" Target="http://datos.gob.es/" TargetMode="External"/><Relationship Id="rId334" Type="http://schemas.openxmlformats.org/officeDocument/2006/relationships/hyperlink" Target="http://datos.gob.es/" TargetMode="External"/><Relationship Id="rId335" Type="http://schemas.openxmlformats.org/officeDocument/2006/relationships/hyperlink" Target="http://datos.gob.es/" TargetMode="External"/><Relationship Id="rId336" Type="http://schemas.openxmlformats.org/officeDocument/2006/relationships/hyperlink" Target="http://datos.gob.es/" TargetMode="External"/><Relationship Id="rId337" Type="http://schemas.openxmlformats.org/officeDocument/2006/relationships/hyperlink" Target="http://datos.gob.es/" TargetMode="External"/><Relationship Id="rId338" Type="http://schemas.openxmlformats.org/officeDocument/2006/relationships/hyperlink" Target="http://datos.gob.es/" TargetMode="External"/><Relationship Id="rId339" Type="http://schemas.openxmlformats.org/officeDocument/2006/relationships/hyperlink" Target="http://datos.gob.es/" TargetMode="External"/><Relationship Id="rId340" Type="http://schemas.openxmlformats.org/officeDocument/2006/relationships/hyperlink" Target="http://datos.gob.es/" TargetMode="External"/><Relationship Id="rId341" Type="http://schemas.openxmlformats.org/officeDocument/2006/relationships/hyperlink" Target="http://datos.gob.es/" TargetMode="External"/><Relationship Id="rId342" Type="http://schemas.openxmlformats.org/officeDocument/2006/relationships/hyperlink" Target="http://datos.gob.es/" TargetMode="External"/><Relationship Id="rId343" Type="http://schemas.openxmlformats.org/officeDocument/2006/relationships/hyperlink" Target="http://datos.gob.es/" TargetMode="External"/><Relationship Id="rId344" Type="http://schemas.openxmlformats.org/officeDocument/2006/relationships/hyperlink" Target="http://datos.gob.es/" TargetMode="External"/><Relationship Id="rId345" Type="http://schemas.openxmlformats.org/officeDocument/2006/relationships/hyperlink" Target="http://datos.gob.es/" TargetMode="External"/><Relationship Id="rId346" Type="http://schemas.openxmlformats.org/officeDocument/2006/relationships/hyperlink" Target="http://datos.gob.es/" TargetMode="External"/><Relationship Id="rId347" Type="http://schemas.openxmlformats.org/officeDocument/2006/relationships/hyperlink" Target="http://datos.gob.es/" TargetMode="External"/><Relationship Id="rId348" Type="http://schemas.openxmlformats.org/officeDocument/2006/relationships/hyperlink" Target="http://datos.gob.es/" TargetMode="External"/><Relationship Id="rId349" Type="http://schemas.openxmlformats.org/officeDocument/2006/relationships/hyperlink" Target="http://datos.gob.es/" TargetMode="External"/><Relationship Id="rId350" Type="http://schemas.openxmlformats.org/officeDocument/2006/relationships/hyperlink" Target="http://datos.gob.es/" TargetMode="External"/><Relationship Id="rId351" Type="http://schemas.openxmlformats.org/officeDocument/2006/relationships/hyperlink" Target="http://datos.gob.es/" TargetMode="External"/><Relationship Id="rId352" Type="http://schemas.openxmlformats.org/officeDocument/2006/relationships/hyperlink" Target="http://datos.gob.es/" TargetMode="External"/><Relationship Id="rId353" Type="http://schemas.openxmlformats.org/officeDocument/2006/relationships/hyperlink" Target="http://datos.gob.es/" TargetMode="External"/><Relationship Id="rId354" Type="http://schemas.openxmlformats.org/officeDocument/2006/relationships/hyperlink" Target="http://datos.gob.es/" TargetMode="External"/><Relationship Id="rId355" Type="http://schemas.openxmlformats.org/officeDocument/2006/relationships/hyperlink" Target="http://datos.gob.es/" TargetMode="External"/><Relationship Id="rId356" Type="http://schemas.openxmlformats.org/officeDocument/2006/relationships/hyperlink" Target="http://datos.gob.es/" TargetMode="External"/><Relationship Id="rId357" Type="http://schemas.openxmlformats.org/officeDocument/2006/relationships/hyperlink" Target="http://datos.gob.es/" TargetMode="External"/><Relationship Id="rId358" Type="http://schemas.openxmlformats.org/officeDocument/2006/relationships/hyperlink" Target="http://datos.gob.es/" TargetMode="External"/><Relationship Id="rId359" Type="http://schemas.openxmlformats.org/officeDocument/2006/relationships/hyperlink" Target="http://datos.gob.es/" TargetMode="External"/><Relationship Id="rId360" Type="http://schemas.openxmlformats.org/officeDocument/2006/relationships/hyperlink" Target="http://datos.gob.es/" TargetMode="External"/><Relationship Id="rId361" Type="http://schemas.openxmlformats.org/officeDocument/2006/relationships/hyperlink" Target="http://datos.gob.es/" TargetMode="External"/><Relationship Id="rId362" Type="http://schemas.openxmlformats.org/officeDocument/2006/relationships/hyperlink" Target="http://datos.gob.es/" TargetMode="External"/><Relationship Id="rId363" Type="http://schemas.openxmlformats.org/officeDocument/2006/relationships/hyperlink" Target="http://datos.gob.es/" TargetMode="External"/><Relationship Id="rId364" Type="http://schemas.openxmlformats.org/officeDocument/2006/relationships/hyperlink" Target="http://datos.gob.es/" TargetMode="External"/><Relationship Id="rId365" Type="http://schemas.openxmlformats.org/officeDocument/2006/relationships/hyperlink" Target="http://datos.gob.es/" TargetMode="External"/><Relationship Id="rId366" Type="http://schemas.openxmlformats.org/officeDocument/2006/relationships/hyperlink" Target="http://datos.gob.es/" TargetMode="External"/><Relationship Id="rId367" Type="http://schemas.openxmlformats.org/officeDocument/2006/relationships/hyperlink" Target="http://datos.gob.es/" TargetMode="External"/><Relationship Id="rId368" Type="http://schemas.openxmlformats.org/officeDocument/2006/relationships/hyperlink" Target="http://datos.gob.es/" TargetMode="External"/><Relationship Id="rId369" Type="http://schemas.openxmlformats.org/officeDocument/2006/relationships/hyperlink" Target="http://datos.gob.es/" TargetMode="External"/><Relationship Id="rId370" Type="http://schemas.openxmlformats.org/officeDocument/2006/relationships/hyperlink" Target="http://datos.gob.es/" TargetMode="External"/><Relationship Id="rId371" Type="http://schemas.openxmlformats.org/officeDocument/2006/relationships/hyperlink" Target="http://datos.gob.es/" TargetMode="External"/><Relationship Id="rId372" Type="http://schemas.openxmlformats.org/officeDocument/2006/relationships/hyperlink" Target="http://datos.gob.es/" TargetMode="External"/><Relationship Id="rId373" Type="http://schemas.openxmlformats.org/officeDocument/2006/relationships/hyperlink" Target="http://datos.gob.es/" TargetMode="External"/><Relationship Id="rId374" Type="http://schemas.openxmlformats.org/officeDocument/2006/relationships/hyperlink" Target="http://datos.gob.es/" TargetMode="External"/><Relationship Id="rId375" Type="http://schemas.openxmlformats.org/officeDocument/2006/relationships/hyperlink" Target="http://datos.gob.es/" TargetMode="External"/><Relationship Id="rId376" Type="http://schemas.openxmlformats.org/officeDocument/2006/relationships/hyperlink" Target="http://datos.gob.es/" TargetMode="External"/><Relationship Id="rId377" Type="http://schemas.openxmlformats.org/officeDocument/2006/relationships/hyperlink" Target="http://datos.gob.es/" TargetMode="External"/><Relationship Id="rId378" Type="http://schemas.openxmlformats.org/officeDocument/2006/relationships/hyperlink" Target="http://datos.gob.es/" TargetMode="External"/><Relationship Id="rId379" Type="http://schemas.openxmlformats.org/officeDocument/2006/relationships/hyperlink" Target="http://datos.gob.es/" TargetMode="External"/><Relationship Id="rId380" Type="http://schemas.openxmlformats.org/officeDocument/2006/relationships/hyperlink" Target="http://datos.gob.es/" TargetMode="External"/><Relationship Id="rId381" Type="http://schemas.openxmlformats.org/officeDocument/2006/relationships/hyperlink" Target="http://datos.gob.es/" TargetMode="External"/><Relationship Id="rId382" Type="http://schemas.openxmlformats.org/officeDocument/2006/relationships/hyperlink" Target="http://datos.gob.es/" TargetMode="External"/><Relationship Id="rId383" Type="http://schemas.openxmlformats.org/officeDocument/2006/relationships/hyperlink" Target="http://datos.gob.es/" TargetMode="External"/><Relationship Id="rId384" Type="http://schemas.openxmlformats.org/officeDocument/2006/relationships/hyperlink" Target="http://datos.gob.es/" TargetMode="External"/><Relationship Id="rId385" Type="http://schemas.openxmlformats.org/officeDocument/2006/relationships/hyperlink" Target="http://datos.gob.es/" TargetMode="External"/><Relationship Id="rId386" Type="http://schemas.openxmlformats.org/officeDocument/2006/relationships/hyperlink" Target="http://datos.gob.es/" TargetMode="External"/><Relationship Id="rId387" Type="http://schemas.openxmlformats.org/officeDocument/2006/relationships/hyperlink" Target="http://datos.gob.es/" TargetMode="External"/><Relationship Id="rId388" Type="http://schemas.openxmlformats.org/officeDocument/2006/relationships/hyperlink" Target="http://datos.gob.es/" TargetMode="External"/><Relationship Id="rId389" Type="http://schemas.openxmlformats.org/officeDocument/2006/relationships/hyperlink" Target="http://datos.gob.es/" TargetMode="External"/><Relationship Id="rId390" Type="http://schemas.openxmlformats.org/officeDocument/2006/relationships/hyperlink" Target="http://datos.gob.es/" TargetMode="External"/><Relationship Id="rId391" Type="http://schemas.openxmlformats.org/officeDocument/2006/relationships/hyperlink" Target="http://datos.gob.es/" TargetMode="External"/><Relationship Id="rId392" Type="http://schemas.openxmlformats.org/officeDocument/2006/relationships/hyperlink" Target="http://datos.gob.es/" TargetMode="External"/><Relationship Id="rId393" Type="http://schemas.openxmlformats.org/officeDocument/2006/relationships/hyperlink" Target="http://datos.gob.es/" TargetMode="External"/><Relationship Id="rId394" Type="http://schemas.openxmlformats.org/officeDocument/2006/relationships/hyperlink" Target="http://datos.gob.es/" TargetMode="External"/><Relationship Id="rId395" Type="http://schemas.openxmlformats.org/officeDocument/2006/relationships/hyperlink" Target="http://datos.gob.es/" TargetMode="External"/><Relationship Id="rId396" Type="http://schemas.openxmlformats.org/officeDocument/2006/relationships/hyperlink" Target="http://datos.gob.es/" TargetMode="External"/><Relationship Id="rId397" Type="http://schemas.openxmlformats.org/officeDocument/2006/relationships/hyperlink" Target="http://datos.gob.es/" TargetMode="External"/><Relationship Id="rId398" Type="http://schemas.openxmlformats.org/officeDocument/2006/relationships/hyperlink" Target="http://datos.gob.es/" TargetMode="External"/><Relationship Id="rId399" Type="http://schemas.openxmlformats.org/officeDocument/2006/relationships/hyperlink" Target="http://datos.gob.es/" TargetMode="External"/><Relationship Id="rId400" Type="http://schemas.openxmlformats.org/officeDocument/2006/relationships/hyperlink" Target="http://datos.gob.es/" TargetMode="External"/><Relationship Id="rId401" Type="http://schemas.openxmlformats.org/officeDocument/2006/relationships/hyperlink" Target="http://datos.gob.es/" TargetMode="External"/><Relationship Id="rId402" Type="http://schemas.openxmlformats.org/officeDocument/2006/relationships/hyperlink" Target="http://datos.gob.es/" TargetMode="External"/><Relationship Id="rId403" Type="http://schemas.openxmlformats.org/officeDocument/2006/relationships/hyperlink" Target="http://datos.gob.es/" TargetMode="External"/><Relationship Id="rId404" Type="http://schemas.openxmlformats.org/officeDocument/2006/relationships/hyperlink" Target="http://datos.gob.es/" TargetMode="External"/><Relationship Id="rId405" Type="http://schemas.openxmlformats.org/officeDocument/2006/relationships/hyperlink" Target="http://datos.gob.es/" TargetMode="External"/><Relationship Id="rId406" Type="http://schemas.openxmlformats.org/officeDocument/2006/relationships/hyperlink" Target="http://datos.gob.es/" TargetMode="External"/><Relationship Id="rId407" Type="http://schemas.openxmlformats.org/officeDocument/2006/relationships/hyperlink" Target="http://datos.gob.es/" TargetMode="External"/><Relationship Id="rId408" Type="http://schemas.openxmlformats.org/officeDocument/2006/relationships/hyperlink" Target="http://datos.gob.es/" TargetMode="External"/><Relationship Id="rId409" Type="http://schemas.openxmlformats.org/officeDocument/2006/relationships/hyperlink" Target="http://datos.gob.es/" TargetMode="External"/><Relationship Id="rId410" Type="http://schemas.openxmlformats.org/officeDocument/2006/relationships/hyperlink" Target="http://datos.gob.es/" TargetMode="External"/><Relationship Id="rId411" Type="http://schemas.openxmlformats.org/officeDocument/2006/relationships/hyperlink" Target="http://datos.gob.es/" TargetMode="External"/><Relationship Id="rId412" Type="http://schemas.openxmlformats.org/officeDocument/2006/relationships/hyperlink" Target="http://datos.gob.es/" TargetMode="External"/><Relationship Id="rId413" Type="http://schemas.openxmlformats.org/officeDocument/2006/relationships/hyperlink" Target="http://datos.gob.es/" TargetMode="External"/><Relationship Id="rId414" Type="http://schemas.openxmlformats.org/officeDocument/2006/relationships/hyperlink" Target="http://datos.gob.es/" TargetMode="External"/><Relationship Id="rId415" Type="http://schemas.openxmlformats.org/officeDocument/2006/relationships/hyperlink" Target="http://datos.gob.es/" TargetMode="External"/><Relationship Id="rId416" Type="http://schemas.openxmlformats.org/officeDocument/2006/relationships/hyperlink" Target="http://datos.gob.es/" TargetMode="External"/><Relationship Id="rId417" Type="http://schemas.openxmlformats.org/officeDocument/2006/relationships/hyperlink" Target="http://datos.gob.es/" TargetMode="External"/><Relationship Id="rId418" Type="http://schemas.openxmlformats.org/officeDocument/2006/relationships/hyperlink" Target="http://datos.gob.es/" TargetMode="External"/><Relationship Id="rId419" Type="http://schemas.openxmlformats.org/officeDocument/2006/relationships/hyperlink" Target="http://datos.gob.es/" TargetMode="External"/><Relationship Id="rId420" Type="http://schemas.openxmlformats.org/officeDocument/2006/relationships/hyperlink" Target="http://datos.gob.es/" TargetMode="External"/><Relationship Id="rId421" Type="http://schemas.openxmlformats.org/officeDocument/2006/relationships/hyperlink" Target="http://datos.gob.es/" TargetMode="External"/><Relationship Id="rId422" Type="http://schemas.openxmlformats.org/officeDocument/2006/relationships/hyperlink" Target="http://datos.gob.es/" TargetMode="External"/><Relationship Id="rId423" Type="http://schemas.openxmlformats.org/officeDocument/2006/relationships/hyperlink" Target="http://datos.gob.es/" TargetMode="External"/><Relationship Id="rId424" Type="http://schemas.openxmlformats.org/officeDocument/2006/relationships/hyperlink" Target="http://datos.gob.es/" TargetMode="External"/><Relationship Id="rId425" Type="http://schemas.openxmlformats.org/officeDocument/2006/relationships/hyperlink" Target="http://datos.gob.es/" TargetMode="External"/><Relationship Id="rId426" Type="http://schemas.openxmlformats.org/officeDocument/2006/relationships/hyperlink" Target="http://datos.gob.es/" TargetMode="External"/><Relationship Id="rId427" Type="http://schemas.openxmlformats.org/officeDocument/2006/relationships/hyperlink" Target="http://datos.gob.es/" TargetMode="External"/><Relationship Id="rId428" Type="http://schemas.openxmlformats.org/officeDocument/2006/relationships/hyperlink" Target="http://datos.gob.es/" TargetMode="External"/><Relationship Id="rId429" Type="http://schemas.openxmlformats.org/officeDocument/2006/relationships/hyperlink" Target="http://datos.gob.es/" TargetMode="External"/><Relationship Id="rId430" Type="http://schemas.openxmlformats.org/officeDocument/2006/relationships/hyperlink" Target="http://datos.gob.es/" TargetMode="External"/><Relationship Id="rId431" Type="http://schemas.openxmlformats.org/officeDocument/2006/relationships/hyperlink" Target="http://datos.gob.es/" TargetMode="External"/><Relationship Id="rId432" Type="http://schemas.openxmlformats.org/officeDocument/2006/relationships/hyperlink" Target="http://datos.gob.es/" TargetMode="External"/><Relationship Id="rId433" Type="http://schemas.openxmlformats.org/officeDocument/2006/relationships/hyperlink" Target="http://datos.gob.es/" TargetMode="External"/><Relationship Id="rId434" Type="http://schemas.openxmlformats.org/officeDocument/2006/relationships/hyperlink" Target="http://datos.gob.es/" TargetMode="External"/><Relationship Id="rId435" Type="http://schemas.openxmlformats.org/officeDocument/2006/relationships/hyperlink" Target="http://datos.gob.es/" TargetMode="External"/><Relationship Id="rId436" Type="http://schemas.openxmlformats.org/officeDocument/2006/relationships/hyperlink" Target="http://datos.gob.es/" TargetMode="External"/>
</Relationships>
</file>

<file path=xl/worksheets/_rels/sheet5.xml.rels><?xml version="1.0" encoding="UTF-8"?>
<Relationships xmlns="http://schemas.openxmlformats.org/package/2006/relationships"><Relationship Id="rId1" Type="http://schemas.openxmlformats.org/officeDocument/2006/relationships/hyperlink" Target="http://www.opendata500.com/" TargetMode="External"/><Relationship Id="rId2" Type="http://schemas.openxmlformats.org/officeDocument/2006/relationships/hyperlink" Target="https://finances.worldbank.org/Reference/Open-Data-Use-Cases-Solutions-Survey-Responses/hibh-z4ax" TargetMode="External"/><Relationship Id="rId3" Type="http://schemas.openxmlformats.org/officeDocument/2006/relationships/hyperlink" Target="https://finances.worldbank.org/dataset/Pipeline-research-open-data-driven-companies-in-em/u4wq-7b6m" TargetMode="External"/><Relationship Id="rId4" Type="http://schemas.openxmlformats.org/officeDocument/2006/relationships/hyperlink" Target="https://sunlightfoundation.com/blog/2015/02/25/were-still-looking-for-open-data-social-impact-stories/" TargetMode="External"/><Relationship Id="rId5" Type="http://schemas.openxmlformats.org/officeDocument/2006/relationships/hyperlink" Target="https://docs.google.com/a/odenterprise.org/document/d/1wTUdHZFAEAy8LJ0khr25ztHYetCec5pZVFnIGyrD4OY/edit" TargetMode="External"/><Relationship Id="rId6" Type="http://schemas.openxmlformats.org/officeDocument/2006/relationships/hyperlink" Target="http://theodi.org/open-business-uk-survey"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G2427"/>
  <sheetViews>
    <sheetView windowProtection="false" showFormulas="false" showGridLines="true" showRowColHeaders="true" showZeros="true" rightToLeft="false" tabSelected="true" showOutlineSymbols="true" defaultGridColor="true" view="normal" topLeftCell="G1" colorId="64" zoomScale="100" zoomScaleNormal="100" zoomScalePageLayoutView="100" workbookViewId="0">
      <selection pane="topLeft" activeCell="N2" activeCellId="0" sqref="N2"/>
    </sheetView>
  </sheetViews>
  <sheetFormatPr defaultRowHeight="15.75"/>
  <cols>
    <col collapsed="false" hidden="false" max="1" min="1" style="0" width="11.7091836734694"/>
    <col collapsed="false" hidden="false" max="2" min="2" style="0" width="13.4285714285714"/>
    <col collapsed="false" hidden="false" max="3" min="3" style="0" width="28.7091836734694"/>
    <col collapsed="false" hidden="false" max="4" min="4" style="0" width="25.4336734693878"/>
    <col collapsed="false" hidden="false" max="5" min="5" style="0" width="42.7091836734694"/>
    <col collapsed="false" hidden="false" max="6" min="6" style="0" width="77.7091836734694"/>
    <col collapsed="false" hidden="false" max="7" min="7" style="0" width="13.8571428571429"/>
    <col collapsed="false" hidden="false" max="8" min="8" style="0" width="10.4285714285714"/>
    <col collapsed="false" hidden="false" max="9" min="9" style="0" width="10.9948979591837"/>
    <col collapsed="false" hidden="false" max="10" min="10" style="0" width="23.5714285714286"/>
    <col collapsed="false" hidden="false" max="12" min="11" style="0" width="15.4234693877551"/>
    <col collapsed="false" hidden="false" max="13" min="13" style="0" width="43.1326530612245"/>
    <col collapsed="false" hidden="false" max="14" min="14" style="0" width="47.2908163265306"/>
    <col collapsed="false" hidden="false" max="15" min="15" style="0" width="42.8622448979592"/>
    <col collapsed="false" hidden="false" max="16" min="16" style="0" width="32.4234693877551"/>
    <col collapsed="false" hidden="true" max="26" min="17" style="0" width="0"/>
    <col collapsed="false" hidden="false" max="27" min="27" style="0" width="7.71428571428571"/>
    <col collapsed="false" hidden="false" max="28" min="28" style="0" width="50.4336734693878"/>
    <col collapsed="false" hidden="false" max="31" min="29" style="0" width="32.4234693877551"/>
    <col collapsed="false" hidden="false" max="33" min="32" style="0" width="26.8622448979592"/>
    <col collapsed="false" hidden="false" max="1025" min="34" style="0" width="14.4285714285714"/>
  </cols>
  <sheetData>
    <row r="1" customFormat="false" ht="20.25" hidden="false" customHeight="true" outlineLevel="0" collapsed="false">
      <c r="A1" s="1" t="s">
        <v>0</v>
      </c>
      <c r="B1" s="2" t="s">
        <v>1</v>
      </c>
      <c r="C1" s="3" t="s">
        <v>2</v>
      </c>
      <c r="D1" s="4" t="s">
        <v>3</v>
      </c>
      <c r="E1" s="5" t="s">
        <v>4</v>
      </c>
      <c r="F1" s="6" t="s">
        <v>5</v>
      </c>
      <c r="G1" s="6" t="s">
        <v>6</v>
      </c>
      <c r="H1" s="6" t="s">
        <v>7</v>
      </c>
      <c r="I1" s="6" t="s">
        <v>8</v>
      </c>
      <c r="J1" s="6" t="s">
        <v>9</v>
      </c>
      <c r="K1" s="7" t="s">
        <v>10</v>
      </c>
      <c r="L1" s="7" t="s">
        <v>11</v>
      </c>
      <c r="M1" s="8" t="s">
        <v>12</v>
      </c>
      <c r="N1" s="7" t="s">
        <v>13</v>
      </c>
      <c r="O1" s="7" t="s">
        <v>14</v>
      </c>
      <c r="P1" s="6" t="s">
        <v>15</v>
      </c>
      <c r="Q1" s="1" t="s">
        <v>16</v>
      </c>
      <c r="R1" s="1" t="s">
        <v>17</v>
      </c>
      <c r="S1" s="1" t="s">
        <v>18</v>
      </c>
      <c r="T1" s="1" t="s">
        <v>19</v>
      </c>
      <c r="U1" s="1" t="s">
        <v>20</v>
      </c>
      <c r="V1" s="9" t="s">
        <v>21</v>
      </c>
      <c r="W1" s="1" t="s">
        <v>22</v>
      </c>
      <c r="X1" s="1" t="s">
        <v>23</v>
      </c>
      <c r="Y1" s="1" t="s">
        <v>24</v>
      </c>
      <c r="Z1" s="1" t="s">
        <v>25</v>
      </c>
      <c r="AA1" s="10" t="s">
        <v>26</v>
      </c>
      <c r="AB1" s="11" t="s">
        <v>27</v>
      </c>
      <c r="AC1" s="11" t="s">
        <v>28</v>
      </c>
      <c r="AD1" s="11" t="s">
        <v>29</v>
      </c>
      <c r="AE1" s="11" t="s">
        <v>30</v>
      </c>
      <c r="AF1" s="1"/>
      <c r="AG1" s="1"/>
    </row>
    <row r="2" customFormat="false" ht="101.3" hidden="false" customHeight="false" outlineLevel="0" collapsed="false">
      <c r="A2" s="12" t="s">
        <v>31</v>
      </c>
      <c r="B2" s="13" t="s">
        <v>32</v>
      </c>
      <c r="C2" s="14" t="s">
        <v>33</v>
      </c>
      <c r="D2" s="15"/>
      <c r="E2" s="16" t="s">
        <v>34</v>
      </c>
      <c r="F2" s="15" t="s">
        <v>35</v>
      </c>
      <c r="G2" s="15"/>
      <c r="H2" s="15"/>
      <c r="I2" s="17" t="s">
        <v>36</v>
      </c>
      <c r="J2" s="15" t="s">
        <v>37</v>
      </c>
      <c r="K2" s="15" t="n">
        <v>2009</v>
      </c>
      <c r="L2" s="17"/>
      <c r="M2" s="18"/>
      <c r="N2" s="17"/>
      <c r="O2" s="17" t="s">
        <v>38</v>
      </c>
      <c r="P2" s="19" t="s">
        <v>39</v>
      </c>
      <c r="Q2" s="20"/>
      <c r="R2" s="20" t="s">
        <v>40</v>
      </c>
      <c r="S2" s="20"/>
      <c r="T2" s="20" t="s">
        <v>41</v>
      </c>
      <c r="U2" s="20"/>
      <c r="V2" s="21" t="s">
        <v>31</v>
      </c>
      <c r="Z2" s="20"/>
      <c r="AA2" s="22" t="n">
        <v>4</v>
      </c>
      <c r="AB2" s="20"/>
      <c r="AC2" s="20"/>
      <c r="AD2" s="20"/>
      <c r="AE2" s="20"/>
    </row>
    <row r="3" customFormat="false" ht="15.75" hidden="false" customHeight="false" outlineLevel="0" collapsed="false">
      <c r="A3" s="12"/>
      <c r="B3" s="12"/>
      <c r="C3" s="23" t="s">
        <v>42</v>
      </c>
      <c r="D3" s="24"/>
      <c r="E3" s="25" t="s">
        <v>43</v>
      </c>
      <c r="F3" s="17"/>
      <c r="G3" s="17" t="s">
        <v>44</v>
      </c>
      <c r="H3" s="17"/>
      <c r="I3" s="26" t="s">
        <v>45</v>
      </c>
      <c r="J3" s="17"/>
      <c r="K3" s="17"/>
      <c r="L3" s="17"/>
      <c r="M3" s="27"/>
      <c r="N3" s="17"/>
      <c r="O3" s="17"/>
      <c r="P3" s="28" t="s">
        <v>46</v>
      </c>
      <c r="Q3" s="12"/>
      <c r="R3" s="12"/>
      <c r="S3" s="12"/>
      <c r="T3" s="12"/>
      <c r="U3" s="12"/>
      <c r="V3" s="21"/>
      <c r="Z3" s="12"/>
      <c r="AA3" s="29"/>
      <c r="AB3" s="12"/>
      <c r="AC3" s="12"/>
      <c r="AD3" s="12"/>
      <c r="AE3" s="12"/>
    </row>
    <row r="4" customFormat="false" ht="15.75" hidden="false" customHeight="false" outlineLevel="0" collapsed="false">
      <c r="A4" s="12"/>
      <c r="B4" s="12"/>
      <c r="C4" s="23" t="s">
        <v>47</v>
      </c>
      <c r="D4" s="24"/>
      <c r="E4" s="17"/>
      <c r="F4" s="17"/>
      <c r="G4" s="17" t="s">
        <v>44</v>
      </c>
      <c r="H4" s="17"/>
      <c r="I4" s="26" t="s">
        <v>45</v>
      </c>
      <c r="J4" s="17" t="s">
        <v>48</v>
      </c>
      <c r="K4" s="17"/>
      <c r="L4" s="17"/>
      <c r="M4" s="27"/>
      <c r="N4" s="17"/>
      <c r="O4" s="17"/>
      <c r="P4" s="28" t="s">
        <v>46</v>
      </c>
      <c r="Q4" s="12"/>
      <c r="R4" s="12"/>
      <c r="S4" s="12"/>
      <c r="T4" s="12"/>
      <c r="U4" s="12"/>
      <c r="V4" s="21"/>
      <c r="Z4" s="12"/>
      <c r="AA4" s="29"/>
      <c r="AB4" s="12"/>
      <c r="AC4" s="12"/>
      <c r="AD4" s="12"/>
      <c r="AE4" s="12"/>
    </row>
    <row r="5" customFormat="false" ht="15.75" hidden="false" customHeight="false" outlineLevel="0" collapsed="false">
      <c r="A5" s="12" t="s">
        <v>31</v>
      </c>
      <c r="B5" s="30" t="s">
        <v>49</v>
      </c>
      <c r="C5" s="23" t="s">
        <v>50</v>
      </c>
      <c r="D5" s="24" t="s">
        <v>51</v>
      </c>
      <c r="E5" s="25" t="s">
        <v>52</v>
      </c>
      <c r="F5" s="17" t="s">
        <v>53</v>
      </c>
      <c r="G5" s="17" t="s">
        <v>54</v>
      </c>
      <c r="H5" s="17" t="s">
        <v>55</v>
      </c>
      <c r="I5" s="26" t="s">
        <v>56</v>
      </c>
      <c r="J5" s="17" t="s">
        <v>57</v>
      </c>
      <c r="K5" s="17"/>
      <c r="L5" s="17"/>
      <c r="M5" s="27" t="s">
        <v>58</v>
      </c>
      <c r="N5" s="17"/>
      <c r="O5" s="17"/>
      <c r="P5" s="28" t="s">
        <v>59</v>
      </c>
      <c r="Q5" s="12"/>
      <c r="R5" s="12"/>
      <c r="S5" s="12"/>
      <c r="T5" s="12"/>
      <c r="U5" s="12"/>
      <c r="V5" s="21"/>
      <c r="Z5" s="12"/>
      <c r="AA5" s="29"/>
      <c r="AB5" s="12"/>
      <c r="AC5" s="12"/>
      <c r="AD5" s="12"/>
      <c r="AE5" s="12"/>
    </row>
    <row r="6" customFormat="false" ht="15.75" hidden="false" customHeight="false" outlineLevel="0" collapsed="false">
      <c r="A6" s="12"/>
      <c r="B6" s="12"/>
      <c r="C6" s="23" t="s">
        <v>60</v>
      </c>
      <c r="D6" s="24" t="s">
        <v>61</v>
      </c>
      <c r="E6" s="25" t="s">
        <v>62</v>
      </c>
      <c r="F6" s="17" t="s">
        <v>63</v>
      </c>
      <c r="G6" s="17" t="s">
        <v>64</v>
      </c>
      <c r="H6" s="17"/>
      <c r="I6" s="26" t="s">
        <v>65</v>
      </c>
      <c r="J6" s="17" t="s">
        <v>66</v>
      </c>
      <c r="K6" s="17"/>
      <c r="L6" s="17"/>
      <c r="M6" s="27"/>
      <c r="N6" s="17"/>
      <c r="O6" s="17"/>
      <c r="P6" s="28" t="s">
        <v>46</v>
      </c>
      <c r="Q6" s="17"/>
      <c r="R6" s="17"/>
      <c r="S6" s="17"/>
      <c r="T6" s="17"/>
      <c r="U6" s="17"/>
      <c r="V6" s="27"/>
      <c r="Z6" s="17"/>
      <c r="AA6" s="29" t="n">
        <v>1</v>
      </c>
      <c r="AB6" s="17" t="s">
        <v>67</v>
      </c>
      <c r="AC6" s="17"/>
      <c r="AD6" s="17"/>
      <c r="AE6" s="17"/>
    </row>
    <row r="7" customFormat="false" ht="23.65" hidden="false" customHeight="false" outlineLevel="0" collapsed="false">
      <c r="A7" s="12" t="str">
        <f aca="false">IF((AA7&gt;=4), "Y", "N")</f>
        <v>Y</v>
      </c>
      <c r="B7" s="13"/>
      <c r="C7" s="31" t="s">
        <v>68</v>
      </c>
      <c r="D7" s="16" t="s">
        <v>61</v>
      </c>
      <c r="E7" s="32" t="s">
        <v>69</v>
      </c>
      <c r="F7" s="32" t="s">
        <v>70</v>
      </c>
      <c r="G7" s="32" t="s">
        <v>71</v>
      </c>
      <c r="H7" s="17" t="s">
        <v>72</v>
      </c>
      <c r="I7" s="17" t="s">
        <v>36</v>
      </c>
      <c r="J7" s="26" t="s">
        <v>66</v>
      </c>
      <c r="K7" s="33" t="n">
        <v>2007</v>
      </c>
      <c r="L7" s="33" t="s">
        <v>73</v>
      </c>
      <c r="M7" s="27" t="s">
        <v>74</v>
      </c>
      <c r="N7" s="34" t="s">
        <v>75</v>
      </c>
      <c r="O7" s="17"/>
      <c r="P7" s="19" t="s">
        <v>76</v>
      </c>
      <c r="Q7" s="20"/>
      <c r="R7" s="20" t="s">
        <v>77</v>
      </c>
      <c r="S7" s="20"/>
      <c r="T7" s="20" t="s">
        <v>78</v>
      </c>
      <c r="U7" s="20"/>
      <c r="V7" s="21" t="s">
        <v>31</v>
      </c>
      <c r="Z7" s="20"/>
      <c r="AA7" s="22" t="str">
        <f aca="false">IF(P7="OD500 US (submitted)", "5", " ")</f>
        <v>5</v>
      </c>
      <c r="AB7" s="20"/>
      <c r="AC7" s="20"/>
      <c r="AD7" s="20"/>
      <c r="AE7" s="20"/>
    </row>
    <row r="8" customFormat="false" ht="15.75" hidden="false" customHeight="false" outlineLevel="0" collapsed="false">
      <c r="A8" s="12"/>
      <c r="B8" s="12"/>
      <c r="C8" s="35" t="s">
        <v>79</v>
      </c>
      <c r="D8" s="24"/>
      <c r="E8" s="25" t="s">
        <v>80</v>
      </c>
      <c r="F8" s="36" t="s">
        <v>81</v>
      </c>
      <c r="G8" s="17"/>
      <c r="H8" s="17"/>
      <c r="I8" s="26" t="s">
        <v>82</v>
      </c>
      <c r="J8" s="17" t="s">
        <v>83</v>
      </c>
      <c r="K8" s="17"/>
      <c r="L8" s="17"/>
      <c r="M8" s="27"/>
      <c r="N8" s="17"/>
      <c r="O8" s="17"/>
      <c r="P8" s="19" t="s">
        <v>84</v>
      </c>
      <c r="Q8" s="12"/>
      <c r="R8" s="12"/>
      <c r="S8" s="12"/>
      <c r="T8" s="12"/>
      <c r="U8" s="12"/>
      <c r="V8" s="21"/>
      <c r="Z8" s="12"/>
      <c r="AA8" s="29"/>
      <c r="AB8" s="12"/>
      <c r="AC8" s="12"/>
      <c r="AD8" s="12"/>
      <c r="AE8" s="12"/>
    </row>
    <row r="9" customFormat="false" ht="15.75" hidden="false" customHeight="false" outlineLevel="0" collapsed="false">
      <c r="A9" s="12"/>
      <c r="B9" s="12"/>
      <c r="C9" s="23" t="s">
        <v>85</v>
      </c>
      <c r="D9" s="24"/>
      <c r="E9" s="25" t="s">
        <v>86</v>
      </c>
      <c r="F9" s="17"/>
      <c r="G9" s="17" t="s">
        <v>87</v>
      </c>
      <c r="H9" s="17"/>
      <c r="I9" s="26" t="s">
        <v>88</v>
      </c>
      <c r="J9" s="17" t="s">
        <v>66</v>
      </c>
      <c r="K9" s="17"/>
      <c r="L9" s="17"/>
      <c r="M9" s="27"/>
      <c r="N9" s="17"/>
      <c r="O9" s="17"/>
      <c r="P9" s="28" t="s">
        <v>46</v>
      </c>
      <c r="Q9" s="17"/>
      <c r="R9" s="17"/>
      <c r="S9" s="17"/>
      <c r="T9" s="17"/>
      <c r="U9" s="17"/>
      <c r="V9" s="27"/>
      <c r="Z9" s="17"/>
      <c r="AA9" s="29"/>
      <c r="AB9" s="17"/>
      <c r="AC9" s="17"/>
      <c r="AD9" s="17"/>
      <c r="AE9" s="17"/>
    </row>
    <row r="10" customFormat="false" ht="15.75" hidden="false" customHeight="false" outlineLevel="0" collapsed="false">
      <c r="A10" s="12"/>
      <c r="B10" s="12"/>
      <c r="C10" s="23" t="s">
        <v>89</v>
      </c>
      <c r="D10" s="24"/>
      <c r="E10" s="25" t="s">
        <v>90</v>
      </c>
      <c r="F10" s="17"/>
      <c r="G10" s="17" t="s">
        <v>91</v>
      </c>
      <c r="H10" s="17"/>
      <c r="I10" s="26" t="s">
        <v>92</v>
      </c>
      <c r="J10" s="17" t="s">
        <v>66</v>
      </c>
      <c r="K10" s="17"/>
      <c r="L10" s="17"/>
      <c r="M10" s="27"/>
      <c r="N10" s="17"/>
      <c r="O10" s="17"/>
      <c r="P10" s="28" t="s">
        <v>46</v>
      </c>
      <c r="Q10" s="12"/>
      <c r="R10" s="12"/>
      <c r="S10" s="12"/>
      <c r="T10" s="12"/>
      <c r="U10" s="12"/>
      <c r="V10" s="21"/>
      <c r="Z10" s="12"/>
      <c r="AA10" s="29"/>
      <c r="AB10" s="12"/>
      <c r="AC10" s="12"/>
      <c r="AD10" s="12"/>
      <c r="AE10" s="12"/>
    </row>
    <row r="11" customFormat="false" ht="15.75" hidden="false" customHeight="false" outlineLevel="0" collapsed="false">
      <c r="A11" s="12" t="str">
        <f aca="false">IF((AA11&gt;=4), "Y", "N")</f>
        <v>Y</v>
      </c>
      <c r="B11" s="13" t="s">
        <v>49</v>
      </c>
      <c r="C11" s="31" t="s">
        <v>93</v>
      </c>
      <c r="D11" s="16" t="s">
        <v>94</v>
      </c>
      <c r="E11" s="32" t="s">
        <v>95</v>
      </c>
      <c r="F11" s="32" t="s">
        <v>96</v>
      </c>
      <c r="G11" s="32" t="s">
        <v>97</v>
      </c>
      <c r="H11" s="17" t="s">
        <v>98</v>
      </c>
      <c r="I11" s="17" t="s">
        <v>36</v>
      </c>
      <c r="J11" s="26" t="s">
        <v>66</v>
      </c>
      <c r="K11" s="33" t="n">
        <v>2011</v>
      </c>
      <c r="L11" s="33" t="s">
        <v>99</v>
      </c>
      <c r="M11" s="27" t="s">
        <v>100</v>
      </c>
      <c r="N11" s="37" t="s">
        <v>101</v>
      </c>
      <c r="O11" s="17"/>
      <c r="P11" s="19" t="s">
        <v>76</v>
      </c>
      <c r="Q11" s="20"/>
      <c r="R11" s="20" t="s">
        <v>102</v>
      </c>
      <c r="S11" s="20"/>
      <c r="T11" s="20" t="s">
        <v>103</v>
      </c>
      <c r="U11" s="20"/>
      <c r="V11" s="21" t="s">
        <v>31</v>
      </c>
      <c r="Z11" s="20"/>
      <c r="AA11" s="22" t="str">
        <f aca="false">IF(P11="OD500 US (submitted)", "5", " ")</f>
        <v>5</v>
      </c>
      <c r="AB11" s="20"/>
      <c r="AC11" s="20"/>
      <c r="AD11" s="20"/>
      <c r="AE11" s="20"/>
    </row>
    <row r="12" customFormat="false" ht="15.75" hidden="false" customHeight="false" outlineLevel="0" collapsed="false">
      <c r="A12" s="12" t="str">
        <f aca="false">IF((AA12&gt;=4), "Y", "N")</f>
        <v>Y</v>
      </c>
      <c r="B12" s="12" t="s">
        <v>49</v>
      </c>
      <c r="C12" s="23" t="s">
        <v>104</v>
      </c>
      <c r="D12" s="24" t="s">
        <v>94</v>
      </c>
      <c r="E12" s="25" t="s">
        <v>105</v>
      </c>
      <c r="F12" s="17" t="s">
        <v>106</v>
      </c>
      <c r="G12" s="17" t="s">
        <v>107</v>
      </c>
      <c r="H12" s="26" t="s">
        <v>108</v>
      </c>
      <c r="I12" s="17" t="s">
        <v>36</v>
      </c>
      <c r="J12" s="26" t="s">
        <v>66</v>
      </c>
      <c r="K12" s="17" t="n">
        <v>2009</v>
      </c>
      <c r="L12" s="38" t="s">
        <v>109</v>
      </c>
      <c r="M12" s="27" t="s">
        <v>100</v>
      </c>
      <c r="N12" s="39" t="s">
        <v>110</v>
      </c>
      <c r="O12" s="17"/>
      <c r="P12" s="40" t="s">
        <v>111</v>
      </c>
      <c r="Q12" s="12"/>
      <c r="R12" s="12"/>
      <c r="S12" s="12"/>
      <c r="T12" s="12"/>
      <c r="U12" s="12"/>
      <c r="V12" s="21"/>
      <c r="Z12" s="12"/>
      <c r="AA12" s="29" t="n">
        <v>5</v>
      </c>
      <c r="AB12" s="12"/>
      <c r="AC12" s="12"/>
      <c r="AD12" s="12"/>
      <c r="AE12" s="12"/>
    </row>
    <row r="13" customFormat="false" ht="15.75" hidden="false" customHeight="false" outlineLevel="0" collapsed="false">
      <c r="A13" s="12"/>
      <c r="B13" s="20"/>
      <c r="C13" s="41" t="s">
        <v>112</v>
      </c>
      <c r="D13" s="24"/>
      <c r="E13" s="42" t="s">
        <v>113</v>
      </c>
      <c r="F13" s="43" t="s">
        <v>114</v>
      </c>
      <c r="G13" s="17"/>
      <c r="H13" s="17"/>
      <c r="I13" s="26" t="s">
        <v>82</v>
      </c>
      <c r="J13" s="32" t="s">
        <v>115</v>
      </c>
      <c r="K13" s="17"/>
      <c r="L13" s="17"/>
      <c r="M13" s="27"/>
      <c r="N13" s="17"/>
      <c r="O13" s="17"/>
      <c r="P13" s="19" t="s">
        <v>84</v>
      </c>
      <c r="Q13" s="17"/>
      <c r="R13" s="17"/>
      <c r="S13" s="17"/>
      <c r="T13" s="17"/>
      <c r="U13" s="17"/>
      <c r="V13" s="27"/>
      <c r="Z13" s="17"/>
      <c r="AA13" s="29"/>
      <c r="AB13" s="17"/>
      <c r="AC13" s="17"/>
      <c r="AD13" s="17"/>
      <c r="AE13" s="17"/>
    </row>
    <row r="14" customFormat="false" ht="15.75" hidden="false" customHeight="false" outlineLevel="0" collapsed="false">
      <c r="A14" s="12" t="str">
        <f aca="false">IF((AA14&gt;=4), "Y", "N")</f>
        <v>Y</v>
      </c>
      <c r="B14" s="13" t="s">
        <v>49</v>
      </c>
      <c r="C14" s="31" t="s">
        <v>116</v>
      </c>
      <c r="D14" s="16" t="s">
        <v>94</v>
      </c>
      <c r="E14" s="32" t="s">
        <v>117</v>
      </c>
      <c r="F14" s="32" t="s">
        <v>118</v>
      </c>
      <c r="G14" s="32" t="s">
        <v>119</v>
      </c>
      <c r="H14" s="26" t="s">
        <v>120</v>
      </c>
      <c r="I14" s="17" t="s">
        <v>36</v>
      </c>
      <c r="J14" s="32" t="s">
        <v>115</v>
      </c>
      <c r="K14" s="33" t="n">
        <v>2012</v>
      </c>
      <c r="L14" s="33" t="s">
        <v>109</v>
      </c>
      <c r="M14" s="27" t="s">
        <v>74</v>
      </c>
      <c r="N14" s="44" t="s">
        <v>121</v>
      </c>
      <c r="O14" s="17"/>
      <c r="P14" s="19" t="s">
        <v>76</v>
      </c>
      <c r="Q14" s="12"/>
      <c r="R14" s="12" t="s">
        <v>122</v>
      </c>
      <c r="S14" s="12"/>
      <c r="T14" s="12" t="s">
        <v>123</v>
      </c>
      <c r="U14" s="12"/>
      <c r="V14" s="21" t="s">
        <v>31</v>
      </c>
      <c r="Z14" s="12"/>
      <c r="AA14" s="22" t="str">
        <f aca="false">IF(P14="OD500 US (submitted)", "5", " ")</f>
        <v>5</v>
      </c>
      <c r="AB14" s="12"/>
      <c r="AC14" s="12"/>
      <c r="AD14" s="12"/>
      <c r="AE14" s="12"/>
    </row>
    <row r="15" customFormat="false" ht="15.75" hidden="false" customHeight="false" outlineLevel="0" collapsed="false">
      <c r="A15" s="12"/>
      <c r="B15" s="12"/>
      <c r="C15" s="23" t="s">
        <v>124</v>
      </c>
      <c r="D15" s="24"/>
      <c r="E15" s="25" t="s">
        <v>125</v>
      </c>
      <c r="F15" s="17"/>
      <c r="G15" s="17" t="s">
        <v>126</v>
      </c>
      <c r="H15" s="17"/>
      <c r="I15" s="26" t="s">
        <v>127</v>
      </c>
      <c r="J15" s="32" t="s">
        <v>115</v>
      </c>
      <c r="K15" s="17"/>
      <c r="L15" s="17"/>
      <c r="M15" s="27"/>
      <c r="N15" s="17"/>
      <c r="O15" s="17"/>
      <c r="P15" s="28" t="s">
        <v>46</v>
      </c>
      <c r="Q15" s="12"/>
      <c r="R15" s="12"/>
      <c r="S15" s="12"/>
      <c r="T15" s="12"/>
      <c r="U15" s="12"/>
      <c r="V15" s="21"/>
      <c r="Z15" s="12"/>
      <c r="AA15" s="29"/>
      <c r="AB15" s="12"/>
      <c r="AC15" s="12"/>
      <c r="AD15" s="12"/>
      <c r="AE15" s="12"/>
    </row>
    <row r="16" customFormat="false" ht="15.75" hidden="false" customHeight="false" outlineLevel="0" collapsed="false">
      <c r="A16" s="12"/>
      <c r="B16" s="12"/>
      <c r="C16" s="23" t="s">
        <v>128</v>
      </c>
      <c r="D16" s="24"/>
      <c r="E16" s="25" t="s">
        <v>129</v>
      </c>
      <c r="F16" s="17"/>
      <c r="G16" s="17" t="s">
        <v>130</v>
      </c>
      <c r="H16" s="17"/>
      <c r="I16" s="17" t="s">
        <v>131</v>
      </c>
      <c r="J16" s="32" t="s">
        <v>115</v>
      </c>
      <c r="K16" s="17"/>
      <c r="L16" s="17"/>
      <c r="M16" s="27"/>
      <c r="N16" s="17"/>
      <c r="O16" s="17"/>
      <c r="P16" s="28" t="s">
        <v>46</v>
      </c>
      <c r="Q16" s="12"/>
      <c r="R16" s="12"/>
      <c r="S16" s="12"/>
      <c r="T16" s="12"/>
      <c r="U16" s="12"/>
      <c r="V16" s="21"/>
      <c r="Z16" s="12"/>
      <c r="AA16" s="29"/>
      <c r="AB16" s="12"/>
      <c r="AC16" s="12"/>
      <c r="AD16" s="12"/>
      <c r="AE16" s="12"/>
    </row>
    <row r="17" customFormat="false" ht="15.75" hidden="false" customHeight="false" outlineLevel="0" collapsed="false">
      <c r="A17" s="12"/>
      <c r="B17" s="12"/>
      <c r="C17" s="23" t="s">
        <v>132</v>
      </c>
      <c r="D17" s="24"/>
      <c r="E17" s="25" t="s">
        <v>133</v>
      </c>
      <c r="F17" s="17"/>
      <c r="G17" s="17" t="s">
        <v>134</v>
      </c>
      <c r="H17" s="17"/>
      <c r="I17" s="26" t="s">
        <v>65</v>
      </c>
      <c r="J17" s="32" t="s">
        <v>115</v>
      </c>
      <c r="K17" s="17"/>
      <c r="L17" s="17"/>
      <c r="M17" s="27"/>
      <c r="N17" s="17"/>
      <c r="O17" s="17"/>
      <c r="P17" s="28" t="s">
        <v>46</v>
      </c>
      <c r="Q17" s="12"/>
      <c r="R17" s="12"/>
      <c r="S17" s="12"/>
      <c r="T17" s="12"/>
      <c r="U17" s="12"/>
      <c r="V17" s="21"/>
      <c r="Z17" s="12"/>
      <c r="AA17" s="29"/>
      <c r="AB17" s="12"/>
      <c r="AC17" s="12"/>
      <c r="AD17" s="12"/>
      <c r="AE17" s="12"/>
    </row>
    <row r="18" customFormat="false" ht="15.75" hidden="false" customHeight="false" outlineLevel="0" collapsed="false">
      <c r="A18" s="12" t="s">
        <v>135</v>
      </c>
      <c r="B18" s="12" t="s">
        <v>49</v>
      </c>
      <c r="C18" s="23" t="s">
        <v>136</v>
      </c>
      <c r="D18" s="24" t="s">
        <v>94</v>
      </c>
      <c r="E18" s="25" t="s">
        <v>137</v>
      </c>
      <c r="F18" s="17" t="s">
        <v>138</v>
      </c>
      <c r="G18" s="17"/>
      <c r="H18" s="17"/>
      <c r="I18" s="26" t="s">
        <v>139</v>
      </c>
      <c r="J18" s="32" t="s">
        <v>115</v>
      </c>
      <c r="K18" s="17"/>
      <c r="L18" s="17"/>
      <c r="M18" s="27" t="s">
        <v>140</v>
      </c>
      <c r="N18" s="17"/>
      <c r="O18" s="17"/>
      <c r="P18" s="28" t="s">
        <v>59</v>
      </c>
      <c r="Q18" s="12"/>
      <c r="R18" s="12"/>
      <c r="S18" s="12"/>
      <c r="T18" s="12"/>
      <c r="U18" s="12"/>
      <c r="V18" s="21"/>
      <c r="Z18" s="12"/>
      <c r="AA18" s="29"/>
      <c r="AB18" s="12"/>
      <c r="AC18" s="12"/>
      <c r="AD18" s="12"/>
      <c r="AE18" s="12"/>
    </row>
    <row r="19" customFormat="false" ht="15.75" hidden="false" customHeight="false" outlineLevel="0" collapsed="false">
      <c r="A19" s="12"/>
      <c r="B19" s="13" t="s">
        <v>141</v>
      </c>
      <c r="C19" s="14" t="s">
        <v>142</v>
      </c>
      <c r="D19" s="24" t="s">
        <v>51</v>
      </c>
      <c r="E19" s="25" t="s">
        <v>143</v>
      </c>
      <c r="F19" s="17" t="s">
        <v>144</v>
      </c>
      <c r="G19" s="17" t="s">
        <v>145</v>
      </c>
      <c r="H19" s="17" t="s">
        <v>146</v>
      </c>
      <c r="I19" s="17" t="s">
        <v>36</v>
      </c>
      <c r="J19" s="32" t="s">
        <v>115</v>
      </c>
      <c r="K19" s="17" t="n">
        <v>1975</v>
      </c>
      <c r="L19" s="17"/>
      <c r="M19" s="27" t="s">
        <v>147</v>
      </c>
      <c r="N19" s="17" t="s">
        <v>148</v>
      </c>
      <c r="O19" s="17" t="s">
        <v>149</v>
      </c>
      <c r="P19" s="40" t="s">
        <v>150</v>
      </c>
      <c r="Q19" s="12"/>
      <c r="R19" s="12"/>
      <c r="S19" s="12"/>
      <c r="T19" s="12"/>
      <c r="U19" s="12"/>
      <c r="V19" s="21"/>
      <c r="Z19" s="12"/>
      <c r="AA19" s="29" t="n">
        <v>5</v>
      </c>
      <c r="AB19" s="12"/>
      <c r="AC19" s="12"/>
      <c r="AD19" s="12"/>
      <c r="AE19" s="12"/>
    </row>
    <row r="20" customFormat="false" ht="15.75" hidden="false" customHeight="false" outlineLevel="0" collapsed="false">
      <c r="A20" s="12"/>
      <c r="B20" s="13" t="s">
        <v>141</v>
      </c>
      <c r="C20" s="14" t="s">
        <v>151</v>
      </c>
      <c r="D20" s="24" t="s">
        <v>152</v>
      </c>
      <c r="E20" s="25" t="s">
        <v>153</v>
      </c>
      <c r="F20" s="17" t="s">
        <v>154</v>
      </c>
      <c r="G20" s="17" t="s">
        <v>155</v>
      </c>
      <c r="H20" s="17" t="s">
        <v>72</v>
      </c>
      <c r="I20" s="17" t="s">
        <v>36</v>
      </c>
      <c r="J20" s="32" t="s">
        <v>115</v>
      </c>
      <c r="K20" s="17" t="n">
        <v>2012</v>
      </c>
      <c r="L20" s="17"/>
      <c r="M20" s="27" t="s">
        <v>147</v>
      </c>
      <c r="N20" s="17" t="s">
        <v>156</v>
      </c>
      <c r="O20" s="17" t="s">
        <v>157</v>
      </c>
      <c r="P20" s="40" t="s">
        <v>150</v>
      </c>
      <c r="Q20" s="12"/>
      <c r="R20" s="12"/>
      <c r="S20" s="12"/>
      <c r="T20" s="12"/>
      <c r="U20" s="12"/>
      <c r="V20" s="21"/>
      <c r="Z20" s="12"/>
      <c r="AA20" s="29" t="n">
        <v>5</v>
      </c>
      <c r="AB20" s="12"/>
      <c r="AC20" s="12"/>
      <c r="AD20" s="12"/>
      <c r="AE20" s="12"/>
    </row>
    <row r="21" customFormat="false" ht="15.75" hidden="false" customHeight="false" outlineLevel="0" collapsed="false">
      <c r="A21" s="12"/>
      <c r="B21" s="12"/>
      <c r="C21" s="23" t="s">
        <v>158</v>
      </c>
      <c r="D21" s="24"/>
      <c r="E21" s="25" t="s">
        <v>159</v>
      </c>
      <c r="F21" s="17"/>
      <c r="G21" s="17" t="s">
        <v>160</v>
      </c>
      <c r="H21" s="17"/>
      <c r="I21" s="26" t="s">
        <v>65</v>
      </c>
      <c r="J21" s="17" t="s">
        <v>66</v>
      </c>
      <c r="K21" s="17"/>
      <c r="L21" s="17"/>
      <c r="M21" s="27"/>
      <c r="N21" s="17"/>
      <c r="O21" s="17"/>
      <c r="P21" s="28" t="s">
        <v>46</v>
      </c>
      <c r="Q21" s="20"/>
      <c r="R21" s="20"/>
      <c r="S21" s="20"/>
      <c r="T21" s="20"/>
      <c r="U21" s="20"/>
      <c r="V21" s="45"/>
      <c r="Z21" s="20"/>
      <c r="AA21" s="22"/>
      <c r="AB21" s="20"/>
      <c r="AC21" s="20"/>
      <c r="AD21" s="20"/>
      <c r="AE21" s="20"/>
    </row>
    <row r="22" customFormat="false" ht="15.75" hidden="false" customHeight="false" outlineLevel="0" collapsed="false">
      <c r="A22" s="12"/>
      <c r="B22" s="12"/>
      <c r="C22" s="23" t="s">
        <v>161</v>
      </c>
      <c r="D22" s="24"/>
      <c r="E22" s="25" t="s">
        <v>162</v>
      </c>
      <c r="F22" s="17"/>
      <c r="G22" s="17" t="s">
        <v>44</v>
      </c>
      <c r="H22" s="17"/>
      <c r="I22" s="26" t="s">
        <v>45</v>
      </c>
      <c r="J22" s="17"/>
      <c r="K22" s="17"/>
      <c r="L22" s="17"/>
      <c r="M22" s="27"/>
      <c r="N22" s="17"/>
      <c r="O22" s="17"/>
      <c r="P22" s="28" t="s">
        <v>46</v>
      </c>
      <c r="Q22" s="20"/>
      <c r="R22" s="20"/>
      <c r="S22" s="20"/>
      <c r="T22" s="20"/>
      <c r="U22" s="20"/>
      <c r="V22" s="45"/>
      <c r="Z22" s="20"/>
      <c r="AA22" s="22"/>
      <c r="AB22" s="20"/>
      <c r="AC22" s="20"/>
      <c r="AD22" s="20"/>
      <c r="AE22" s="20"/>
    </row>
    <row r="23" customFormat="false" ht="15.75" hidden="false" customHeight="false" outlineLevel="0" collapsed="false">
      <c r="A23" s="12"/>
      <c r="B23" s="13"/>
      <c r="C23" s="14" t="s">
        <v>163</v>
      </c>
      <c r="D23" s="24" t="s">
        <v>51</v>
      </c>
      <c r="E23" s="16" t="s">
        <v>164</v>
      </c>
      <c r="F23" s="16" t="s">
        <v>165</v>
      </c>
      <c r="G23" s="17"/>
      <c r="H23" s="17"/>
      <c r="I23" s="26" t="s">
        <v>166</v>
      </c>
      <c r="J23" s="17" t="s">
        <v>167</v>
      </c>
      <c r="K23" s="17"/>
      <c r="L23" s="17"/>
      <c r="M23" s="46"/>
      <c r="N23" s="17"/>
      <c r="O23" s="17"/>
      <c r="P23" s="40" t="s">
        <v>168</v>
      </c>
      <c r="Q23" s="12"/>
      <c r="R23" s="12" t="s">
        <v>169</v>
      </c>
      <c r="S23" s="12"/>
      <c r="T23" s="12" t="s">
        <v>170</v>
      </c>
      <c r="U23" s="12" t="s">
        <v>171</v>
      </c>
      <c r="V23" s="21" t="s">
        <v>31</v>
      </c>
      <c r="Z23" s="12"/>
      <c r="AA23" s="29" t="n">
        <v>1</v>
      </c>
      <c r="AB23" s="12" t="s">
        <v>172</v>
      </c>
      <c r="AC23" s="12"/>
      <c r="AD23" s="12"/>
      <c r="AE23" s="12"/>
      <c r="AF23" s="47"/>
      <c r="AG23" s="47"/>
    </row>
    <row r="24" customFormat="false" ht="15.75" hidden="false" customHeight="false" outlineLevel="0" collapsed="false">
      <c r="A24" s="12"/>
      <c r="B24" s="20"/>
      <c r="C24" s="48" t="s">
        <v>173</v>
      </c>
      <c r="D24" s="49" t="s">
        <v>61</v>
      </c>
      <c r="E24" s="49" t="s">
        <v>174</v>
      </c>
      <c r="F24" s="49" t="s">
        <v>175</v>
      </c>
      <c r="G24" s="17"/>
      <c r="H24" s="17"/>
      <c r="I24" s="26" t="s">
        <v>166</v>
      </c>
      <c r="J24" s="17" t="s">
        <v>167</v>
      </c>
      <c r="K24" s="17"/>
      <c r="L24" s="17"/>
      <c r="M24" s="50"/>
      <c r="N24" s="17"/>
      <c r="O24" s="17"/>
      <c r="P24" s="40" t="s">
        <v>168</v>
      </c>
      <c r="Q24" s="20"/>
      <c r="R24" s="20" t="s">
        <v>176</v>
      </c>
      <c r="S24" s="20"/>
      <c r="T24" s="20" t="s">
        <v>177</v>
      </c>
      <c r="U24" s="20" t="s">
        <v>178</v>
      </c>
      <c r="V24" s="21" t="s">
        <v>31</v>
      </c>
      <c r="Z24" s="20"/>
      <c r="AA24" s="22" t="n">
        <v>3</v>
      </c>
      <c r="AB24" s="20" t="s">
        <v>179</v>
      </c>
      <c r="AC24" s="51" t="s">
        <v>174</v>
      </c>
      <c r="AD24" s="20"/>
      <c r="AE24" s="20"/>
      <c r="AF24" s="47"/>
      <c r="AG24" s="47"/>
    </row>
    <row r="25" customFormat="false" ht="15.75" hidden="false" customHeight="false" outlineLevel="0" collapsed="false">
      <c r="A25" s="12" t="str">
        <f aca="false">IF((AA25&gt;=4), "Y", "N")</f>
        <v>Y</v>
      </c>
      <c r="B25" s="13" t="s">
        <v>49</v>
      </c>
      <c r="C25" s="14" t="s">
        <v>180</v>
      </c>
      <c r="D25" s="24" t="s">
        <v>51</v>
      </c>
      <c r="E25" s="25" t="s">
        <v>181</v>
      </c>
      <c r="F25" s="17" t="s">
        <v>182</v>
      </c>
      <c r="G25" s="17" t="s">
        <v>183</v>
      </c>
      <c r="H25" s="17"/>
      <c r="I25" s="26" t="s">
        <v>184</v>
      </c>
      <c r="J25" s="17" t="s">
        <v>167</v>
      </c>
      <c r="K25" s="17"/>
      <c r="L25" s="17"/>
      <c r="M25" s="27" t="s">
        <v>147</v>
      </c>
      <c r="N25" s="17"/>
      <c r="O25" s="17"/>
      <c r="P25" s="52" t="s">
        <v>185</v>
      </c>
      <c r="Q25" s="12"/>
      <c r="R25" s="12"/>
      <c r="S25" s="12"/>
      <c r="T25" s="12" t="s">
        <v>186</v>
      </c>
      <c r="U25" s="12"/>
      <c r="V25" s="21"/>
      <c r="Z25" s="12"/>
      <c r="AA25" s="29" t="n">
        <v>4</v>
      </c>
      <c r="AB25" s="12"/>
      <c r="AC25" s="12"/>
      <c r="AD25" s="12"/>
      <c r="AE25" s="12"/>
    </row>
    <row r="26" customFormat="false" ht="15.75" hidden="false" customHeight="false" outlineLevel="0" collapsed="false">
      <c r="A26" s="12" t="str">
        <f aca="false">IF((AA26&gt;=4), "Y", "N")</f>
        <v>Y</v>
      </c>
      <c r="B26" s="13" t="s">
        <v>49</v>
      </c>
      <c r="C26" s="31" t="s">
        <v>187</v>
      </c>
      <c r="D26" s="16" t="s">
        <v>51</v>
      </c>
      <c r="E26" s="53" t="s">
        <v>188</v>
      </c>
      <c r="F26" s="32" t="s">
        <v>189</v>
      </c>
      <c r="G26" s="32" t="s">
        <v>145</v>
      </c>
      <c r="H26" s="17" t="s">
        <v>146</v>
      </c>
      <c r="I26" s="17" t="s">
        <v>36</v>
      </c>
      <c r="J26" s="17" t="s">
        <v>167</v>
      </c>
      <c r="K26" s="33" t="n">
        <v>2008</v>
      </c>
      <c r="L26" s="33" t="s">
        <v>99</v>
      </c>
      <c r="M26" s="27" t="s">
        <v>147</v>
      </c>
      <c r="N26" s="37" t="s">
        <v>190</v>
      </c>
      <c r="O26" s="17"/>
      <c r="P26" s="19" t="s">
        <v>76</v>
      </c>
      <c r="Q26" s="12"/>
      <c r="R26" s="12" t="s">
        <v>191</v>
      </c>
      <c r="S26" s="12"/>
      <c r="T26" s="12" t="s">
        <v>192</v>
      </c>
      <c r="U26" s="12"/>
      <c r="V26" s="21" t="s">
        <v>31</v>
      </c>
      <c r="Z26" s="12"/>
      <c r="AA26" s="22" t="str">
        <f aca="false">IF(P26="OD500 US (submitted)", "5", " ")</f>
        <v>5</v>
      </c>
      <c r="AB26" s="12"/>
      <c r="AC26" s="12"/>
      <c r="AD26" s="12"/>
      <c r="AE26" s="12"/>
    </row>
    <row r="27" customFormat="false" ht="15.75" hidden="false" customHeight="false" outlineLevel="0" collapsed="false">
      <c r="A27" s="12" t="s">
        <v>193</v>
      </c>
      <c r="B27" s="12" t="s">
        <v>32</v>
      </c>
      <c r="C27" s="23" t="s">
        <v>194</v>
      </c>
      <c r="D27" s="24" t="s">
        <v>195</v>
      </c>
      <c r="E27" s="25" t="s">
        <v>196</v>
      </c>
      <c r="F27" s="17"/>
      <c r="G27" s="17" t="s">
        <v>197</v>
      </c>
      <c r="H27" s="17"/>
      <c r="I27" s="26" t="s">
        <v>198</v>
      </c>
      <c r="J27" s="17" t="s">
        <v>167</v>
      </c>
      <c r="K27" s="17"/>
      <c r="L27" s="17"/>
      <c r="M27" s="27"/>
      <c r="N27" s="17"/>
      <c r="O27" s="17"/>
      <c r="P27" s="28" t="s">
        <v>46</v>
      </c>
      <c r="Q27" s="12"/>
      <c r="R27" s="12"/>
      <c r="S27" s="12"/>
      <c r="T27" s="12"/>
      <c r="U27" s="12"/>
      <c r="V27" s="21"/>
      <c r="Z27" s="12"/>
      <c r="AA27" s="29" t="n">
        <v>1</v>
      </c>
      <c r="AB27" s="12" t="s">
        <v>199</v>
      </c>
      <c r="AC27" s="12"/>
      <c r="AD27" s="12"/>
      <c r="AE27" s="12"/>
    </row>
    <row r="28" customFormat="false" ht="15.75" hidden="false" customHeight="false" outlineLevel="0" collapsed="false">
      <c r="A28" s="12"/>
      <c r="B28" s="12"/>
      <c r="C28" s="23" t="s">
        <v>200</v>
      </c>
      <c r="D28" s="24"/>
      <c r="E28" s="25" t="s">
        <v>201</v>
      </c>
      <c r="F28" s="17"/>
      <c r="G28" s="17" t="s">
        <v>183</v>
      </c>
      <c r="H28" s="17"/>
      <c r="I28" s="26" t="s">
        <v>82</v>
      </c>
      <c r="J28" s="17"/>
      <c r="K28" s="17"/>
      <c r="L28" s="17"/>
      <c r="M28" s="27"/>
      <c r="N28" s="17"/>
      <c r="O28" s="17"/>
      <c r="P28" s="28" t="s">
        <v>46</v>
      </c>
      <c r="Q28" s="12"/>
      <c r="R28" s="12"/>
      <c r="S28" s="12"/>
      <c r="T28" s="12"/>
      <c r="U28" s="12"/>
      <c r="V28" s="21"/>
      <c r="Z28" s="12"/>
      <c r="AA28" s="29"/>
      <c r="AB28" s="12"/>
      <c r="AC28" s="12"/>
      <c r="AD28" s="12"/>
      <c r="AE28" s="12"/>
    </row>
    <row r="29" customFormat="false" ht="15.75" hidden="false" customHeight="false" outlineLevel="0" collapsed="false">
      <c r="A29" s="12"/>
      <c r="B29" s="12"/>
      <c r="C29" s="23" t="s">
        <v>202</v>
      </c>
      <c r="D29" s="24"/>
      <c r="E29" s="25" t="s">
        <v>203</v>
      </c>
      <c r="F29" s="17"/>
      <c r="G29" s="17" t="s">
        <v>204</v>
      </c>
      <c r="H29" s="17"/>
      <c r="I29" s="26" t="s">
        <v>45</v>
      </c>
      <c r="J29" s="17" t="s">
        <v>205</v>
      </c>
      <c r="K29" s="17"/>
      <c r="L29" s="17"/>
      <c r="M29" s="27"/>
      <c r="N29" s="17"/>
      <c r="O29" s="17"/>
      <c r="P29" s="28" t="s">
        <v>46</v>
      </c>
      <c r="Q29" s="12"/>
      <c r="R29" s="12"/>
      <c r="S29" s="12"/>
      <c r="T29" s="12"/>
      <c r="U29" s="12"/>
      <c r="V29" s="21"/>
      <c r="Z29" s="12"/>
      <c r="AA29" s="29"/>
      <c r="AB29" s="12"/>
      <c r="AC29" s="12"/>
      <c r="AD29" s="12"/>
      <c r="AE29" s="12"/>
    </row>
    <row r="30" customFormat="false" ht="15.75" hidden="false" customHeight="false" outlineLevel="0" collapsed="false">
      <c r="A30" s="12"/>
      <c r="B30" s="54"/>
      <c r="C30" s="55" t="s">
        <v>206</v>
      </c>
      <c r="D30" s="15"/>
      <c r="E30" s="16" t="s">
        <v>207</v>
      </c>
      <c r="F30" s="15" t="s">
        <v>208</v>
      </c>
      <c r="G30" s="15"/>
      <c r="H30" s="15"/>
      <c r="I30" s="26" t="s">
        <v>209</v>
      </c>
      <c r="J30" s="15" t="s">
        <v>58</v>
      </c>
      <c r="K30" s="15" t="n">
        <v>2014</v>
      </c>
      <c r="L30" s="17"/>
      <c r="M30" s="18"/>
      <c r="N30" s="17"/>
      <c r="O30" s="17"/>
      <c r="P30" s="19" t="s">
        <v>39</v>
      </c>
      <c r="Q30" s="12"/>
      <c r="R30" s="12" t="s">
        <v>210</v>
      </c>
      <c r="S30" s="12"/>
      <c r="T30" s="12" t="s">
        <v>211</v>
      </c>
      <c r="U30" s="12"/>
      <c r="V30" s="21" t="s">
        <v>31</v>
      </c>
      <c r="Z30" s="12"/>
      <c r="AA30" s="29"/>
      <c r="AB30" s="18" t="s">
        <v>212</v>
      </c>
      <c r="AC30" s="12"/>
      <c r="AD30" s="12"/>
      <c r="AE30" s="12"/>
    </row>
    <row r="31" customFormat="false" ht="15.75" hidden="false" customHeight="false" outlineLevel="0" collapsed="false">
      <c r="A31" s="12"/>
      <c r="B31" s="13"/>
      <c r="C31" s="14" t="s">
        <v>213</v>
      </c>
      <c r="D31" s="15"/>
      <c r="E31" s="16" t="s">
        <v>214</v>
      </c>
      <c r="F31" s="15" t="s">
        <v>215</v>
      </c>
      <c r="G31" s="15"/>
      <c r="H31" s="15"/>
      <c r="I31" s="26" t="s">
        <v>216</v>
      </c>
      <c r="J31" s="15" t="s">
        <v>58</v>
      </c>
      <c r="K31" s="15" t="n">
        <v>2014</v>
      </c>
      <c r="L31" s="17"/>
      <c r="M31" s="18"/>
      <c r="N31" s="17"/>
      <c r="O31" s="17"/>
      <c r="P31" s="19" t="s">
        <v>39</v>
      </c>
      <c r="Q31" s="17"/>
      <c r="R31" s="17" t="s">
        <v>217</v>
      </c>
      <c r="S31" s="17"/>
      <c r="T31" s="17" t="s">
        <v>218</v>
      </c>
      <c r="U31" s="17"/>
      <c r="V31" s="21" t="s">
        <v>31</v>
      </c>
      <c r="Z31" s="17"/>
      <c r="AA31" s="29"/>
      <c r="AB31" s="18" t="s">
        <v>219</v>
      </c>
      <c r="AC31" s="17"/>
      <c r="AD31" s="17"/>
      <c r="AE31" s="17"/>
    </row>
    <row r="32" customFormat="false" ht="15.75" hidden="false" customHeight="false" outlineLevel="0" collapsed="false">
      <c r="A32" s="12"/>
      <c r="B32" s="54"/>
      <c r="C32" s="55" t="s">
        <v>220</v>
      </c>
      <c r="D32" s="24"/>
      <c r="E32" s="16" t="s">
        <v>221</v>
      </c>
      <c r="F32" s="15" t="s">
        <v>222</v>
      </c>
      <c r="G32" s="15"/>
      <c r="H32" s="15"/>
      <c r="I32" s="26" t="s">
        <v>223</v>
      </c>
      <c r="J32" s="15" t="s">
        <v>205</v>
      </c>
      <c r="K32" s="15" t="n">
        <v>2014</v>
      </c>
      <c r="L32" s="17"/>
      <c r="M32" s="18"/>
      <c r="N32" s="17"/>
      <c r="O32" s="17"/>
      <c r="P32" s="19" t="s">
        <v>39</v>
      </c>
      <c r="Q32" s="12"/>
      <c r="R32" s="12" t="s">
        <v>224</v>
      </c>
      <c r="S32" s="12"/>
      <c r="T32" s="12" t="s">
        <v>225</v>
      </c>
      <c r="U32" s="12"/>
      <c r="V32" s="21" t="s">
        <v>31</v>
      </c>
      <c r="Z32" s="12"/>
      <c r="AA32" s="29"/>
      <c r="AB32" s="18" t="s">
        <v>226</v>
      </c>
      <c r="AC32" s="12"/>
      <c r="AD32" s="12"/>
      <c r="AE32" s="12"/>
    </row>
    <row r="33" customFormat="false" ht="15.75" hidden="false" customHeight="false" outlineLevel="0" collapsed="false">
      <c r="A33" s="12"/>
      <c r="B33" s="54"/>
      <c r="C33" s="55" t="s">
        <v>227</v>
      </c>
      <c r="D33" s="24"/>
      <c r="E33" s="16" t="s">
        <v>228</v>
      </c>
      <c r="F33" s="56" t="s">
        <v>229</v>
      </c>
      <c r="G33" s="15"/>
      <c r="H33" s="15"/>
      <c r="I33" s="26" t="s">
        <v>230</v>
      </c>
      <c r="J33" s="15" t="s">
        <v>231</v>
      </c>
      <c r="K33" s="15" t="n">
        <v>2012</v>
      </c>
      <c r="L33" s="17"/>
      <c r="M33" s="18"/>
      <c r="N33" s="17"/>
      <c r="O33" s="17"/>
      <c r="P33" s="19" t="s">
        <v>39</v>
      </c>
      <c r="Q33" s="12"/>
      <c r="R33" s="12" t="s">
        <v>232</v>
      </c>
      <c r="S33" s="12"/>
      <c r="T33" s="12" t="s">
        <v>233</v>
      </c>
      <c r="U33" s="12"/>
      <c r="V33" s="21" t="s">
        <v>31</v>
      </c>
      <c r="Z33" s="12"/>
      <c r="AA33" s="29"/>
      <c r="AB33" s="18" t="s">
        <v>234</v>
      </c>
      <c r="AC33" s="12"/>
      <c r="AD33" s="12"/>
      <c r="AE33" s="12"/>
    </row>
    <row r="34" customFormat="false" ht="102" hidden="false" customHeight="true" outlineLevel="0" collapsed="false">
      <c r="A34" s="12"/>
      <c r="B34" s="54"/>
      <c r="C34" s="55" t="s">
        <v>235</v>
      </c>
      <c r="D34" s="24"/>
      <c r="E34" s="57" t="s">
        <v>236</v>
      </c>
      <c r="F34" s="58" t="s">
        <v>237</v>
      </c>
      <c r="G34" s="15"/>
      <c r="H34" s="15"/>
      <c r="I34" s="15"/>
      <c r="J34" s="15" t="s">
        <v>231</v>
      </c>
      <c r="K34" s="17"/>
      <c r="L34" s="17"/>
      <c r="M34" s="18"/>
      <c r="N34" s="17"/>
      <c r="O34" s="17"/>
      <c r="P34" s="19" t="s">
        <v>39</v>
      </c>
      <c r="Q34" s="12"/>
      <c r="R34" s="12" t="s">
        <v>238</v>
      </c>
      <c r="S34" s="12"/>
      <c r="T34" s="12" t="s">
        <v>239</v>
      </c>
      <c r="U34" s="12"/>
      <c r="V34" s="21" t="s">
        <v>31</v>
      </c>
      <c r="Z34" s="12"/>
      <c r="AA34" s="29"/>
      <c r="AB34" s="18" t="s">
        <v>240</v>
      </c>
      <c r="AC34" s="12"/>
      <c r="AD34" s="12"/>
      <c r="AE34" s="12"/>
    </row>
    <row r="35" customFormat="false" ht="15.75" hidden="false" customHeight="false" outlineLevel="0" collapsed="false">
      <c r="A35" s="12"/>
      <c r="B35" s="13"/>
      <c r="C35" s="14" t="s">
        <v>241</v>
      </c>
      <c r="D35" s="24" t="s">
        <v>61</v>
      </c>
      <c r="E35" s="16" t="s">
        <v>242</v>
      </c>
      <c r="F35" s="16" t="s">
        <v>243</v>
      </c>
      <c r="G35" s="17"/>
      <c r="H35" s="17"/>
      <c r="I35" s="26" t="s">
        <v>166</v>
      </c>
      <c r="J35" s="32" t="s">
        <v>244</v>
      </c>
      <c r="K35" s="17"/>
      <c r="L35" s="17"/>
      <c r="M35" s="46"/>
      <c r="N35" s="17"/>
      <c r="O35" s="17"/>
      <c r="P35" s="40" t="s">
        <v>168</v>
      </c>
      <c r="Q35" s="12"/>
      <c r="R35" s="12" t="s">
        <v>245</v>
      </c>
      <c r="S35" s="12"/>
      <c r="T35" s="12" t="s">
        <v>246</v>
      </c>
      <c r="U35" s="12" t="s">
        <v>247</v>
      </c>
      <c r="V35" s="21" t="s">
        <v>31</v>
      </c>
      <c r="Z35" s="12"/>
      <c r="AA35" s="29" t="n">
        <v>1</v>
      </c>
      <c r="AB35" s="12" t="s">
        <v>248</v>
      </c>
      <c r="AC35" s="12"/>
      <c r="AD35" s="12"/>
      <c r="AE35" s="12"/>
      <c r="AF35" s="47"/>
      <c r="AG35" s="47"/>
    </row>
    <row r="36" customFormat="false" ht="1.5" hidden="false" customHeight="true" outlineLevel="0" collapsed="false">
      <c r="A36" s="12"/>
      <c r="B36" s="20"/>
      <c r="C36" s="48" t="s">
        <v>249</v>
      </c>
      <c r="D36" s="24" t="s">
        <v>61</v>
      </c>
      <c r="E36" s="49" t="s">
        <v>250</v>
      </c>
      <c r="F36" s="49" t="s">
        <v>251</v>
      </c>
      <c r="G36" s="17"/>
      <c r="H36" s="17"/>
      <c r="I36" s="26" t="s">
        <v>166</v>
      </c>
      <c r="J36" s="32" t="s">
        <v>244</v>
      </c>
      <c r="K36" s="17"/>
      <c r="L36" s="17"/>
      <c r="M36" s="50"/>
      <c r="N36" s="17"/>
      <c r="O36" s="17"/>
      <c r="P36" s="40" t="s">
        <v>168</v>
      </c>
      <c r="Q36" s="12"/>
      <c r="R36" s="12" t="s">
        <v>252</v>
      </c>
      <c r="S36" s="12"/>
      <c r="T36" s="12" t="s">
        <v>253</v>
      </c>
      <c r="U36" s="12" t="s">
        <v>254</v>
      </c>
      <c r="V36" s="21" t="s">
        <v>31</v>
      </c>
      <c r="Z36" s="12"/>
      <c r="AA36" s="29" t="n">
        <v>3</v>
      </c>
      <c r="AB36" s="12" t="s">
        <v>255</v>
      </c>
      <c r="AC36" s="59" t="s">
        <v>256</v>
      </c>
      <c r="AD36" s="12"/>
      <c r="AE36" s="12"/>
      <c r="AF36" s="47"/>
      <c r="AG36" s="47"/>
    </row>
    <row r="37" customFormat="false" ht="15.75" hidden="false" customHeight="false" outlineLevel="0" collapsed="false">
      <c r="A37" s="12"/>
      <c r="B37" s="12"/>
      <c r="C37" s="23" t="s">
        <v>257</v>
      </c>
      <c r="D37" s="24" t="s">
        <v>61</v>
      </c>
      <c r="E37" s="25" t="s">
        <v>258</v>
      </c>
      <c r="F37" s="17" t="s">
        <v>259</v>
      </c>
      <c r="G37" s="17"/>
      <c r="H37" s="17"/>
      <c r="I37" s="17" t="s">
        <v>260</v>
      </c>
      <c r="J37" s="32" t="s">
        <v>244</v>
      </c>
      <c r="K37" s="17"/>
      <c r="L37" s="17"/>
      <c r="M37" s="27"/>
      <c r="N37" s="17"/>
      <c r="O37" s="17"/>
      <c r="P37" s="40" t="s">
        <v>261</v>
      </c>
      <c r="Q37" s="12"/>
      <c r="R37" s="12"/>
      <c r="S37" s="12"/>
      <c r="T37" s="12"/>
      <c r="U37" s="12"/>
      <c r="V37" s="21"/>
      <c r="Z37" s="12"/>
      <c r="AA37" s="29" t="n">
        <v>2</v>
      </c>
      <c r="AB37" s="12" t="s">
        <v>262</v>
      </c>
      <c r="AC37" s="12"/>
      <c r="AD37" s="12"/>
      <c r="AE37" s="12"/>
    </row>
    <row r="38" customFormat="false" ht="15.75" hidden="false" customHeight="false" outlineLevel="0" collapsed="false">
      <c r="A38" s="12" t="str">
        <f aca="false">IF((AA38&gt;=4), "Y", "N")</f>
        <v>Y</v>
      </c>
      <c r="B38" s="13" t="s">
        <v>49</v>
      </c>
      <c r="C38" s="31" t="s">
        <v>263</v>
      </c>
      <c r="D38" s="16" t="s">
        <v>51</v>
      </c>
      <c r="E38" s="32" t="s">
        <v>264</v>
      </c>
      <c r="F38" s="17" t="s">
        <v>265</v>
      </c>
      <c r="G38" s="17"/>
      <c r="H38" s="17"/>
      <c r="I38" s="26" t="s">
        <v>266</v>
      </c>
      <c r="J38" s="32" t="s">
        <v>244</v>
      </c>
      <c r="K38" s="33" t="n">
        <v>2002</v>
      </c>
      <c r="L38" s="33" t="s">
        <v>99</v>
      </c>
      <c r="M38" s="27" t="s">
        <v>147</v>
      </c>
      <c r="N38" s="17" t="s">
        <v>267</v>
      </c>
      <c r="O38" s="17"/>
      <c r="P38" s="40" t="s">
        <v>268</v>
      </c>
      <c r="V38" s="60"/>
      <c r="AA38" s="29" t="str">
        <f aca="false">IF(P38="OD500 MX", "5", " ")</f>
        <v>5</v>
      </c>
    </row>
    <row r="39" customFormat="false" ht="15.75" hidden="false" customHeight="false" outlineLevel="0" collapsed="false">
      <c r="A39" s="12" t="str">
        <f aca="false">IF((AA39&gt;=4), "Y", "N")</f>
        <v>Y</v>
      </c>
      <c r="B39" s="13" t="s">
        <v>49</v>
      </c>
      <c r="C39" s="31" t="s">
        <v>269</v>
      </c>
      <c r="D39" s="16" t="s">
        <v>61</v>
      </c>
      <c r="E39" s="32" t="s">
        <v>270</v>
      </c>
      <c r="F39" s="17"/>
      <c r="G39" s="17"/>
      <c r="H39" s="17"/>
      <c r="I39" s="26" t="s">
        <v>266</v>
      </c>
      <c r="J39" s="32" t="s">
        <v>244</v>
      </c>
      <c r="K39" s="32"/>
      <c r="L39" s="33"/>
      <c r="M39" s="27" t="s">
        <v>58</v>
      </c>
      <c r="N39" s="17" t="s">
        <v>271</v>
      </c>
      <c r="O39" s="17"/>
      <c r="P39" s="40" t="s">
        <v>268</v>
      </c>
      <c r="Q39" s="12"/>
      <c r="R39" s="12"/>
      <c r="S39" s="12"/>
      <c r="T39" s="12"/>
      <c r="U39" s="12"/>
      <c r="V39" s="21"/>
      <c r="Z39" s="12"/>
      <c r="AA39" s="29" t="str">
        <f aca="false">IF(P39="OD500 MX", "5", " ")</f>
        <v>5</v>
      </c>
      <c r="AB39" s="12"/>
      <c r="AC39" s="12"/>
      <c r="AD39" s="12"/>
      <c r="AE39" s="12"/>
    </row>
    <row r="40" customFormat="false" ht="15.75" hidden="false" customHeight="false" outlineLevel="0" collapsed="false">
      <c r="A40" s="12"/>
      <c r="B40" s="12"/>
      <c r="C40" s="23" t="s">
        <v>272</v>
      </c>
      <c r="D40" s="24" t="s">
        <v>61</v>
      </c>
      <c r="E40" s="25" t="s">
        <v>273</v>
      </c>
      <c r="F40" s="17" t="s">
        <v>274</v>
      </c>
      <c r="G40" s="17"/>
      <c r="H40" s="17"/>
      <c r="I40" s="17" t="s">
        <v>260</v>
      </c>
      <c r="J40" s="32" t="s">
        <v>244</v>
      </c>
      <c r="K40" s="17"/>
      <c r="L40" s="17" t="s">
        <v>275</v>
      </c>
      <c r="M40" s="27"/>
      <c r="N40" s="17"/>
      <c r="O40" s="17"/>
      <c r="P40" s="40" t="s">
        <v>261</v>
      </c>
      <c r="Q40" s="12"/>
      <c r="R40" s="12"/>
      <c r="S40" s="12"/>
      <c r="T40" s="12"/>
      <c r="U40" s="12"/>
      <c r="V40" s="21"/>
      <c r="Z40" s="12"/>
      <c r="AA40" s="29"/>
      <c r="AB40" s="12"/>
      <c r="AC40" s="12"/>
      <c r="AD40" s="12"/>
      <c r="AE40" s="12"/>
    </row>
    <row r="41" customFormat="false" ht="15.75" hidden="false" customHeight="false" outlineLevel="0" collapsed="false">
      <c r="A41" s="12" t="str">
        <f aca="false">IF((AA41&gt;=4), "Y", " ")</f>
        <v>Y</v>
      </c>
      <c r="B41" s="20" t="s">
        <v>49</v>
      </c>
      <c r="C41" s="48" t="s">
        <v>276</v>
      </c>
      <c r="D41" s="24" t="s">
        <v>94</v>
      </c>
      <c r="E41" s="49" t="s">
        <v>277</v>
      </c>
      <c r="F41" s="49" t="s">
        <v>278</v>
      </c>
      <c r="G41" s="17"/>
      <c r="H41" s="17"/>
      <c r="I41" s="26" t="s">
        <v>166</v>
      </c>
      <c r="J41" s="32" t="s">
        <v>244</v>
      </c>
      <c r="K41" s="17"/>
      <c r="L41" s="17"/>
      <c r="M41" s="50" t="s">
        <v>74</v>
      </c>
      <c r="N41" s="17"/>
      <c r="O41" s="17"/>
      <c r="P41" s="40" t="s">
        <v>168</v>
      </c>
      <c r="Q41" s="12"/>
      <c r="R41" s="12" t="s">
        <v>279</v>
      </c>
      <c r="S41" s="12"/>
      <c r="T41" s="12" t="s">
        <v>280</v>
      </c>
      <c r="U41" s="12" t="s">
        <v>281</v>
      </c>
      <c r="V41" s="21" t="s">
        <v>31</v>
      </c>
      <c r="Z41" s="12"/>
      <c r="AA41" s="29" t="n">
        <v>4</v>
      </c>
      <c r="AB41" s="12" t="s">
        <v>282</v>
      </c>
      <c r="AC41" s="12"/>
      <c r="AD41" s="12"/>
      <c r="AE41" s="12"/>
      <c r="AF41" s="12"/>
      <c r="AG41" s="12"/>
    </row>
    <row r="42" customFormat="false" ht="15.75" hidden="false" customHeight="false" outlineLevel="0" collapsed="false">
      <c r="A42" s="12" t="str">
        <f aca="false">IF((AA42&gt;=4), "Y", "N")</f>
        <v>Y</v>
      </c>
      <c r="B42" s="61" t="s">
        <v>49</v>
      </c>
      <c r="C42" s="62" t="s">
        <v>283</v>
      </c>
      <c r="D42" s="24" t="s">
        <v>51</v>
      </c>
      <c r="E42" s="16" t="s">
        <v>284</v>
      </c>
      <c r="F42" s="15" t="s">
        <v>285</v>
      </c>
      <c r="G42" s="15"/>
      <c r="H42" s="15"/>
      <c r="I42" s="26" t="s">
        <v>166</v>
      </c>
      <c r="J42" s="32" t="s">
        <v>244</v>
      </c>
      <c r="K42" s="15" t="n">
        <v>2011</v>
      </c>
      <c r="L42" s="17"/>
      <c r="M42" s="18" t="s">
        <v>58</v>
      </c>
      <c r="N42" s="17"/>
      <c r="O42" s="17"/>
      <c r="P42" s="19" t="s">
        <v>39</v>
      </c>
      <c r="V42" s="60"/>
      <c r="AA42" s="63" t="n">
        <v>5</v>
      </c>
      <c r="AB42" s="17" t="s">
        <v>286</v>
      </c>
      <c r="AC42" s="25" t="s">
        <v>284</v>
      </c>
      <c r="AD42" s="25" t="s">
        <v>287</v>
      </c>
    </row>
    <row r="43" customFormat="false" ht="15.75" hidden="false" customHeight="false" outlineLevel="0" collapsed="false">
      <c r="A43" s="12" t="str">
        <f aca="false">IF((AA43&gt;=4), "Y", "N")</f>
        <v>Y</v>
      </c>
      <c r="B43" s="12" t="s">
        <v>49</v>
      </c>
      <c r="C43" s="23" t="s">
        <v>288</v>
      </c>
      <c r="D43" s="24" t="s">
        <v>94</v>
      </c>
      <c r="E43" s="25" t="s">
        <v>289</v>
      </c>
      <c r="F43" s="17" t="s">
        <v>290</v>
      </c>
      <c r="G43" s="17" t="s">
        <v>291</v>
      </c>
      <c r="H43" s="17" t="s">
        <v>72</v>
      </c>
      <c r="I43" s="17" t="s">
        <v>36</v>
      </c>
      <c r="J43" s="32" t="s">
        <v>244</v>
      </c>
      <c r="K43" s="17" t="n">
        <v>2001</v>
      </c>
      <c r="L43" s="38" t="s">
        <v>99</v>
      </c>
      <c r="M43" s="27" t="s">
        <v>74</v>
      </c>
      <c r="N43" s="17"/>
      <c r="O43" s="17"/>
      <c r="P43" s="40" t="s">
        <v>111</v>
      </c>
      <c r="Q43" s="12"/>
      <c r="R43" s="12"/>
      <c r="S43" s="12"/>
      <c r="T43" s="12"/>
      <c r="U43" s="12"/>
      <c r="V43" s="21"/>
      <c r="Z43" s="12"/>
      <c r="AA43" s="29" t="n">
        <v>5</v>
      </c>
      <c r="AB43" s="12" t="s">
        <v>292</v>
      </c>
      <c r="AC43" s="12"/>
      <c r="AD43" s="12"/>
      <c r="AE43" s="12"/>
    </row>
    <row r="44" customFormat="false" ht="15.75" hidden="false" customHeight="false" outlineLevel="0" collapsed="false">
      <c r="A44" s="12" t="str">
        <f aca="false">IF((AA44&gt;=4), "Y", "N")</f>
        <v>Y</v>
      </c>
      <c r="B44" s="12" t="s">
        <v>49</v>
      </c>
      <c r="C44" s="23" t="s">
        <v>293</v>
      </c>
      <c r="D44" s="24" t="s">
        <v>61</v>
      </c>
      <c r="E44" s="25" t="s">
        <v>294</v>
      </c>
      <c r="F44" s="17" t="s">
        <v>295</v>
      </c>
      <c r="G44" s="17" t="s">
        <v>296</v>
      </c>
      <c r="H44" s="17" t="s">
        <v>297</v>
      </c>
      <c r="I44" s="17" t="s">
        <v>36</v>
      </c>
      <c r="J44" s="32" t="s">
        <v>244</v>
      </c>
      <c r="K44" s="17" t="n">
        <v>2010</v>
      </c>
      <c r="L44" s="38" t="s">
        <v>109</v>
      </c>
      <c r="M44" s="27" t="s">
        <v>74</v>
      </c>
      <c r="N44" s="17" t="s">
        <v>298</v>
      </c>
      <c r="O44" s="17"/>
      <c r="P44" s="40" t="s">
        <v>111</v>
      </c>
      <c r="Q44" s="12"/>
      <c r="R44" s="12"/>
      <c r="S44" s="12"/>
      <c r="T44" s="12"/>
      <c r="U44" s="12"/>
      <c r="V44" s="21"/>
      <c r="Z44" s="12"/>
      <c r="AA44" s="29" t="n">
        <v>5</v>
      </c>
      <c r="AB44" s="12"/>
      <c r="AC44" s="12"/>
      <c r="AD44" s="12"/>
      <c r="AE44" s="12"/>
    </row>
    <row r="45" customFormat="false" ht="15.75" hidden="false" customHeight="false" outlineLevel="0" collapsed="false">
      <c r="A45" s="12" t="str">
        <f aca="false">IF((AA45&gt;=4), "Y", "N")</f>
        <v>Y</v>
      </c>
      <c r="B45" s="12" t="s">
        <v>49</v>
      </c>
      <c r="C45" s="23" t="s">
        <v>299</v>
      </c>
      <c r="D45" s="24" t="s">
        <v>94</v>
      </c>
      <c r="E45" s="25" t="s">
        <v>300</v>
      </c>
      <c r="F45" s="17" t="s">
        <v>301</v>
      </c>
      <c r="G45" s="17" t="s">
        <v>302</v>
      </c>
      <c r="H45" s="26" t="s">
        <v>303</v>
      </c>
      <c r="I45" s="17" t="s">
        <v>36</v>
      </c>
      <c r="J45" s="32" t="s">
        <v>244</v>
      </c>
      <c r="K45" s="17" t="n">
        <v>2006</v>
      </c>
      <c r="L45" s="38" t="s">
        <v>73</v>
      </c>
      <c r="M45" s="27" t="s">
        <v>74</v>
      </c>
      <c r="N45" s="37" t="s">
        <v>304</v>
      </c>
      <c r="O45" s="17"/>
      <c r="P45" s="40" t="s">
        <v>111</v>
      </c>
      <c r="Q45" s="12"/>
      <c r="R45" s="12"/>
      <c r="S45" s="12"/>
      <c r="T45" s="12"/>
      <c r="U45" s="12"/>
      <c r="V45" s="21"/>
      <c r="Z45" s="12"/>
      <c r="AA45" s="29" t="n">
        <v>5</v>
      </c>
      <c r="AB45" s="12" t="s">
        <v>305</v>
      </c>
      <c r="AC45" s="12"/>
      <c r="AD45" s="12"/>
      <c r="AE45" s="12"/>
    </row>
    <row r="46" customFormat="false" ht="15.75" hidden="false" customHeight="false" outlineLevel="0" collapsed="false">
      <c r="A46" s="12" t="str">
        <f aca="false">IF((AA46&gt;=4), "Y", "N")</f>
        <v>Y</v>
      </c>
      <c r="B46" s="13" t="s">
        <v>49</v>
      </c>
      <c r="C46" s="31" t="s">
        <v>306</v>
      </c>
      <c r="D46" s="24" t="s">
        <v>94</v>
      </c>
      <c r="E46" s="32" t="s">
        <v>307</v>
      </c>
      <c r="F46" s="17" t="s">
        <v>308</v>
      </c>
      <c r="G46" s="17"/>
      <c r="H46" s="17"/>
      <c r="I46" s="26" t="s">
        <v>266</v>
      </c>
      <c r="J46" s="32" t="s">
        <v>244</v>
      </c>
      <c r="K46" s="33" t="n">
        <v>2008</v>
      </c>
      <c r="L46" s="33" t="s">
        <v>109</v>
      </c>
      <c r="M46" s="27" t="s">
        <v>74</v>
      </c>
      <c r="N46" s="17" t="s">
        <v>309</v>
      </c>
      <c r="O46" s="17"/>
      <c r="P46" s="40" t="s">
        <v>268</v>
      </c>
      <c r="Q46" s="17"/>
      <c r="R46" s="17"/>
      <c r="S46" s="17"/>
      <c r="T46" s="17"/>
      <c r="U46" s="17"/>
      <c r="V46" s="27"/>
      <c r="Z46" s="17"/>
      <c r="AA46" s="29" t="str">
        <f aca="false">IF(P46="OD500 MX", "5", " ")</f>
        <v>5</v>
      </c>
      <c r="AB46" s="17"/>
      <c r="AC46" s="17"/>
      <c r="AD46" s="17"/>
      <c r="AE46" s="17"/>
    </row>
    <row r="47" customFormat="false" ht="15.75" hidden="false" customHeight="false" outlineLevel="0" collapsed="false">
      <c r="A47" s="12" t="str">
        <f aca="false">IF((AA47&gt;=4), "Y", "N")</f>
        <v>Y</v>
      </c>
      <c r="B47" s="12" t="s">
        <v>49</v>
      </c>
      <c r="C47" s="23" t="s">
        <v>310</v>
      </c>
      <c r="D47" s="24" t="s">
        <v>94</v>
      </c>
      <c r="E47" s="25" t="s">
        <v>311</v>
      </c>
      <c r="F47" s="17" t="s">
        <v>312</v>
      </c>
      <c r="G47" s="17" t="s">
        <v>313</v>
      </c>
      <c r="H47" s="17" t="s">
        <v>314</v>
      </c>
      <c r="I47" s="17" t="s">
        <v>36</v>
      </c>
      <c r="J47" s="32" t="s">
        <v>244</v>
      </c>
      <c r="K47" s="17" t="n">
        <v>1977</v>
      </c>
      <c r="L47" s="38" t="s">
        <v>73</v>
      </c>
      <c r="M47" s="27" t="s">
        <v>74</v>
      </c>
      <c r="N47" s="17" t="s">
        <v>315</v>
      </c>
      <c r="O47" s="17"/>
      <c r="P47" s="40" t="s">
        <v>111</v>
      </c>
      <c r="Q47" s="12"/>
      <c r="R47" s="12"/>
      <c r="S47" s="12"/>
      <c r="T47" s="12"/>
      <c r="U47" s="12"/>
      <c r="V47" s="21"/>
      <c r="Z47" s="12"/>
      <c r="AA47" s="29" t="n">
        <v>5</v>
      </c>
      <c r="AB47" s="12"/>
      <c r="AC47" s="12"/>
      <c r="AD47" s="12"/>
      <c r="AE47" s="12"/>
    </row>
    <row r="48" customFormat="false" ht="15.75" hidden="false" customHeight="false" outlineLevel="0" collapsed="false">
      <c r="A48" s="12" t="str">
        <f aca="false">IF((AA48&gt;=4), "Y", "N")</f>
        <v>Y</v>
      </c>
      <c r="B48" s="13"/>
      <c r="C48" s="31" t="s">
        <v>316</v>
      </c>
      <c r="D48" s="16" t="s">
        <v>51</v>
      </c>
      <c r="E48" s="32" t="s">
        <v>317</v>
      </c>
      <c r="F48" s="17"/>
      <c r="G48" s="17"/>
      <c r="H48" s="17"/>
      <c r="I48" s="26" t="s">
        <v>266</v>
      </c>
      <c r="J48" s="32" t="s">
        <v>244</v>
      </c>
      <c r="K48" s="33" t="n">
        <v>1988</v>
      </c>
      <c r="L48" s="33" t="s">
        <v>99</v>
      </c>
      <c r="M48" s="27"/>
      <c r="N48" s="17" t="s">
        <v>318</v>
      </c>
      <c r="O48" s="17"/>
      <c r="P48" s="40" t="s">
        <v>268</v>
      </c>
      <c r="V48" s="60"/>
      <c r="AA48" s="29" t="str">
        <f aca="false">IF(P48="OD500 MX", "5", " ")</f>
        <v>5</v>
      </c>
      <c r="AB48" s="17"/>
    </row>
    <row r="49" customFormat="false" ht="15.75" hidden="false" customHeight="false" outlineLevel="0" collapsed="false">
      <c r="A49" s="12"/>
      <c r="B49" s="12"/>
      <c r="C49" s="23" t="s">
        <v>319</v>
      </c>
      <c r="D49" s="24"/>
      <c r="E49" s="17"/>
      <c r="F49" s="17"/>
      <c r="G49" s="17"/>
      <c r="H49" s="17"/>
      <c r="I49" s="17" t="s">
        <v>260</v>
      </c>
      <c r="J49" s="32" t="s">
        <v>244</v>
      </c>
      <c r="K49" s="17"/>
      <c r="L49" s="17"/>
      <c r="M49" s="27"/>
      <c r="N49" s="17"/>
      <c r="O49" s="17"/>
      <c r="P49" s="40" t="s">
        <v>261</v>
      </c>
      <c r="Q49" s="20"/>
      <c r="R49" s="20"/>
      <c r="S49" s="20"/>
      <c r="T49" s="20"/>
      <c r="U49" s="20"/>
      <c r="V49" s="45"/>
      <c r="Z49" s="20"/>
      <c r="AA49" s="22"/>
      <c r="AB49" s="20"/>
      <c r="AC49" s="20"/>
      <c r="AD49" s="20"/>
      <c r="AE49" s="20"/>
    </row>
    <row r="50" customFormat="false" ht="15.75" hidden="false" customHeight="false" outlineLevel="0" collapsed="false">
      <c r="A50" s="12"/>
      <c r="B50" s="12"/>
      <c r="C50" s="23" t="s">
        <v>320</v>
      </c>
      <c r="D50" s="24" t="s">
        <v>94</v>
      </c>
      <c r="E50" s="25" t="s">
        <v>321</v>
      </c>
      <c r="F50" s="17" t="s">
        <v>322</v>
      </c>
      <c r="G50" s="17" t="s">
        <v>323</v>
      </c>
      <c r="H50" s="17" t="s">
        <v>72</v>
      </c>
      <c r="I50" s="17" t="s">
        <v>36</v>
      </c>
      <c r="J50" s="32" t="s">
        <v>244</v>
      </c>
      <c r="K50" s="17" t="n">
        <v>2000</v>
      </c>
      <c r="L50" s="38" t="s">
        <v>99</v>
      </c>
      <c r="M50" s="27"/>
      <c r="N50" s="17"/>
      <c r="O50" s="17"/>
      <c r="P50" s="40" t="s">
        <v>111</v>
      </c>
      <c r="Q50" s="12"/>
      <c r="R50" s="12"/>
      <c r="S50" s="12"/>
      <c r="T50" s="12"/>
      <c r="U50" s="12"/>
      <c r="V50" s="21"/>
      <c r="Z50" s="12"/>
      <c r="AA50" s="29" t="n">
        <v>3</v>
      </c>
      <c r="AB50" s="12"/>
      <c r="AC50" s="12"/>
      <c r="AD50" s="12"/>
      <c r="AE50" s="12"/>
    </row>
    <row r="51" customFormat="false" ht="15.75" hidden="false" customHeight="false" outlineLevel="0" collapsed="false">
      <c r="A51" s="12" t="str">
        <f aca="false">IF((AA51&gt;=4), "Y", "N")</f>
        <v>Y</v>
      </c>
      <c r="B51" s="13"/>
      <c r="C51" s="31" t="s">
        <v>324</v>
      </c>
      <c r="D51" s="16" t="s">
        <v>51</v>
      </c>
      <c r="E51" s="32" t="s">
        <v>325</v>
      </c>
      <c r="F51" s="17"/>
      <c r="G51" s="17"/>
      <c r="H51" s="17"/>
      <c r="I51" s="26" t="s">
        <v>266</v>
      </c>
      <c r="J51" s="32" t="s">
        <v>244</v>
      </c>
      <c r="K51" s="33" t="n">
        <v>1929</v>
      </c>
      <c r="L51" s="33" t="s">
        <v>73</v>
      </c>
      <c r="M51" s="27"/>
      <c r="N51" s="17"/>
      <c r="O51" s="17"/>
      <c r="P51" s="40" t="s">
        <v>268</v>
      </c>
      <c r="Q51" s="12"/>
      <c r="R51" s="12"/>
      <c r="S51" s="12"/>
      <c r="T51" s="12"/>
      <c r="U51" s="12"/>
      <c r="V51" s="21"/>
      <c r="Z51" s="12"/>
      <c r="AA51" s="29" t="str">
        <f aca="false">IF(P51="OD500 MX", "5", " ")</f>
        <v>5</v>
      </c>
      <c r="AB51" s="12"/>
      <c r="AC51" s="12"/>
      <c r="AD51" s="12"/>
      <c r="AE51" s="12"/>
    </row>
    <row r="52" customFormat="false" ht="15.75" hidden="false" customHeight="false" outlineLevel="0" collapsed="false">
      <c r="A52" s="12" t="str">
        <f aca="false">IF((AA52&gt;=4), "Y", "N")</f>
        <v>Y</v>
      </c>
      <c r="B52" s="12" t="s">
        <v>49</v>
      </c>
      <c r="C52" s="23" t="s">
        <v>326</v>
      </c>
      <c r="D52" s="24" t="s">
        <v>94</v>
      </c>
      <c r="E52" s="25" t="s">
        <v>327</v>
      </c>
      <c r="F52" s="17" t="s">
        <v>328</v>
      </c>
      <c r="G52" s="17" t="s">
        <v>329</v>
      </c>
      <c r="H52" s="17" t="s">
        <v>297</v>
      </c>
      <c r="I52" s="17" t="s">
        <v>36</v>
      </c>
      <c r="J52" s="32" t="s">
        <v>244</v>
      </c>
      <c r="K52" s="17" t="n">
        <v>1978</v>
      </c>
      <c r="L52" s="38" t="s">
        <v>330</v>
      </c>
      <c r="M52" s="27" t="s">
        <v>58</v>
      </c>
      <c r="N52" s="37" t="s">
        <v>331</v>
      </c>
      <c r="O52" s="17"/>
      <c r="P52" s="40" t="s">
        <v>111</v>
      </c>
      <c r="Q52" s="12"/>
      <c r="R52" s="12"/>
      <c r="S52" s="12"/>
      <c r="T52" s="12"/>
      <c r="U52" s="12"/>
      <c r="V52" s="21"/>
      <c r="Z52" s="12"/>
      <c r="AA52" s="29" t="n">
        <v>5</v>
      </c>
      <c r="AB52" s="12"/>
      <c r="AC52" s="12"/>
      <c r="AD52" s="12"/>
      <c r="AE52" s="12"/>
    </row>
    <row r="53" customFormat="false" ht="15.75" hidden="false" customHeight="false" outlineLevel="0" collapsed="false">
      <c r="A53" s="12" t="str">
        <f aca="false">IF((AA53&gt;=4), "Y", "N")</f>
        <v>Y</v>
      </c>
      <c r="B53" s="12" t="s">
        <v>49</v>
      </c>
      <c r="C53" s="23" t="s">
        <v>332</v>
      </c>
      <c r="D53" s="24" t="s">
        <v>61</v>
      </c>
      <c r="E53" s="25" t="s">
        <v>333</v>
      </c>
      <c r="F53" s="17" t="s">
        <v>334</v>
      </c>
      <c r="G53" s="17" t="s">
        <v>335</v>
      </c>
      <c r="H53" s="17" t="s">
        <v>336</v>
      </c>
      <c r="I53" s="17" t="s">
        <v>36</v>
      </c>
      <c r="J53" s="32" t="s">
        <v>244</v>
      </c>
      <c r="K53" s="17" t="n">
        <v>1990</v>
      </c>
      <c r="L53" s="38" t="s">
        <v>99</v>
      </c>
      <c r="M53" s="27" t="s">
        <v>74</v>
      </c>
      <c r="N53" s="39" t="s">
        <v>315</v>
      </c>
      <c r="O53" s="17"/>
      <c r="P53" s="40" t="s">
        <v>111</v>
      </c>
      <c r="Q53" s="12"/>
      <c r="R53" s="12"/>
      <c r="S53" s="12"/>
      <c r="T53" s="12"/>
      <c r="U53" s="12"/>
      <c r="V53" s="21"/>
      <c r="Z53" s="12"/>
      <c r="AA53" s="29" t="n">
        <v>5</v>
      </c>
      <c r="AB53" s="12"/>
      <c r="AC53" s="12"/>
      <c r="AD53" s="12"/>
      <c r="AE53" s="12"/>
    </row>
    <row r="54" customFormat="false" ht="15.75" hidden="false" customHeight="false" outlineLevel="0" collapsed="false">
      <c r="A54" s="12" t="str">
        <f aca="false">IF((AA54&gt;=4), "Y", "N")</f>
        <v>Y</v>
      </c>
      <c r="B54" s="13" t="s">
        <v>49</v>
      </c>
      <c r="C54" s="31" t="s">
        <v>337</v>
      </c>
      <c r="D54" s="16" t="s">
        <v>61</v>
      </c>
      <c r="E54" s="32" t="s">
        <v>338</v>
      </c>
      <c r="F54" s="32" t="s">
        <v>339</v>
      </c>
      <c r="G54" s="32" t="s">
        <v>340</v>
      </c>
      <c r="H54" s="26" t="s">
        <v>341</v>
      </c>
      <c r="I54" s="17" t="s">
        <v>36</v>
      </c>
      <c r="J54" s="32" t="s">
        <v>244</v>
      </c>
      <c r="K54" s="33" t="n">
        <v>1841</v>
      </c>
      <c r="L54" s="33" t="s">
        <v>275</v>
      </c>
      <c r="M54" s="27" t="s">
        <v>74</v>
      </c>
      <c r="N54" s="37" t="s">
        <v>342</v>
      </c>
      <c r="O54" s="17"/>
      <c r="P54" s="19" t="s">
        <v>76</v>
      </c>
      <c r="R54" s="0" t="s">
        <v>343</v>
      </c>
      <c r="T54" s="0" t="s">
        <v>344</v>
      </c>
      <c r="V54" s="21" t="s">
        <v>31</v>
      </c>
      <c r="AA54" s="22" t="n">
        <v>5</v>
      </c>
    </row>
    <row r="55" customFormat="false" ht="15.75" hidden="false" customHeight="false" outlineLevel="0" collapsed="false">
      <c r="A55" s="12" t="str">
        <f aca="false">IF((AA55&gt;=4), "Y", "N")</f>
        <v>Y</v>
      </c>
      <c r="B55" s="12" t="s">
        <v>49</v>
      </c>
      <c r="C55" s="23" t="s">
        <v>345</v>
      </c>
      <c r="D55" s="24" t="s">
        <v>94</v>
      </c>
      <c r="E55" s="25" t="s">
        <v>346</v>
      </c>
      <c r="F55" s="17" t="s">
        <v>347</v>
      </c>
      <c r="G55" s="17" t="s">
        <v>145</v>
      </c>
      <c r="H55" s="26" t="s">
        <v>146</v>
      </c>
      <c r="I55" s="17" t="s">
        <v>36</v>
      </c>
      <c r="J55" s="32" t="s">
        <v>244</v>
      </c>
      <c r="K55" s="17" t="n">
        <v>2010</v>
      </c>
      <c r="L55" s="38" t="s">
        <v>99</v>
      </c>
      <c r="M55" s="27" t="s">
        <v>74</v>
      </c>
      <c r="N55" s="37" t="s">
        <v>348</v>
      </c>
      <c r="O55" s="17"/>
      <c r="P55" s="40" t="s">
        <v>111</v>
      </c>
      <c r="Q55" s="20"/>
      <c r="R55" s="20"/>
      <c r="S55" s="20"/>
      <c r="T55" s="20"/>
      <c r="U55" s="20"/>
      <c r="V55" s="45"/>
      <c r="Z55" s="20"/>
      <c r="AA55" s="22" t="n">
        <v>5</v>
      </c>
      <c r="AB55" s="20"/>
      <c r="AC55" s="20"/>
      <c r="AD55" s="20"/>
      <c r="AE55" s="20"/>
    </row>
    <row r="56" customFormat="false" ht="15.75" hidden="false" customHeight="false" outlineLevel="0" collapsed="false">
      <c r="A56" s="12" t="str">
        <f aca="false">IF((AA56&gt;=4), "Y", "N")</f>
        <v>Y</v>
      </c>
      <c r="B56" s="12" t="s">
        <v>49</v>
      </c>
      <c r="C56" s="23" t="s">
        <v>349</v>
      </c>
      <c r="D56" s="24" t="s">
        <v>51</v>
      </c>
      <c r="E56" s="25" t="s">
        <v>350</v>
      </c>
      <c r="F56" s="17" t="s">
        <v>351</v>
      </c>
      <c r="G56" s="17" t="s">
        <v>352</v>
      </c>
      <c r="H56" s="17" t="s">
        <v>353</v>
      </c>
      <c r="I56" s="17" t="s">
        <v>36</v>
      </c>
      <c r="J56" s="32" t="s">
        <v>244</v>
      </c>
      <c r="K56" s="17" t="n">
        <v>2012</v>
      </c>
      <c r="L56" s="33"/>
      <c r="M56" s="27" t="s">
        <v>147</v>
      </c>
      <c r="N56" s="37" t="s">
        <v>354</v>
      </c>
      <c r="O56" s="17"/>
      <c r="P56" s="40" t="s">
        <v>111</v>
      </c>
      <c r="V56" s="60"/>
      <c r="AA56" s="63" t="n">
        <v>5</v>
      </c>
    </row>
    <row r="57" customFormat="false" ht="15.75" hidden="false" customHeight="false" outlineLevel="0" collapsed="false">
      <c r="A57" s="12" t="str">
        <f aca="false">IF((AA57&gt;=4), "Y", "N")</f>
        <v>Y</v>
      </c>
      <c r="B57" s="13" t="s">
        <v>49</v>
      </c>
      <c r="C57" s="31" t="s">
        <v>355</v>
      </c>
      <c r="D57" s="24" t="s">
        <v>61</v>
      </c>
      <c r="E57" s="53" t="s">
        <v>356</v>
      </c>
      <c r="F57" s="17" t="s">
        <v>357</v>
      </c>
      <c r="G57" s="17" t="s">
        <v>358</v>
      </c>
      <c r="H57" s="17"/>
      <c r="I57" s="26" t="s">
        <v>359</v>
      </c>
      <c r="J57" s="32" t="s">
        <v>244</v>
      </c>
      <c r="K57" s="33" t="n">
        <v>1989</v>
      </c>
      <c r="L57" s="33" t="s">
        <v>275</v>
      </c>
      <c r="M57" s="27" t="s">
        <v>74</v>
      </c>
      <c r="N57" s="17" t="s">
        <v>360</v>
      </c>
      <c r="O57" s="17"/>
      <c r="P57" s="40" t="s">
        <v>268</v>
      </c>
      <c r="Q57" s="12"/>
      <c r="R57" s="12" t="s">
        <v>361</v>
      </c>
      <c r="S57" s="12"/>
      <c r="T57" s="12" t="s">
        <v>362</v>
      </c>
      <c r="U57" s="12" t="s">
        <v>363</v>
      </c>
      <c r="V57" s="21" t="s">
        <v>31</v>
      </c>
      <c r="Z57" s="12"/>
      <c r="AA57" s="29" t="str">
        <f aca="false">IF(P57="OD500 MX", "5", " ")</f>
        <v>5</v>
      </c>
      <c r="AB57" s="12" t="s">
        <v>364</v>
      </c>
      <c r="AC57" s="12"/>
      <c r="AD57" s="12"/>
      <c r="AE57" s="12"/>
    </row>
    <row r="58" customFormat="false" ht="15.75" hidden="false" customHeight="false" outlineLevel="0" collapsed="false">
      <c r="A58" s="12" t="str">
        <f aca="false">IF((AA58&gt;=4), "Y", "N")</f>
        <v>Y</v>
      </c>
      <c r="B58" s="13" t="s">
        <v>49</v>
      </c>
      <c r="C58" s="31" t="s">
        <v>365</v>
      </c>
      <c r="D58" s="16" t="s">
        <v>94</v>
      </c>
      <c r="E58" s="53" t="s">
        <v>366</v>
      </c>
      <c r="F58" s="32" t="s">
        <v>367</v>
      </c>
      <c r="G58" s="32" t="s">
        <v>368</v>
      </c>
      <c r="H58" s="17" t="s">
        <v>369</v>
      </c>
      <c r="I58" s="17" t="s">
        <v>36</v>
      </c>
      <c r="J58" s="32" t="s">
        <v>244</v>
      </c>
      <c r="K58" s="33" t="n">
        <v>1999</v>
      </c>
      <c r="L58" s="33" t="s">
        <v>73</v>
      </c>
      <c r="M58" s="27" t="s">
        <v>58</v>
      </c>
      <c r="N58" s="37" t="s">
        <v>331</v>
      </c>
      <c r="O58" s="17"/>
      <c r="P58" s="19" t="s">
        <v>76</v>
      </c>
      <c r="Q58" s="12"/>
      <c r="R58" s="12" t="s">
        <v>370</v>
      </c>
      <c r="S58" s="12"/>
      <c r="T58" s="12" t="s">
        <v>371</v>
      </c>
      <c r="U58" s="12"/>
      <c r="V58" s="21" t="s">
        <v>31</v>
      </c>
      <c r="Z58" s="12"/>
      <c r="AA58" s="22" t="str">
        <f aca="false">IF(P58="OD500 US (submitted)", "5", " ")</f>
        <v>5</v>
      </c>
      <c r="AB58" s="12"/>
      <c r="AC58" s="12"/>
      <c r="AD58" s="12"/>
      <c r="AE58" s="12"/>
    </row>
    <row r="59" customFormat="false" ht="15.75" hidden="false" customHeight="false" outlineLevel="0" collapsed="false">
      <c r="A59" s="12" t="str">
        <f aca="false">IF((AA59&gt;=4), "Y", "N")</f>
        <v>Y</v>
      </c>
      <c r="B59" s="12" t="s">
        <v>49</v>
      </c>
      <c r="C59" s="23" t="s">
        <v>372</v>
      </c>
      <c r="D59" s="24" t="s">
        <v>94</v>
      </c>
      <c r="E59" s="25" t="s">
        <v>373</v>
      </c>
      <c r="F59" s="17" t="s">
        <v>374</v>
      </c>
      <c r="G59" s="17" t="s">
        <v>375</v>
      </c>
      <c r="H59" s="17" t="s">
        <v>376</v>
      </c>
      <c r="I59" s="17" t="s">
        <v>36</v>
      </c>
      <c r="J59" s="32" t="s">
        <v>244</v>
      </c>
      <c r="K59" s="17" t="n">
        <v>1941</v>
      </c>
      <c r="L59" s="38" t="s">
        <v>73</v>
      </c>
      <c r="M59" s="27" t="s">
        <v>74</v>
      </c>
      <c r="N59" s="17" t="s">
        <v>377</v>
      </c>
      <c r="O59" s="17"/>
      <c r="P59" s="40" t="s">
        <v>111</v>
      </c>
      <c r="Q59" s="12"/>
      <c r="R59" s="12"/>
      <c r="S59" s="12"/>
      <c r="T59" s="12"/>
      <c r="U59" s="12"/>
      <c r="V59" s="21"/>
      <c r="Z59" s="12"/>
      <c r="AA59" s="29" t="n">
        <v>5</v>
      </c>
      <c r="AB59" s="12"/>
      <c r="AC59" s="12"/>
      <c r="AD59" s="12"/>
      <c r="AE59" s="12"/>
    </row>
    <row r="60" customFormat="false" ht="15.75" hidden="false" customHeight="false" outlineLevel="0" collapsed="false">
      <c r="A60" s="12" t="str">
        <f aca="false">IF((AA60&gt;=4), "Y", "N")</f>
        <v>Y</v>
      </c>
      <c r="B60" s="13" t="s">
        <v>49</v>
      </c>
      <c r="C60" s="31" t="s">
        <v>378</v>
      </c>
      <c r="D60" s="16" t="s">
        <v>94</v>
      </c>
      <c r="E60" s="32" t="s">
        <v>379</v>
      </c>
      <c r="F60" s="32" t="s">
        <v>380</v>
      </c>
      <c r="G60" s="32" t="s">
        <v>381</v>
      </c>
      <c r="H60" s="17" t="s">
        <v>72</v>
      </c>
      <c r="I60" s="17" t="s">
        <v>36</v>
      </c>
      <c r="J60" s="32" t="s">
        <v>244</v>
      </c>
      <c r="K60" s="33" t="n">
        <v>1987</v>
      </c>
      <c r="L60" s="33" t="s">
        <v>99</v>
      </c>
      <c r="M60" s="27" t="s">
        <v>74</v>
      </c>
      <c r="N60" s="17"/>
      <c r="O60" s="17"/>
      <c r="P60" s="19" t="s">
        <v>76</v>
      </c>
      <c r="Q60" s="12"/>
      <c r="R60" s="12" t="s">
        <v>382</v>
      </c>
      <c r="S60" s="12"/>
      <c r="T60" s="12" t="s">
        <v>383</v>
      </c>
      <c r="U60" s="12"/>
      <c r="V60" s="21" t="s">
        <v>31</v>
      </c>
      <c r="Z60" s="12"/>
      <c r="AA60" s="22" t="str">
        <f aca="false">IF(P60="OD500 US (submitted)", "5", " ")</f>
        <v>5</v>
      </c>
      <c r="AB60" s="12"/>
      <c r="AC60" s="12"/>
      <c r="AD60" s="12"/>
      <c r="AE60" s="12"/>
    </row>
    <row r="61" customFormat="false" ht="15.75" hidden="false" customHeight="false" outlineLevel="0" collapsed="false">
      <c r="A61" s="12"/>
      <c r="B61" s="12"/>
      <c r="C61" s="23" t="s">
        <v>384</v>
      </c>
      <c r="D61" s="24"/>
      <c r="E61" s="17"/>
      <c r="F61" s="17"/>
      <c r="G61" s="17"/>
      <c r="H61" s="17"/>
      <c r="I61" s="17" t="s">
        <v>260</v>
      </c>
      <c r="J61" s="32" t="s">
        <v>244</v>
      </c>
      <c r="K61" s="17"/>
      <c r="L61" s="17"/>
      <c r="M61" s="27"/>
      <c r="N61" s="17"/>
      <c r="O61" s="17"/>
      <c r="P61" s="40" t="s">
        <v>261</v>
      </c>
      <c r="Q61" s="12"/>
      <c r="R61" s="12"/>
      <c r="S61" s="12"/>
      <c r="T61" s="12"/>
      <c r="U61" s="12"/>
      <c r="V61" s="21"/>
      <c r="Z61" s="12"/>
      <c r="AA61" s="29"/>
      <c r="AB61" s="12"/>
      <c r="AC61" s="12"/>
      <c r="AD61" s="12"/>
      <c r="AE61" s="12"/>
    </row>
    <row r="62" customFormat="false" ht="15.75" hidden="false" customHeight="false" outlineLevel="0" collapsed="false">
      <c r="A62" s="12"/>
      <c r="B62" s="12"/>
      <c r="C62" s="23" t="s">
        <v>385</v>
      </c>
      <c r="D62" s="24"/>
      <c r="E62" s="17"/>
      <c r="F62" s="17"/>
      <c r="G62" s="17"/>
      <c r="H62" s="17"/>
      <c r="I62" s="17" t="s">
        <v>260</v>
      </c>
      <c r="J62" s="32" t="s">
        <v>244</v>
      </c>
      <c r="K62" s="17"/>
      <c r="L62" s="17"/>
      <c r="M62" s="27"/>
      <c r="N62" s="17"/>
      <c r="O62" s="17"/>
      <c r="P62" s="40" t="s">
        <v>261</v>
      </c>
      <c r="Q62" s="12"/>
      <c r="R62" s="12"/>
      <c r="S62" s="12"/>
      <c r="T62" s="12"/>
      <c r="U62" s="12"/>
      <c r="V62" s="21"/>
      <c r="Z62" s="12"/>
      <c r="AA62" s="29"/>
      <c r="AB62" s="12"/>
      <c r="AC62" s="12"/>
      <c r="AD62" s="12"/>
      <c r="AE62" s="12"/>
    </row>
    <row r="63" customFormat="false" ht="15.75" hidden="false" customHeight="false" outlineLevel="0" collapsed="false">
      <c r="A63" s="12" t="str">
        <f aca="false">IF((AA63&gt;=4), "Y", "N")</f>
        <v>Y</v>
      </c>
      <c r="B63" s="13" t="s">
        <v>49</v>
      </c>
      <c r="C63" s="31" t="s">
        <v>386</v>
      </c>
      <c r="D63" s="16" t="s">
        <v>94</v>
      </c>
      <c r="E63" s="32" t="s">
        <v>387</v>
      </c>
      <c r="F63" s="32" t="s">
        <v>388</v>
      </c>
      <c r="G63" s="32" t="s">
        <v>389</v>
      </c>
      <c r="H63" s="26" t="s">
        <v>390</v>
      </c>
      <c r="I63" s="17" t="s">
        <v>36</v>
      </c>
      <c r="J63" s="32" t="s">
        <v>244</v>
      </c>
      <c r="K63" s="33" t="n">
        <v>2007</v>
      </c>
      <c r="L63" s="33" t="s">
        <v>73</v>
      </c>
      <c r="M63" s="27" t="s">
        <v>74</v>
      </c>
      <c r="N63" s="39" t="s">
        <v>391</v>
      </c>
      <c r="O63" s="17"/>
      <c r="P63" s="19" t="s">
        <v>76</v>
      </c>
      <c r="Q63" s="17"/>
      <c r="R63" s="17" t="s">
        <v>392</v>
      </c>
      <c r="S63" s="17"/>
      <c r="T63" s="17" t="s">
        <v>393</v>
      </c>
      <c r="U63" s="17"/>
      <c r="V63" s="21" t="s">
        <v>31</v>
      </c>
      <c r="Z63" s="17"/>
      <c r="AA63" s="22" t="str">
        <f aca="false">IF(P63="OD500 US (submitted)", "5", " ")</f>
        <v>5</v>
      </c>
      <c r="AB63" s="17"/>
      <c r="AC63" s="17"/>
      <c r="AD63" s="17"/>
      <c r="AE63" s="17"/>
    </row>
    <row r="64" customFormat="false" ht="15.75" hidden="false" customHeight="false" outlineLevel="0" collapsed="false">
      <c r="A64" s="12" t="str">
        <f aca="false">IF((AA64&gt;=4), "Y", "N")</f>
        <v>Y</v>
      </c>
      <c r="B64" s="12" t="s">
        <v>49</v>
      </c>
      <c r="C64" s="23" t="s">
        <v>394</v>
      </c>
      <c r="D64" s="24" t="s">
        <v>94</v>
      </c>
      <c r="E64" s="25" t="s">
        <v>395</v>
      </c>
      <c r="F64" s="17" t="s">
        <v>396</v>
      </c>
      <c r="G64" s="17" t="s">
        <v>397</v>
      </c>
      <c r="H64" s="26" t="s">
        <v>303</v>
      </c>
      <c r="I64" s="17" t="s">
        <v>36</v>
      </c>
      <c r="J64" s="32" t="s">
        <v>244</v>
      </c>
      <c r="K64" s="17" t="n">
        <v>2003</v>
      </c>
      <c r="L64" s="38" t="s">
        <v>73</v>
      </c>
      <c r="M64" s="27" t="s">
        <v>58</v>
      </c>
      <c r="N64" s="17"/>
      <c r="O64" s="17"/>
      <c r="P64" s="40" t="s">
        <v>111</v>
      </c>
      <c r="Q64" s="12"/>
      <c r="R64" s="12"/>
      <c r="S64" s="12"/>
      <c r="T64" s="12"/>
      <c r="U64" s="12"/>
      <c r="V64" s="21"/>
      <c r="Z64" s="12"/>
      <c r="AA64" s="29" t="n">
        <v>5</v>
      </c>
      <c r="AB64" s="12"/>
      <c r="AC64" s="12"/>
      <c r="AD64" s="12"/>
      <c r="AE64" s="12"/>
    </row>
    <row r="65" customFormat="false" ht="15.75" hidden="false" customHeight="false" outlineLevel="0" collapsed="false">
      <c r="A65" s="12" t="str">
        <f aca="false">IF((AA65&gt;=4), "Y", "N")</f>
        <v>Y</v>
      </c>
      <c r="B65" s="12" t="s">
        <v>49</v>
      </c>
      <c r="C65" s="23" t="s">
        <v>398</v>
      </c>
      <c r="D65" s="24" t="s">
        <v>94</v>
      </c>
      <c r="E65" s="25" t="s">
        <v>399</v>
      </c>
      <c r="F65" s="17" t="s">
        <v>400</v>
      </c>
      <c r="G65" s="17" t="s">
        <v>401</v>
      </c>
      <c r="H65" s="17" t="s">
        <v>108</v>
      </c>
      <c r="I65" s="17" t="s">
        <v>36</v>
      </c>
      <c r="J65" s="32" t="s">
        <v>244</v>
      </c>
      <c r="K65" s="17" t="n">
        <v>1953</v>
      </c>
      <c r="L65" s="33" t="s">
        <v>275</v>
      </c>
      <c r="M65" s="27" t="s">
        <v>58</v>
      </c>
      <c r="N65" s="39" t="s">
        <v>354</v>
      </c>
      <c r="O65" s="17"/>
      <c r="P65" s="40" t="s">
        <v>111</v>
      </c>
      <c r="Q65" s="20"/>
      <c r="R65" s="20"/>
      <c r="S65" s="20"/>
      <c r="T65" s="20"/>
      <c r="U65" s="20"/>
      <c r="V65" s="45"/>
      <c r="Z65" s="20"/>
      <c r="AA65" s="22" t="n">
        <v>5</v>
      </c>
      <c r="AB65" s="20"/>
      <c r="AC65" s="20"/>
      <c r="AD65" s="20"/>
      <c r="AE65" s="20"/>
    </row>
    <row r="66" customFormat="false" ht="15.75" hidden="false" customHeight="false" outlineLevel="0" collapsed="false">
      <c r="A66" s="12" t="str">
        <f aca="false">IF((AA66&gt;=4), "Y", "N")</f>
        <v>Y</v>
      </c>
      <c r="B66" s="13" t="s">
        <v>49</v>
      </c>
      <c r="C66" s="31" t="s">
        <v>402</v>
      </c>
      <c r="D66" s="16" t="s">
        <v>94</v>
      </c>
      <c r="E66" s="53" t="s">
        <v>403</v>
      </c>
      <c r="F66" s="32" t="s">
        <v>404</v>
      </c>
      <c r="G66" s="32" t="s">
        <v>405</v>
      </c>
      <c r="H66" s="26" t="s">
        <v>72</v>
      </c>
      <c r="I66" s="17" t="s">
        <v>36</v>
      </c>
      <c r="J66" s="32" t="s">
        <v>244</v>
      </c>
      <c r="K66" s="33" t="n">
        <v>2013</v>
      </c>
      <c r="L66" s="33" t="s">
        <v>109</v>
      </c>
      <c r="M66" s="27" t="s">
        <v>74</v>
      </c>
      <c r="N66" s="39" t="s">
        <v>406</v>
      </c>
      <c r="O66" s="17"/>
      <c r="P66" s="19" t="s">
        <v>76</v>
      </c>
      <c r="Q66" s="12"/>
      <c r="R66" s="12" t="s">
        <v>407</v>
      </c>
      <c r="S66" s="12"/>
      <c r="T66" s="12" t="s">
        <v>408</v>
      </c>
      <c r="U66" s="12"/>
      <c r="V66" s="21" t="s">
        <v>31</v>
      </c>
      <c r="Z66" s="12"/>
      <c r="AA66" s="22" t="str">
        <f aca="false">IF(P66="OD500 US (submitted)", "5", " ")</f>
        <v>5</v>
      </c>
      <c r="AB66" s="12"/>
      <c r="AC66" s="12"/>
      <c r="AD66" s="12"/>
      <c r="AE66" s="12"/>
    </row>
    <row r="67" customFormat="false" ht="15.75" hidden="false" customHeight="false" outlineLevel="0" collapsed="false">
      <c r="A67" s="12"/>
      <c r="B67" s="12"/>
      <c r="C67" s="23" t="s">
        <v>409</v>
      </c>
      <c r="D67" s="24"/>
      <c r="E67" s="17"/>
      <c r="F67" s="17"/>
      <c r="G67" s="17"/>
      <c r="H67" s="17"/>
      <c r="I67" s="17" t="s">
        <v>260</v>
      </c>
      <c r="J67" s="32" t="s">
        <v>244</v>
      </c>
      <c r="K67" s="17"/>
      <c r="L67" s="17"/>
      <c r="M67" s="27"/>
      <c r="N67" s="17"/>
      <c r="O67" s="17"/>
      <c r="P67" s="40" t="s">
        <v>261</v>
      </c>
      <c r="Q67" s="12"/>
      <c r="R67" s="12"/>
      <c r="S67" s="12"/>
      <c r="T67" s="12"/>
      <c r="U67" s="12"/>
      <c r="V67" s="21"/>
      <c r="Z67" s="12"/>
      <c r="AA67" s="29"/>
      <c r="AB67" s="12"/>
      <c r="AC67" s="12"/>
      <c r="AD67" s="12"/>
      <c r="AE67" s="12"/>
    </row>
    <row r="68" customFormat="false" ht="15.75" hidden="false" customHeight="false" outlineLevel="0" collapsed="false">
      <c r="A68" s="12" t="str">
        <f aca="false">IF((AA68&gt;=4), "Y", "N")</f>
        <v>Y</v>
      </c>
      <c r="B68" s="12" t="s">
        <v>49</v>
      </c>
      <c r="C68" s="23" t="s">
        <v>410</v>
      </c>
      <c r="D68" s="24" t="s">
        <v>94</v>
      </c>
      <c r="E68" s="25" t="s">
        <v>411</v>
      </c>
      <c r="F68" s="17" t="s">
        <v>412</v>
      </c>
      <c r="G68" s="17" t="s">
        <v>145</v>
      </c>
      <c r="H68" s="26" t="s">
        <v>146</v>
      </c>
      <c r="I68" s="17" t="s">
        <v>36</v>
      </c>
      <c r="J68" s="32" t="s">
        <v>244</v>
      </c>
      <c r="K68" s="17" t="n">
        <v>1987</v>
      </c>
      <c r="L68" s="33" t="s">
        <v>275</v>
      </c>
      <c r="M68" s="27" t="s">
        <v>74</v>
      </c>
      <c r="N68" s="17"/>
      <c r="O68" s="17"/>
      <c r="P68" s="40" t="s">
        <v>111</v>
      </c>
      <c r="Q68" s="12"/>
      <c r="R68" s="12"/>
      <c r="S68" s="12"/>
      <c r="T68" s="12"/>
      <c r="U68" s="12"/>
      <c r="V68" s="21"/>
      <c r="Z68" s="12"/>
      <c r="AA68" s="29" t="n">
        <v>4</v>
      </c>
      <c r="AB68" s="12"/>
      <c r="AC68" s="12"/>
      <c r="AD68" s="12"/>
      <c r="AE68" s="12"/>
    </row>
    <row r="69" customFormat="false" ht="15.75" hidden="false" customHeight="false" outlineLevel="0" collapsed="false">
      <c r="A69" s="12" t="str">
        <f aca="false">IF((AA69&gt;=4), "Y", "N")</f>
        <v>Y</v>
      </c>
      <c r="B69" s="13" t="s">
        <v>49</v>
      </c>
      <c r="C69" s="31" t="s">
        <v>413</v>
      </c>
      <c r="D69" s="16" t="s">
        <v>94</v>
      </c>
      <c r="E69" s="32" t="s">
        <v>414</v>
      </c>
      <c r="F69" s="32" t="s">
        <v>415</v>
      </c>
      <c r="G69" s="32" t="s">
        <v>145</v>
      </c>
      <c r="H69" s="26" t="s">
        <v>146</v>
      </c>
      <c r="I69" s="17" t="s">
        <v>36</v>
      </c>
      <c r="J69" s="32" t="s">
        <v>244</v>
      </c>
      <c r="K69" s="33" t="n">
        <v>2005</v>
      </c>
      <c r="L69" s="33" t="s">
        <v>99</v>
      </c>
      <c r="M69" s="27" t="s">
        <v>147</v>
      </c>
      <c r="N69" s="39" t="s">
        <v>416</v>
      </c>
      <c r="O69" s="17"/>
      <c r="P69" s="19" t="s">
        <v>76</v>
      </c>
      <c r="Q69" s="12"/>
      <c r="R69" s="12" t="s">
        <v>417</v>
      </c>
      <c r="S69" s="12"/>
      <c r="T69" s="12" t="s">
        <v>418</v>
      </c>
      <c r="U69" s="12"/>
      <c r="V69" s="21" t="s">
        <v>31</v>
      </c>
      <c r="Z69" s="12"/>
      <c r="AA69" s="22" t="str">
        <f aca="false">IF(P69="OD500 US (submitted)", "5", " ")</f>
        <v>5</v>
      </c>
      <c r="AB69" s="12"/>
      <c r="AC69" s="12"/>
      <c r="AD69" s="12"/>
      <c r="AE69" s="12"/>
    </row>
    <row r="70" customFormat="false" ht="15.75" hidden="false" customHeight="false" outlineLevel="0" collapsed="false">
      <c r="A70" s="12" t="str">
        <f aca="false">IF((AA70&gt;=4), "Y", "N")</f>
        <v>Y</v>
      </c>
      <c r="B70" s="13" t="s">
        <v>49</v>
      </c>
      <c r="C70" s="31" t="s">
        <v>419</v>
      </c>
      <c r="D70" s="16" t="s">
        <v>94</v>
      </c>
      <c r="E70" s="32" t="s">
        <v>420</v>
      </c>
      <c r="F70" s="32" t="s">
        <v>421</v>
      </c>
      <c r="G70" s="32" t="s">
        <v>422</v>
      </c>
      <c r="H70" s="26" t="s">
        <v>423</v>
      </c>
      <c r="I70" s="17" t="s">
        <v>36</v>
      </c>
      <c r="J70" s="32" t="s">
        <v>244</v>
      </c>
      <c r="K70" s="33" t="n">
        <v>2013</v>
      </c>
      <c r="L70" s="33" t="s">
        <v>73</v>
      </c>
      <c r="M70" s="27" t="s">
        <v>74</v>
      </c>
      <c r="N70" s="17"/>
      <c r="O70" s="17"/>
      <c r="P70" s="19" t="s">
        <v>76</v>
      </c>
      <c r="Q70" s="17"/>
      <c r="R70" s="17" t="s">
        <v>424</v>
      </c>
      <c r="S70" s="17"/>
      <c r="T70" s="17" t="s">
        <v>425</v>
      </c>
      <c r="U70" s="17"/>
      <c r="V70" s="21" t="s">
        <v>31</v>
      </c>
      <c r="Z70" s="17"/>
      <c r="AA70" s="22" t="str">
        <f aca="false">IF(P70="OD500 US (submitted)", "5", " ")</f>
        <v>5</v>
      </c>
      <c r="AB70" s="17"/>
      <c r="AC70" s="17"/>
      <c r="AD70" s="17"/>
      <c r="AE70" s="17"/>
    </row>
    <row r="71" customFormat="false" ht="15.75" hidden="false" customHeight="false" outlineLevel="0" collapsed="false">
      <c r="A71" s="12" t="str">
        <f aca="false">IF((AA71&gt;=4), "Y", "N")</f>
        <v>Y</v>
      </c>
      <c r="B71" s="12" t="s">
        <v>49</v>
      </c>
      <c r="C71" s="23" t="s">
        <v>426</v>
      </c>
      <c r="D71" s="24" t="s">
        <v>94</v>
      </c>
      <c r="E71" s="25" t="s">
        <v>427</v>
      </c>
      <c r="F71" s="17" t="s">
        <v>428</v>
      </c>
      <c r="G71" s="17" t="s">
        <v>145</v>
      </c>
      <c r="H71" s="26" t="s">
        <v>146</v>
      </c>
      <c r="I71" s="17" t="s">
        <v>36</v>
      </c>
      <c r="J71" s="32" t="s">
        <v>244</v>
      </c>
      <c r="K71" s="17" t="n">
        <v>1977</v>
      </c>
      <c r="L71" s="33" t="s">
        <v>275</v>
      </c>
      <c r="M71" s="27" t="s">
        <v>74</v>
      </c>
      <c r="N71" s="39" t="s">
        <v>429</v>
      </c>
      <c r="O71" s="17"/>
      <c r="P71" s="40" t="s">
        <v>111</v>
      </c>
      <c r="Q71" s="12"/>
      <c r="R71" s="12"/>
      <c r="S71" s="12"/>
      <c r="T71" s="12"/>
      <c r="U71" s="12"/>
      <c r="V71" s="21"/>
      <c r="Z71" s="12"/>
      <c r="AA71" s="29" t="n">
        <v>5</v>
      </c>
      <c r="AB71" s="12"/>
      <c r="AC71" s="12"/>
      <c r="AD71" s="12"/>
      <c r="AE71" s="12"/>
    </row>
    <row r="72" customFormat="false" ht="15.75" hidden="false" customHeight="false" outlineLevel="0" collapsed="false">
      <c r="A72" s="12" t="str">
        <f aca="false">IF((AA72&gt;=4), "Y", "N")</f>
        <v>Y</v>
      </c>
      <c r="B72" s="12" t="s">
        <v>49</v>
      </c>
      <c r="C72" s="31" t="s">
        <v>430</v>
      </c>
      <c r="D72" s="16" t="s">
        <v>94</v>
      </c>
      <c r="E72" s="32" t="s">
        <v>431</v>
      </c>
      <c r="F72" s="32" t="s">
        <v>432</v>
      </c>
      <c r="G72" s="32" t="s">
        <v>433</v>
      </c>
      <c r="H72" s="26" t="s">
        <v>303</v>
      </c>
      <c r="I72" s="17" t="s">
        <v>36</v>
      </c>
      <c r="J72" s="32" t="s">
        <v>244</v>
      </c>
      <c r="K72" s="33" t="n">
        <v>2013</v>
      </c>
      <c r="L72" s="33" t="s">
        <v>109</v>
      </c>
      <c r="M72" s="27" t="s">
        <v>74</v>
      </c>
      <c r="N72" s="17"/>
      <c r="O72" s="17"/>
      <c r="P72" s="19" t="s">
        <v>76</v>
      </c>
      <c r="Q72" s="20"/>
      <c r="R72" s="20" t="s">
        <v>434</v>
      </c>
      <c r="S72" s="20"/>
      <c r="T72" s="20" t="s">
        <v>435</v>
      </c>
      <c r="U72" s="20"/>
      <c r="V72" s="21" t="s">
        <v>31</v>
      </c>
      <c r="Z72" s="20"/>
      <c r="AA72" s="22" t="str">
        <f aca="false">IF(P72="OD500 US (submitted)", "5", " ")</f>
        <v>5</v>
      </c>
      <c r="AB72" s="20"/>
      <c r="AC72" s="20"/>
      <c r="AD72" s="20"/>
      <c r="AE72" s="20"/>
    </row>
    <row r="73" customFormat="false" ht="15.75" hidden="false" customHeight="false" outlineLevel="0" collapsed="false">
      <c r="A73" s="12" t="str">
        <f aca="false">IF((AA73&gt;=4), "Y", "N")</f>
        <v>Y</v>
      </c>
      <c r="B73" s="12" t="s">
        <v>49</v>
      </c>
      <c r="C73" s="23" t="s">
        <v>436</v>
      </c>
      <c r="D73" s="24"/>
      <c r="E73" s="25" t="s">
        <v>437</v>
      </c>
      <c r="F73" s="17" t="s">
        <v>438</v>
      </c>
      <c r="G73" s="17"/>
      <c r="H73" s="26" t="s">
        <v>439</v>
      </c>
      <c r="I73" s="17" t="s">
        <v>36</v>
      </c>
      <c r="J73" s="32" t="s">
        <v>244</v>
      </c>
      <c r="K73" s="17"/>
      <c r="L73" s="33"/>
      <c r="M73" s="27" t="s">
        <v>74</v>
      </c>
      <c r="N73" s="39" t="s">
        <v>331</v>
      </c>
      <c r="O73" s="17"/>
      <c r="P73" s="40" t="s">
        <v>111</v>
      </c>
      <c r="Q73" s="12"/>
      <c r="R73" s="12"/>
      <c r="S73" s="12"/>
      <c r="T73" s="12"/>
      <c r="U73" s="12"/>
      <c r="V73" s="21"/>
      <c r="Z73" s="12"/>
      <c r="AA73" s="29" t="n">
        <v>5</v>
      </c>
      <c r="AB73" s="12"/>
      <c r="AC73" s="12"/>
      <c r="AD73" s="12"/>
      <c r="AE73" s="12"/>
    </row>
    <row r="74" customFormat="false" ht="15.75" hidden="false" customHeight="false" outlineLevel="0" collapsed="false">
      <c r="A74" s="12" t="str">
        <f aca="false">IF((AA74&gt;=4), "Y", "N")</f>
        <v>Y</v>
      </c>
      <c r="B74" s="12" t="s">
        <v>49</v>
      </c>
      <c r="C74" s="23" t="s">
        <v>440</v>
      </c>
      <c r="D74" s="24" t="s">
        <v>94</v>
      </c>
      <c r="E74" s="25" t="s">
        <v>441</v>
      </c>
      <c r="F74" s="17" t="s">
        <v>442</v>
      </c>
      <c r="G74" s="17" t="s">
        <v>443</v>
      </c>
      <c r="H74" s="26" t="s">
        <v>444</v>
      </c>
      <c r="I74" s="17" t="s">
        <v>36</v>
      </c>
      <c r="J74" s="32" t="s">
        <v>244</v>
      </c>
      <c r="K74" s="17" t="n">
        <v>1978</v>
      </c>
      <c r="L74" s="38" t="s">
        <v>330</v>
      </c>
      <c r="M74" s="27" t="s">
        <v>74</v>
      </c>
      <c r="N74" s="39" t="s">
        <v>445</v>
      </c>
      <c r="O74" s="17"/>
      <c r="P74" s="40" t="s">
        <v>111</v>
      </c>
      <c r="Q74" s="20"/>
      <c r="R74" s="20"/>
      <c r="S74" s="20"/>
      <c r="T74" s="20"/>
      <c r="U74" s="20"/>
      <c r="V74" s="45"/>
      <c r="Z74" s="20"/>
      <c r="AA74" s="22" t="n">
        <v>5</v>
      </c>
      <c r="AB74" s="20"/>
      <c r="AC74" s="20"/>
      <c r="AD74" s="20"/>
      <c r="AE74" s="20"/>
    </row>
    <row r="75" customFormat="false" ht="15.75" hidden="false" customHeight="false" outlineLevel="0" collapsed="false">
      <c r="A75" s="12"/>
      <c r="B75" s="12"/>
      <c r="C75" s="23" t="s">
        <v>446</v>
      </c>
      <c r="D75" s="24"/>
      <c r="E75" s="17"/>
      <c r="F75" s="17"/>
      <c r="G75" s="17"/>
      <c r="H75" s="17"/>
      <c r="I75" s="17" t="s">
        <v>260</v>
      </c>
      <c r="J75" s="32" t="s">
        <v>244</v>
      </c>
      <c r="K75" s="17"/>
      <c r="L75" s="17"/>
      <c r="M75" s="27"/>
      <c r="N75" s="17"/>
      <c r="O75" s="17"/>
      <c r="P75" s="40" t="s">
        <v>261</v>
      </c>
      <c r="Q75" s="12"/>
      <c r="R75" s="12"/>
      <c r="S75" s="12"/>
      <c r="T75" s="12"/>
      <c r="U75" s="12"/>
      <c r="V75" s="21"/>
      <c r="Z75" s="12"/>
      <c r="AA75" s="29"/>
      <c r="AB75" s="12"/>
      <c r="AC75" s="12"/>
      <c r="AD75" s="12"/>
      <c r="AE75" s="12"/>
    </row>
    <row r="76" customFormat="false" ht="15.75" hidden="false" customHeight="false" outlineLevel="0" collapsed="false">
      <c r="A76" s="12" t="str">
        <f aca="false">IF((AA76&gt;=4), "Y", "N")</f>
        <v>Y</v>
      </c>
      <c r="B76" s="12" t="s">
        <v>49</v>
      </c>
      <c r="C76" s="64" t="s">
        <v>447</v>
      </c>
      <c r="D76" s="24" t="s">
        <v>94</v>
      </c>
      <c r="E76" s="25" t="s">
        <v>448</v>
      </c>
      <c r="F76" s="17" t="s">
        <v>449</v>
      </c>
      <c r="G76" s="17" t="s">
        <v>296</v>
      </c>
      <c r="H76" s="26" t="s">
        <v>297</v>
      </c>
      <c r="I76" s="17" t="s">
        <v>36</v>
      </c>
      <c r="J76" s="32" t="s">
        <v>244</v>
      </c>
      <c r="K76" s="17" t="n">
        <v>2010</v>
      </c>
      <c r="L76" s="38" t="s">
        <v>109</v>
      </c>
      <c r="M76" s="27" t="s">
        <v>58</v>
      </c>
      <c r="N76" s="39" t="s">
        <v>304</v>
      </c>
      <c r="O76" s="17"/>
      <c r="P76" s="40" t="s">
        <v>111</v>
      </c>
      <c r="Q76" s="12"/>
      <c r="R76" s="12"/>
      <c r="S76" s="12"/>
      <c r="T76" s="12"/>
      <c r="U76" s="12"/>
      <c r="V76" s="21"/>
      <c r="Z76" s="12"/>
      <c r="AA76" s="29" t="n">
        <v>5</v>
      </c>
      <c r="AB76" s="12"/>
      <c r="AC76" s="12"/>
      <c r="AD76" s="12"/>
      <c r="AE76" s="12"/>
    </row>
    <row r="77" customFormat="false" ht="15.75" hidden="false" customHeight="false" outlineLevel="0" collapsed="false">
      <c r="A77" s="12" t="str">
        <f aca="false">IF((AA77&gt;=4), "Y", "N")</f>
        <v>Y</v>
      </c>
      <c r="B77" s="12" t="s">
        <v>49</v>
      </c>
      <c r="C77" s="23" t="s">
        <v>450</v>
      </c>
      <c r="D77" s="24" t="s">
        <v>94</v>
      </c>
      <c r="E77" s="25" t="s">
        <v>451</v>
      </c>
      <c r="F77" s="17" t="s">
        <v>452</v>
      </c>
      <c r="G77" s="17" t="s">
        <v>453</v>
      </c>
      <c r="H77" s="26" t="s">
        <v>439</v>
      </c>
      <c r="I77" s="17" t="s">
        <v>36</v>
      </c>
      <c r="J77" s="32" t="s">
        <v>244</v>
      </c>
      <c r="K77" s="17" t="n">
        <v>1951</v>
      </c>
      <c r="L77" s="38" t="s">
        <v>73</v>
      </c>
      <c r="M77" s="27" t="s">
        <v>74</v>
      </c>
      <c r="N77" s="39" t="s">
        <v>454</v>
      </c>
      <c r="O77" s="17"/>
      <c r="P77" s="40" t="s">
        <v>111</v>
      </c>
      <c r="Q77" s="12"/>
      <c r="R77" s="12"/>
      <c r="S77" s="12"/>
      <c r="T77" s="12"/>
      <c r="U77" s="12"/>
      <c r="V77" s="21"/>
      <c r="Z77" s="12"/>
      <c r="AA77" s="29" t="n">
        <v>5</v>
      </c>
      <c r="AB77" s="12"/>
      <c r="AC77" s="12"/>
      <c r="AD77" s="12"/>
      <c r="AE77" s="12"/>
    </row>
    <row r="78" customFormat="false" ht="15.75" hidden="false" customHeight="false" outlineLevel="0" collapsed="false">
      <c r="A78" s="12" t="str">
        <f aca="false">IF((AA78&gt;=4), "Y", "N")</f>
        <v>Y</v>
      </c>
      <c r="B78" s="12" t="s">
        <v>49</v>
      </c>
      <c r="C78" s="23" t="s">
        <v>455</v>
      </c>
      <c r="D78" s="24" t="s">
        <v>94</v>
      </c>
      <c r="E78" s="25" t="s">
        <v>456</v>
      </c>
      <c r="F78" s="17" t="s">
        <v>457</v>
      </c>
      <c r="G78" s="17" t="s">
        <v>458</v>
      </c>
      <c r="H78" s="26" t="s">
        <v>444</v>
      </c>
      <c r="I78" s="17" t="s">
        <v>36</v>
      </c>
      <c r="J78" s="32" t="s">
        <v>244</v>
      </c>
      <c r="K78" s="17" t="n">
        <v>2003</v>
      </c>
      <c r="L78" s="38" t="s">
        <v>73</v>
      </c>
      <c r="M78" s="27" t="s">
        <v>58</v>
      </c>
      <c r="N78" s="65" t="s">
        <v>331</v>
      </c>
      <c r="O78" s="17"/>
      <c r="P78" s="40" t="s">
        <v>111</v>
      </c>
      <c r="Q78" s="12"/>
      <c r="R78" s="12"/>
      <c r="S78" s="12"/>
      <c r="T78" s="12"/>
      <c r="U78" s="12"/>
      <c r="V78" s="21"/>
      <c r="Z78" s="12"/>
      <c r="AA78" s="29" t="n">
        <v>5</v>
      </c>
      <c r="AB78" s="12"/>
      <c r="AC78" s="12"/>
      <c r="AD78" s="12"/>
      <c r="AE78" s="12"/>
    </row>
    <row r="79" customFormat="false" ht="15.75" hidden="false" customHeight="false" outlineLevel="0" collapsed="false">
      <c r="A79" s="12" t="str">
        <f aca="false">IF((AA79&gt;=4), "Y", "N")</f>
        <v>Y</v>
      </c>
      <c r="B79" s="12" t="s">
        <v>49</v>
      </c>
      <c r="C79" s="31" t="s">
        <v>459</v>
      </c>
      <c r="D79" s="16" t="s">
        <v>94</v>
      </c>
      <c r="E79" s="32" t="s">
        <v>460</v>
      </c>
      <c r="F79" s="32" t="s">
        <v>461</v>
      </c>
      <c r="G79" s="32" t="s">
        <v>462</v>
      </c>
      <c r="H79" s="26" t="s">
        <v>72</v>
      </c>
      <c r="I79" s="17" t="s">
        <v>36</v>
      </c>
      <c r="J79" s="32" t="s">
        <v>244</v>
      </c>
      <c r="K79" s="33" t="n">
        <v>2011</v>
      </c>
      <c r="L79" s="33" t="s">
        <v>73</v>
      </c>
      <c r="M79" s="27" t="s">
        <v>58</v>
      </c>
      <c r="N79" s="44" t="s">
        <v>298</v>
      </c>
      <c r="O79" s="17"/>
      <c r="P79" s="19" t="s">
        <v>76</v>
      </c>
      <c r="Q79" s="12"/>
      <c r="R79" s="12" t="s">
        <v>463</v>
      </c>
      <c r="S79" s="12"/>
      <c r="T79" s="12" t="s">
        <v>464</v>
      </c>
      <c r="U79" s="12"/>
      <c r="V79" s="21" t="s">
        <v>31</v>
      </c>
      <c r="Z79" s="12"/>
      <c r="AA79" s="22" t="str">
        <f aca="false">IF(P79="OD500 US (submitted)", "5", " ")</f>
        <v>5</v>
      </c>
      <c r="AB79" s="12"/>
      <c r="AC79" s="12"/>
      <c r="AD79" s="12"/>
      <c r="AE79" s="12"/>
    </row>
    <row r="80" customFormat="false" ht="15.75" hidden="false" customHeight="false" outlineLevel="0" collapsed="false">
      <c r="A80" s="12" t="str">
        <f aca="false">IF((AA80&gt;=4), "Y", "N")</f>
        <v>Y</v>
      </c>
      <c r="B80" s="12" t="s">
        <v>49</v>
      </c>
      <c r="C80" s="31" t="s">
        <v>465</v>
      </c>
      <c r="D80" s="16" t="s">
        <v>94</v>
      </c>
      <c r="E80" s="32" t="s">
        <v>466</v>
      </c>
      <c r="F80" s="32" t="s">
        <v>467</v>
      </c>
      <c r="G80" s="32" t="s">
        <v>302</v>
      </c>
      <c r="H80" s="26" t="s">
        <v>303</v>
      </c>
      <c r="I80" s="17" t="s">
        <v>36</v>
      </c>
      <c r="J80" s="32" t="s">
        <v>244</v>
      </c>
      <c r="K80" s="33" t="n">
        <v>2001</v>
      </c>
      <c r="L80" s="33" t="s">
        <v>73</v>
      </c>
      <c r="M80" s="27" t="s">
        <v>74</v>
      </c>
      <c r="N80" s="39" t="s">
        <v>354</v>
      </c>
      <c r="O80" s="17"/>
      <c r="P80" s="19" t="s">
        <v>76</v>
      </c>
      <c r="Q80" s="12"/>
      <c r="R80" s="12" t="s">
        <v>468</v>
      </c>
      <c r="S80" s="12"/>
      <c r="T80" s="12" t="s">
        <v>469</v>
      </c>
      <c r="U80" s="12"/>
      <c r="V80" s="21" t="s">
        <v>31</v>
      </c>
      <c r="Z80" s="12"/>
      <c r="AA80" s="22" t="str">
        <f aca="false">IF(P80="OD500 US (submitted)", "5", " ")</f>
        <v>5</v>
      </c>
      <c r="AB80" s="12"/>
      <c r="AC80" s="12"/>
      <c r="AD80" s="12"/>
      <c r="AE80" s="12"/>
    </row>
    <row r="81" customFormat="false" ht="15.75" hidden="false" customHeight="false" outlineLevel="0" collapsed="false">
      <c r="A81" s="12" t="str">
        <f aca="false">IF((AA81&gt;=4), "Y", "N")</f>
        <v>Y</v>
      </c>
      <c r="B81" s="13"/>
      <c r="C81" s="31" t="s">
        <v>470</v>
      </c>
      <c r="D81" s="16"/>
      <c r="E81" s="32" t="s">
        <v>471</v>
      </c>
      <c r="F81" s="17"/>
      <c r="G81" s="17"/>
      <c r="H81" s="17"/>
      <c r="I81" s="26" t="s">
        <v>266</v>
      </c>
      <c r="J81" s="32" t="s">
        <v>244</v>
      </c>
      <c r="K81" s="32"/>
      <c r="L81" s="33" t="s">
        <v>275</v>
      </c>
      <c r="M81" s="27"/>
      <c r="N81" s="17" t="s">
        <v>472</v>
      </c>
      <c r="O81" s="17"/>
      <c r="P81" s="40" t="s">
        <v>268</v>
      </c>
      <c r="Q81" s="12"/>
      <c r="R81" s="12"/>
      <c r="S81" s="12"/>
      <c r="T81" s="12"/>
      <c r="U81" s="12"/>
      <c r="V81" s="21"/>
      <c r="Z81" s="12"/>
      <c r="AA81" s="29" t="str">
        <f aca="false">IF(P81="OD500 MX", "5", " ")</f>
        <v>5</v>
      </c>
      <c r="AB81" s="12"/>
      <c r="AC81" s="12"/>
      <c r="AD81" s="12"/>
      <c r="AE81" s="12"/>
    </row>
    <row r="82" customFormat="false" ht="15.75" hidden="false" customHeight="false" outlineLevel="0" collapsed="false">
      <c r="A82" s="12" t="str">
        <f aca="false">IF((AA82&gt;=4), "Y", "N")</f>
        <v>Y</v>
      </c>
      <c r="B82" s="12" t="s">
        <v>49</v>
      </c>
      <c r="C82" s="23" t="s">
        <v>473</v>
      </c>
      <c r="D82" s="24" t="s">
        <v>94</v>
      </c>
      <c r="E82" s="25" t="s">
        <v>474</v>
      </c>
      <c r="F82" s="17" t="s">
        <v>475</v>
      </c>
      <c r="G82" s="17" t="s">
        <v>476</v>
      </c>
      <c r="H82" s="26" t="s">
        <v>477</v>
      </c>
      <c r="I82" s="17" t="s">
        <v>36</v>
      </c>
      <c r="J82" s="32" t="s">
        <v>244</v>
      </c>
      <c r="K82" s="17" t="n">
        <v>1864</v>
      </c>
      <c r="L82" s="33" t="s">
        <v>275</v>
      </c>
      <c r="M82" s="27" t="s">
        <v>74</v>
      </c>
      <c r="N82" s="17" t="s">
        <v>478</v>
      </c>
      <c r="O82" s="17"/>
      <c r="P82" s="40" t="s">
        <v>111</v>
      </c>
      <c r="Q82" s="12"/>
      <c r="R82" s="12"/>
      <c r="S82" s="12"/>
      <c r="T82" s="12"/>
      <c r="U82" s="12"/>
      <c r="V82" s="21"/>
      <c r="Z82" s="12"/>
      <c r="AA82" s="29" t="n">
        <v>4</v>
      </c>
      <c r="AB82" s="12"/>
      <c r="AC82" s="12"/>
      <c r="AD82" s="12"/>
      <c r="AE82" s="12"/>
    </row>
    <row r="83" customFormat="false" ht="15.75" hidden="false" customHeight="false" outlineLevel="0" collapsed="false">
      <c r="A83" s="12" t="str">
        <f aca="false">IF((AA83&gt;=4), "Y", "N")</f>
        <v>Y</v>
      </c>
      <c r="B83" s="12" t="s">
        <v>49</v>
      </c>
      <c r="C83" s="23" t="s">
        <v>479</v>
      </c>
      <c r="D83" s="24" t="s">
        <v>94</v>
      </c>
      <c r="E83" s="25" t="s">
        <v>480</v>
      </c>
      <c r="F83" s="17" t="s">
        <v>481</v>
      </c>
      <c r="G83" s="17" t="s">
        <v>145</v>
      </c>
      <c r="H83" s="26" t="s">
        <v>146</v>
      </c>
      <c r="I83" s="17" t="s">
        <v>36</v>
      </c>
      <c r="J83" s="32" t="s">
        <v>244</v>
      </c>
      <c r="K83" s="17" t="n">
        <v>2010</v>
      </c>
      <c r="L83" s="38" t="s">
        <v>482</v>
      </c>
      <c r="M83" s="27" t="s">
        <v>74</v>
      </c>
      <c r="N83" s="39" t="s">
        <v>298</v>
      </c>
      <c r="O83" s="17"/>
      <c r="P83" s="40" t="s">
        <v>111</v>
      </c>
      <c r="Q83" s="12"/>
      <c r="R83" s="12"/>
      <c r="S83" s="12"/>
      <c r="T83" s="12"/>
      <c r="U83" s="12"/>
      <c r="V83" s="21"/>
      <c r="Z83" s="12"/>
      <c r="AA83" s="29" t="n">
        <v>5</v>
      </c>
      <c r="AB83" s="12"/>
      <c r="AC83" s="12"/>
      <c r="AD83" s="12"/>
      <c r="AE83" s="12"/>
    </row>
    <row r="84" customFormat="false" ht="15.75" hidden="false" customHeight="false" outlineLevel="0" collapsed="false">
      <c r="A84" s="12" t="str">
        <f aca="false">IF((AA84&gt;=4), "Y", "N")</f>
        <v>Y</v>
      </c>
      <c r="B84" s="12" t="s">
        <v>49</v>
      </c>
      <c r="C84" s="23" t="s">
        <v>483</v>
      </c>
      <c r="D84" s="24" t="s">
        <v>94</v>
      </c>
      <c r="E84" s="25" t="s">
        <v>484</v>
      </c>
      <c r="F84" s="17" t="s">
        <v>485</v>
      </c>
      <c r="G84" s="17" t="s">
        <v>145</v>
      </c>
      <c r="H84" s="26" t="s">
        <v>146</v>
      </c>
      <c r="I84" s="17" t="s">
        <v>36</v>
      </c>
      <c r="J84" s="32" t="s">
        <v>244</v>
      </c>
      <c r="K84" s="17" t="n">
        <v>1976</v>
      </c>
      <c r="L84" s="38" t="s">
        <v>99</v>
      </c>
      <c r="M84" s="27" t="s">
        <v>74</v>
      </c>
      <c r="N84" s="17" t="s">
        <v>478</v>
      </c>
      <c r="O84" s="17"/>
      <c r="P84" s="40" t="s">
        <v>111</v>
      </c>
      <c r="Q84" s="12"/>
      <c r="R84" s="12"/>
      <c r="S84" s="12"/>
      <c r="T84" s="12"/>
      <c r="U84" s="12"/>
      <c r="V84" s="21"/>
      <c r="Z84" s="12"/>
      <c r="AA84" s="29" t="n">
        <v>5</v>
      </c>
      <c r="AB84" s="12"/>
      <c r="AC84" s="12"/>
      <c r="AD84" s="12"/>
      <c r="AE84" s="12"/>
    </row>
    <row r="85" customFormat="false" ht="15.75" hidden="false" customHeight="false" outlineLevel="0" collapsed="false">
      <c r="A85" s="12" t="str">
        <f aca="false">IF((AA85&gt;=4), "Y", "N")</f>
        <v>Y</v>
      </c>
      <c r="B85" s="13"/>
      <c r="C85" s="31" t="s">
        <v>486</v>
      </c>
      <c r="D85" s="24" t="s">
        <v>94</v>
      </c>
      <c r="E85" s="32" t="s">
        <v>487</v>
      </c>
      <c r="F85" s="17"/>
      <c r="G85" s="17"/>
      <c r="H85" s="17"/>
      <c r="I85" s="26" t="s">
        <v>266</v>
      </c>
      <c r="J85" s="32" t="s">
        <v>244</v>
      </c>
      <c r="K85" s="33" t="n">
        <v>1970</v>
      </c>
      <c r="L85" s="33" t="s">
        <v>275</v>
      </c>
      <c r="M85" s="27"/>
      <c r="N85" s="17" t="s">
        <v>488</v>
      </c>
      <c r="O85" s="17"/>
      <c r="P85" s="40" t="s">
        <v>268</v>
      </c>
      <c r="Q85" s="12"/>
      <c r="R85" s="12"/>
      <c r="S85" s="12"/>
      <c r="T85" s="12"/>
      <c r="U85" s="12"/>
      <c r="V85" s="21"/>
      <c r="Z85" s="12"/>
      <c r="AA85" s="29" t="str">
        <f aca="false">IF(P85="OD500 MX", "5", " ")</f>
        <v>5</v>
      </c>
      <c r="AB85" s="12"/>
      <c r="AC85" s="12"/>
      <c r="AD85" s="12"/>
      <c r="AE85" s="12"/>
    </row>
    <row r="86" customFormat="false" ht="15.75" hidden="false" customHeight="false" outlineLevel="0" collapsed="false">
      <c r="A86" s="12" t="str">
        <f aca="false">IF((AA86&gt;=4), "Y", "N")</f>
        <v>Y</v>
      </c>
      <c r="B86" s="12" t="s">
        <v>49</v>
      </c>
      <c r="C86" s="23" t="s">
        <v>489</v>
      </c>
      <c r="D86" s="24" t="s">
        <v>94</v>
      </c>
      <c r="E86" s="25" t="s">
        <v>490</v>
      </c>
      <c r="F86" s="17" t="s">
        <v>491</v>
      </c>
      <c r="G86" s="17" t="s">
        <v>476</v>
      </c>
      <c r="H86" s="26" t="s">
        <v>477</v>
      </c>
      <c r="I86" s="17" t="s">
        <v>36</v>
      </c>
      <c r="J86" s="32" t="s">
        <v>244</v>
      </c>
      <c r="K86" s="17" t="n">
        <v>1968</v>
      </c>
      <c r="L86" s="33" t="s">
        <v>275</v>
      </c>
      <c r="M86" s="27" t="s">
        <v>74</v>
      </c>
      <c r="N86" s="39" t="s">
        <v>331</v>
      </c>
      <c r="O86" s="17"/>
      <c r="P86" s="40" t="s">
        <v>111</v>
      </c>
      <c r="Q86" s="12"/>
      <c r="R86" s="12"/>
      <c r="S86" s="12"/>
      <c r="T86" s="12"/>
      <c r="U86" s="12"/>
      <c r="V86" s="21"/>
      <c r="Z86" s="12"/>
      <c r="AA86" s="29" t="n">
        <v>5</v>
      </c>
      <c r="AB86" s="12"/>
      <c r="AC86" s="12"/>
      <c r="AD86" s="12"/>
      <c r="AE86" s="12"/>
    </row>
    <row r="87" customFormat="false" ht="15.75" hidden="false" customHeight="false" outlineLevel="0" collapsed="false">
      <c r="A87" s="12" t="str">
        <f aca="false">IF((AA87&gt;=4), "Y", "N")</f>
        <v>Y</v>
      </c>
      <c r="B87" s="12" t="s">
        <v>49</v>
      </c>
      <c r="C87" s="23" t="s">
        <v>492</v>
      </c>
      <c r="D87" s="24" t="s">
        <v>94</v>
      </c>
      <c r="E87" s="25" t="s">
        <v>493</v>
      </c>
      <c r="F87" s="17" t="s">
        <v>494</v>
      </c>
      <c r="G87" s="17" t="s">
        <v>495</v>
      </c>
      <c r="H87" s="26" t="s">
        <v>72</v>
      </c>
      <c r="I87" s="17" t="s">
        <v>36</v>
      </c>
      <c r="J87" s="32" t="s">
        <v>244</v>
      </c>
      <c r="K87" s="17" t="n">
        <v>2005</v>
      </c>
      <c r="L87" s="38" t="s">
        <v>73</v>
      </c>
      <c r="M87" s="27" t="s">
        <v>147</v>
      </c>
      <c r="N87" s="17" t="s">
        <v>478</v>
      </c>
      <c r="O87" s="17"/>
      <c r="P87" s="40" t="s">
        <v>111</v>
      </c>
      <c r="Q87" s="12"/>
      <c r="R87" s="12"/>
      <c r="S87" s="12"/>
      <c r="T87" s="12"/>
      <c r="U87" s="12"/>
      <c r="V87" s="21"/>
      <c r="Z87" s="12"/>
      <c r="AA87" s="29" t="n">
        <v>5</v>
      </c>
      <c r="AB87" s="12"/>
      <c r="AC87" s="12"/>
      <c r="AD87" s="12"/>
      <c r="AE87" s="12"/>
    </row>
    <row r="88" customFormat="false" ht="15.75" hidden="false" customHeight="false" outlineLevel="0" collapsed="false">
      <c r="A88" s="12" t="str">
        <f aca="false">IF((AA88&gt;=4), "Y", "N")</f>
        <v>Y</v>
      </c>
      <c r="B88" s="12" t="s">
        <v>49</v>
      </c>
      <c r="C88" s="23" t="s">
        <v>496</v>
      </c>
      <c r="D88" s="24" t="s">
        <v>94</v>
      </c>
      <c r="E88" s="25" t="s">
        <v>497</v>
      </c>
      <c r="F88" s="17" t="s">
        <v>498</v>
      </c>
      <c r="G88" s="17" t="s">
        <v>499</v>
      </c>
      <c r="H88" s="26" t="s">
        <v>500</v>
      </c>
      <c r="I88" s="17" t="s">
        <v>36</v>
      </c>
      <c r="J88" s="32" t="s">
        <v>244</v>
      </c>
      <c r="K88" s="17" t="n">
        <v>2009</v>
      </c>
      <c r="L88" s="38" t="s">
        <v>73</v>
      </c>
      <c r="M88" s="27" t="s">
        <v>74</v>
      </c>
      <c r="N88" s="39" t="s">
        <v>110</v>
      </c>
      <c r="O88" s="17"/>
      <c r="P88" s="40" t="s">
        <v>111</v>
      </c>
      <c r="Q88" s="12"/>
      <c r="R88" s="12"/>
      <c r="S88" s="12"/>
      <c r="T88" s="12"/>
      <c r="U88" s="12"/>
      <c r="V88" s="21"/>
      <c r="Z88" s="12"/>
      <c r="AA88" s="29" t="n">
        <v>5</v>
      </c>
      <c r="AB88" s="12"/>
      <c r="AC88" s="12"/>
      <c r="AD88" s="12"/>
      <c r="AE88" s="12"/>
    </row>
    <row r="89" customFormat="false" ht="15.75" hidden="false" customHeight="false" outlineLevel="0" collapsed="false">
      <c r="A89" s="12"/>
      <c r="B89" s="12"/>
      <c r="C89" s="23" t="s">
        <v>501</v>
      </c>
      <c r="D89" s="24" t="s">
        <v>94</v>
      </c>
      <c r="E89" s="25" t="s">
        <v>502</v>
      </c>
      <c r="F89" s="17" t="s">
        <v>503</v>
      </c>
      <c r="G89" s="17" t="s">
        <v>397</v>
      </c>
      <c r="H89" s="26" t="s">
        <v>390</v>
      </c>
      <c r="I89" s="17" t="s">
        <v>36</v>
      </c>
      <c r="J89" s="32" t="s">
        <v>244</v>
      </c>
      <c r="K89" s="17" t="n">
        <v>1994</v>
      </c>
      <c r="L89" s="38" t="s">
        <v>73</v>
      </c>
      <c r="M89" s="27"/>
      <c r="N89" s="39" t="s">
        <v>504</v>
      </c>
      <c r="O89" s="17"/>
      <c r="P89" s="40" t="s">
        <v>111</v>
      </c>
      <c r="Q89" s="12"/>
      <c r="R89" s="12"/>
      <c r="S89" s="12"/>
      <c r="T89" s="12"/>
      <c r="U89" s="12"/>
      <c r="V89" s="21"/>
      <c r="Z89" s="12"/>
      <c r="AA89" s="29" t="n">
        <v>5</v>
      </c>
      <c r="AB89" s="12"/>
      <c r="AC89" s="12"/>
      <c r="AD89" s="12"/>
      <c r="AE89" s="12"/>
    </row>
    <row r="90" customFormat="false" ht="15.75" hidden="false" customHeight="false" outlineLevel="0" collapsed="false">
      <c r="A90" s="12" t="str">
        <f aca="false">IF((AA90&gt;=4), "Y", "N")</f>
        <v>Y</v>
      </c>
      <c r="B90" s="13" t="s">
        <v>49</v>
      </c>
      <c r="C90" s="31" t="s">
        <v>505</v>
      </c>
      <c r="D90" s="16" t="s">
        <v>94</v>
      </c>
      <c r="E90" s="32" t="s">
        <v>506</v>
      </c>
      <c r="F90" s="32" t="s">
        <v>507</v>
      </c>
      <c r="G90" s="32" t="s">
        <v>508</v>
      </c>
      <c r="H90" s="26" t="s">
        <v>353</v>
      </c>
      <c r="I90" s="17" t="s">
        <v>36</v>
      </c>
      <c r="J90" s="32" t="s">
        <v>244</v>
      </c>
      <c r="K90" s="33" t="n">
        <v>2012</v>
      </c>
      <c r="L90" s="33" t="s">
        <v>109</v>
      </c>
      <c r="M90" s="27" t="s">
        <v>58</v>
      </c>
      <c r="N90" s="39" t="s">
        <v>509</v>
      </c>
      <c r="O90" s="17"/>
      <c r="P90" s="19" t="s">
        <v>76</v>
      </c>
      <c r="Q90" s="12"/>
      <c r="R90" s="12" t="s">
        <v>510</v>
      </c>
      <c r="S90" s="12"/>
      <c r="T90" s="12" t="s">
        <v>511</v>
      </c>
      <c r="U90" s="12"/>
      <c r="V90" s="21" t="s">
        <v>31</v>
      </c>
      <c r="Z90" s="12"/>
      <c r="AA90" s="22" t="str">
        <f aca="false">IF(P90="OD500 US (submitted)", "5", " ")</f>
        <v>5</v>
      </c>
      <c r="AB90" s="12"/>
      <c r="AC90" s="12"/>
      <c r="AD90" s="12"/>
      <c r="AE90" s="12"/>
    </row>
    <row r="91" customFormat="false" ht="15.75" hidden="false" customHeight="false" outlineLevel="0" collapsed="false">
      <c r="A91" s="12"/>
      <c r="B91" s="12"/>
      <c r="C91" s="23" t="s">
        <v>512</v>
      </c>
      <c r="D91" s="24" t="s">
        <v>94</v>
      </c>
      <c r="E91" s="25" t="s">
        <v>513</v>
      </c>
      <c r="F91" s="17" t="s">
        <v>514</v>
      </c>
      <c r="G91" s="17" t="s">
        <v>515</v>
      </c>
      <c r="H91" s="26" t="s">
        <v>516</v>
      </c>
      <c r="I91" s="17" t="s">
        <v>36</v>
      </c>
      <c r="J91" s="32" t="s">
        <v>244</v>
      </c>
      <c r="K91" s="17" t="n">
        <v>1836</v>
      </c>
      <c r="L91" s="33" t="s">
        <v>275</v>
      </c>
      <c r="M91" s="27"/>
      <c r="N91" s="39" t="s">
        <v>454</v>
      </c>
      <c r="O91" s="17"/>
      <c r="P91" s="40" t="s">
        <v>111</v>
      </c>
      <c r="Q91" s="12"/>
      <c r="R91" s="12"/>
      <c r="S91" s="12"/>
      <c r="T91" s="12"/>
      <c r="U91" s="12"/>
      <c r="V91" s="21"/>
      <c r="Z91" s="12"/>
      <c r="AA91" s="29" t="n">
        <v>5</v>
      </c>
      <c r="AB91" s="12"/>
      <c r="AC91" s="12"/>
      <c r="AD91" s="12"/>
      <c r="AE91" s="12"/>
    </row>
    <row r="92" customFormat="false" ht="15.75" hidden="false" customHeight="false" outlineLevel="0" collapsed="false">
      <c r="A92" s="12"/>
      <c r="B92" s="13"/>
      <c r="C92" s="14" t="s">
        <v>517</v>
      </c>
      <c r="D92" s="24" t="s">
        <v>51</v>
      </c>
      <c r="E92" s="25" t="s">
        <v>518</v>
      </c>
      <c r="F92" s="17" t="s">
        <v>519</v>
      </c>
      <c r="G92" s="17" t="s">
        <v>478</v>
      </c>
      <c r="H92" s="17"/>
      <c r="I92" s="26" t="s">
        <v>266</v>
      </c>
      <c r="J92" s="32" t="s">
        <v>244</v>
      </c>
      <c r="K92" s="17"/>
      <c r="L92" s="17"/>
      <c r="M92" s="27"/>
      <c r="N92" s="17"/>
      <c r="O92" s="17"/>
      <c r="P92" s="52" t="s">
        <v>185</v>
      </c>
      <c r="Q92" s="12"/>
      <c r="R92" s="12"/>
      <c r="S92" s="12"/>
      <c r="T92" s="12"/>
      <c r="U92" s="12"/>
      <c r="V92" s="21"/>
      <c r="Z92" s="12"/>
      <c r="AA92" s="29" t="n">
        <v>3</v>
      </c>
      <c r="AB92" s="12"/>
      <c r="AC92" s="12"/>
      <c r="AD92" s="12"/>
      <c r="AE92" s="12"/>
    </row>
    <row r="93" customFormat="false" ht="15.75" hidden="false" customHeight="false" outlineLevel="0" collapsed="false">
      <c r="A93" s="12" t="s">
        <v>31</v>
      </c>
      <c r="B93" s="13" t="s">
        <v>49</v>
      </c>
      <c r="C93" s="14" t="s">
        <v>520</v>
      </c>
      <c r="D93" s="24" t="s">
        <v>521</v>
      </c>
      <c r="E93" s="25" t="s">
        <v>522</v>
      </c>
      <c r="F93" s="66" t="s">
        <v>523</v>
      </c>
      <c r="G93" s="67" t="s">
        <v>524</v>
      </c>
      <c r="H93" s="67" t="s">
        <v>524</v>
      </c>
      <c r="I93" s="26" t="s">
        <v>525</v>
      </c>
      <c r="J93" s="32" t="s">
        <v>244</v>
      </c>
      <c r="K93" s="17"/>
      <c r="L93" s="17"/>
      <c r="M93" s="27" t="s">
        <v>147</v>
      </c>
      <c r="N93" s="17"/>
      <c r="O93" s="17"/>
      <c r="P93" s="40" t="s">
        <v>526</v>
      </c>
      <c r="Q93" s="12"/>
      <c r="R93" s="12"/>
      <c r="S93" s="12"/>
      <c r="T93" s="12"/>
      <c r="U93" s="12"/>
      <c r="V93" s="21"/>
      <c r="Z93" s="12"/>
      <c r="AA93" s="29" t="n">
        <v>5</v>
      </c>
      <c r="AB93" s="12"/>
      <c r="AC93" s="59" t="s">
        <v>527</v>
      </c>
      <c r="AD93" s="12"/>
      <c r="AE93" s="12"/>
    </row>
    <row r="94" customFormat="false" ht="15.75" hidden="false" customHeight="false" outlineLevel="0" collapsed="false">
      <c r="A94" s="12"/>
      <c r="B94" s="13" t="s">
        <v>528</v>
      </c>
      <c r="C94" s="14" t="s">
        <v>529</v>
      </c>
      <c r="D94" s="24" t="s">
        <v>94</v>
      </c>
      <c r="E94" s="25" t="s">
        <v>530</v>
      </c>
      <c r="F94" s="17" t="s">
        <v>531</v>
      </c>
      <c r="G94" s="17" t="s">
        <v>476</v>
      </c>
      <c r="H94" s="17" t="s">
        <v>477</v>
      </c>
      <c r="I94" s="17" t="s">
        <v>36</v>
      </c>
      <c r="J94" s="32" t="s">
        <v>244</v>
      </c>
      <c r="K94" s="17" t="n">
        <v>2014</v>
      </c>
      <c r="L94" s="17" t="s">
        <v>109</v>
      </c>
      <c r="M94" s="27" t="s">
        <v>532</v>
      </c>
      <c r="N94" s="68"/>
      <c r="O94" s="68"/>
      <c r="P94" s="40" t="s">
        <v>150</v>
      </c>
      <c r="Q94" s="12"/>
      <c r="R94" s="12"/>
      <c r="S94" s="12"/>
      <c r="T94" s="12"/>
      <c r="U94" s="12"/>
      <c r="V94" s="21"/>
      <c r="Z94" s="12"/>
      <c r="AA94" s="29" t="n">
        <v>5</v>
      </c>
      <c r="AB94" s="12" t="s">
        <v>533</v>
      </c>
      <c r="AC94" s="12"/>
      <c r="AD94" s="12"/>
      <c r="AE94" s="12"/>
    </row>
    <row r="95" customFormat="false" ht="15.75" hidden="false" customHeight="false" outlineLevel="0" collapsed="false">
      <c r="A95" s="12"/>
      <c r="B95" s="12"/>
      <c r="C95" s="23" t="s">
        <v>534</v>
      </c>
      <c r="D95" s="24" t="s">
        <v>61</v>
      </c>
      <c r="E95" s="25" t="s">
        <v>535</v>
      </c>
      <c r="F95" s="17" t="s">
        <v>536</v>
      </c>
      <c r="G95" s="17" t="s">
        <v>537</v>
      </c>
      <c r="H95" s="17"/>
      <c r="I95" s="26" t="s">
        <v>198</v>
      </c>
      <c r="J95" s="32" t="s">
        <v>244</v>
      </c>
      <c r="K95" s="17"/>
      <c r="L95" s="17"/>
      <c r="M95" s="27"/>
      <c r="N95" s="17"/>
      <c r="O95" s="17"/>
      <c r="P95" s="28" t="s">
        <v>46</v>
      </c>
      <c r="Q95" s="17"/>
      <c r="R95" s="17"/>
      <c r="S95" s="17"/>
      <c r="T95" s="17"/>
      <c r="U95" s="17"/>
      <c r="V95" s="27"/>
      <c r="Z95" s="17"/>
      <c r="AA95" s="29" t="n">
        <v>3</v>
      </c>
      <c r="AB95" s="17" t="s">
        <v>538</v>
      </c>
      <c r="AC95" s="25" t="s">
        <v>539</v>
      </c>
      <c r="AD95" s="17"/>
      <c r="AE95" s="17"/>
    </row>
    <row r="96" customFormat="false" ht="15.75" hidden="false" customHeight="false" outlineLevel="0" collapsed="false">
      <c r="A96" s="12"/>
      <c r="B96" s="12"/>
      <c r="C96" s="23" t="s">
        <v>540</v>
      </c>
      <c r="D96" s="24"/>
      <c r="E96" s="25" t="s">
        <v>541</v>
      </c>
      <c r="F96" s="17"/>
      <c r="G96" s="17" t="s">
        <v>542</v>
      </c>
      <c r="H96" s="17"/>
      <c r="I96" s="26" t="s">
        <v>543</v>
      </c>
      <c r="J96" s="32" t="s">
        <v>244</v>
      </c>
      <c r="K96" s="17"/>
      <c r="L96" s="17"/>
      <c r="M96" s="27"/>
      <c r="N96" s="17"/>
      <c r="O96" s="17"/>
      <c r="P96" s="28" t="s">
        <v>46</v>
      </c>
      <c r="Q96" s="12"/>
      <c r="R96" s="12"/>
      <c r="S96" s="12"/>
      <c r="T96" s="12"/>
      <c r="U96" s="12"/>
      <c r="V96" s="21"/>
      <c r="Z96" s="12"/>
      <c r="AA96" s="29"/>
      <c r="AB96" s="12"/>
      <c r="AC96" s="12"/>
      <c r="AD96" s="12"/>
      <c r="AE96" s="12"/>
    </row>
    <row r="97" customFormat="false" ht="15.75" hidden="false" customHeight="false" outlineLevel="0" collapsed="false">
      <c r="A97" s="12"/>
      <c r="B97" s="12"/>
      <c r="C97" s="23" t="s">
        <v>544</v>
      </c>
      <c r="D97" s="24"/>
      <c r="E97" s="25" t="s">
        <v>545</v>
      </c>
      <c r="F97" s="17"/>
      <c r="G97" s="17" t="s">
        <v>546</v>
      </c>
      <c r="H97" s="17"/>
      <c r="I97" s="26" t="s">
        <v>547</v>
      </c>
      <c r="J97" s="32" t="s">
        <v>244</v>
      </c>
      <c r="K97" s="17"/>
      <c r="L97" s="17"/>
      <c r="M97" s="27"/>
      <c r="N97" s="17"/>
      <c r="O97" s="17"/>
      <c r="P97" s="28" t="s">
        <v>46</v>
      </c>
      <c r="V97" s="60"/>
      <c r="AA97" s="63"/>
    </row>
    <row r="98" customFormat="false" ht="15.75" hidden="false" customHeight="false" outlineLevel="0" collapsed="false">
      <c r="A98" s="12"/>
      <c r="B98" s="12"/>
      <c r="C98" s="23" t="s">
        <v>548</v>
      </c>
      <c r="D98" s="24"/>
      <c r="E98" s="25" t="s">
        <v>549</v>
      </c>
      <c r="F98" s="17"/>
      <c r="G98" s="17" t="s">
        <v>550</v>
      </c>
      <c r="H98" s="17"/>
      <c r="I98" s="26" t="s">
        <v>551</v>
      </c>
      <c r="J98" s="32" t="s">
        <v>244</v>
      </c>
      <c r="K98" s="17"/>
      <c r="L98" s="17"/>
      <c r="M98" s="27"/>
      <c r="N98" s="17"/>
      <c r="O98" s="17"/>
      <c r="P98" s="28" t="s">
        <v>46</v>
      </c>
      <c r="Q98" s="12"/>
      <c r="R98" s="12"/>
      <c r="S98" s="12"/>
      <c r="T98" s="12"/>
      <c r="U98" s="12"/>
      <c r="V98" s="21"/>
      <c r="Z98" s="12"/>
      <c r="AA98" s="29"/>
      <c r="AB98" s="12"/>
      <c r="AC98" s="12"/>
      <c r="AD98" s="12"/>
      <c r="AE98" s="12"/>
    </row>
    <row r="99" customFormat="false" ht="15.75" hidden="false" customHeight="false" outlineLevel="0" collapsed="false">
      <c r="A99" s="12"/>
      <c r="B99" s="12"/>
      <c r="C99" s="23" t="s">
        <v>552</v>
      </c>
      <c r="D99" s="24"/>
      <c r="E99" s="25" t="s">
        <v>553</v>
      </c>
      <c r="F99" s="17"/>
      <c r="G99" s="17" t="s">
        <v>87</v>
      </c>
      <c r="H99" s="17"/>
      <c r="I99" s="26" t="s">
        <v>88</v>
      </c>
      <c r="J99" s="32" t="s">
        <v>244</v>
      </c>
      <c r="K99" s="17"/>
      <c r="L99" s="17"/>
      <c r="M99" s="27"/>
      <c r="N99" s="17"/>
      <c r="O99" s="17"/>
      <c r="P99" s="28" t="s">
        <v>46</v>
      </c>
      <c r="Q99" s="20"/>
      <c r="R99" s="20"/>
      <c r="S99" s="20"/>
      <c r="T99" s="20"/>
      <c r="U99" s="20"/>
      <c r="V99" s="45"/>
      <c r="Z99" s="20"/>
      <c r="AA99" s="22"/>
      <c r="AB99" s="20"/>
      <c r="AC99" s="20"/>
      <c r="AD99" s="20"/>
      <c r="AE99" s="20"/>
    </row>
    <row r="100" customFormat="false" ht="15.75" hidden="false" customHeight="false" outlineLevel="0" collapsed="false">
      <c r="A100" s="12"/>
      <c r="B100" s="12"/>
      <c r="C100" s="23" t="s">
        <v>554</v>
      </c>
      <c r="D100" s="24"/>
      <c r="E100" s="25" t="s">
        <v>555</v>
      </c>
      <c r="F100" s="17"/>
      <c r="G100" s="17" t="s">
        <v>556</v>
      </c>
      <c r="H100" s="17"/>
      <c r="I100" s="26" t="s">
        <v>557</v>
      </c>
      <c r="J100" s="32" t="s">
        <v>244</v>
      </c>
      <c r="K100" s="17"/>
      <c r="L100" s="17"/>
      <c r="M100" s="27"/>
      <c r="N100" s="17"/>
      <c r="O100" s="17"/>
      <c r="P100" s="28" t="s">
        <v>46</v>
      </c>
      <c r="Q100" s="20"/>
      <c r="R100" s="20"/>
      <c r="S100" s="20"/>
      <c r="T100" s="20"/>
      <c r="U100" s="20"/>
      <c r="V100" s="45"/>
      <c r="Z100" s="20"/>
      <c r="AA100" s="22"/>
      <c r="AB100" s="20"/>
      <c r="AC100" s="20"/>
      <c r="AD100" s="20"/>
      <c r="AE100" s="20"/>
    </row>
    <row r="101" customFormat="false" ht="15.75" hidden="false" customHeight="false" outlineLevel="0" collapsed="false">
      <c r="A101" s="12" t="str">
        <f aca="false">IF((AA101&gt;=4), "Y", "N")</f>
        <v>Y</v>
      </c>
      <c r="B101" s="54" t="s">
        <v>49</v>
      </c>
      <c r="C101" s="55" t="s">
        <v>558</v>
      </c>
      <c r="D101" s="15" t="s">
        <v>61</v>
      </c>
      <c r="E101" s="16" t="s">
        <v>559</v>
      </c>
      <c r="F101" s="15" t="s">
        <v>560</v>
      </c>
      <c r="G101" s="15"/>
      <c r="H101" s="15"/>
      <c r="I101" s="26" t="s">
        <v>561</v>
      </c>
      <c r="J101" s="15" t="s">
        <v>205</v>
      </c>
      <c r="K101" s="15" t="n">
        <v>2010</v>
      </c>
      <c r="L101" s="17"/>
      <c r="M101" s="18" t="s">
        <v>74</v>
      </c>
      <c r="N101" s="17"/>
      <c r="O101" s="17"/>
      <c r="P101" s="19" t="s">
        <v>39</v>
      </c>
      <c r="R101" s="0" t="s">
        <v>562</v>
      </c>
      <c r="T101" s="0" t="s">
        <v>563</v>
      </c>
      <c r="V101" s="21" t="s">
        <v>31</v>
      </c>
      <c r="AA101" s="63" t="n">
        <v>5</v>
      </c>
      <c r="AB101" s="47" t="s">
        <v>564</v>
      </c>
      <c r="AC101" s="69" t="s">
        <v>565</v>
      </c>
    </row>
    <row r="102" customFormat="false" ht="15.75" hidden="false" customHeight="false" outlineLevel="0" collapsed="false">
      <c r="A102" s="12"/>
      <c r="B102" s="54"/>
      <c r="C102" s="55" t="s">
        <v>566</v>
      </c>
      <c r="D102" s="15"/>
      <c r="E102" s="16" t="s">
        <v>567</v>
      </c>
      <c r="F102" s="15" t="s">
        <v>568</v>
      </c>
      <c r="G102" s="15"/>
      <c r="H102" s="15"/>
      <c r="I102" s="15"/>
      <c r="J102" s="15" t="s">
        <v>205</v>
      </c>
      <c r="K102" s="15" t="n">
        <v>2011</v>
      </c>
      <c r="L102" s="17"/>
      <c r="M102" s="18"/>
      <c r="N102" s="17"/>
      <c r="O102" s="17"/>
      <c r="P102" s="19" t="s">
        <v>39</v>
      </c>
      <c r="V102" s="60"/>
      <c r="AA102" s="63"/>
      <c r="AB102" s="18" t="s">
        <v>569</v>
      </c>
    </row>
    <row r="103" customFormat="false" ht="15.75" hidden="false" customHeight="false" outlineLevel="0" collapsed="false">
      <c r="A103" s="12"/>
      <c r="B103" s="54"/>
      <c r="C103" s="55" t="s">
        <v>570</v>
      </c>
      <c r="D103" s="15"/>
      <c r="E103" s="16" t="s">
        <v>571</v>
      </c>
      <c r="F103" s="32"/>
      <c r="G103" s="15"/>
      <c r="H103" s="15"/>
      <c r="I103" s="26" t="s">
        <v>209</v>
      </c>
      <c r="J103" s="15" t="s">
        <v>58</v>
      </c>
      <c r="K103" s="15" t="n">
        <v>2009</v>
      </c>
      <c r="L103" s="17"/>
      <c r="M103" s="70"/>
      <c r="N103" s="17"/>
      <c r="O103" s="17"/>
      <c r="P103" s="19" t="s">
        <v>39</v>
      </c>
      <c r="Q103" s="12"/>
      <c r="R103" s="12" t="s">
        <v>572</v>
      </c>
      <c r="S103" s="12"/>
      <c r="T103" s="12" t="s">
        <v>573</v>
      </c>
      <c r="U103" s="12"/>
      <c r="V103" s="21" t="s">
        <v>31</v>
      </c>
      <c r="Z103" s="12"/>
      <c r="AA103" s="29"/>
      <c r="AB103" s="12"/>
      <c r="AC103" s="12"/>
      <c r="AD103" s="12"/>
      <c r="AE103" s="12"/>
    </row>
    <row r="104" customFormat="false" ht="15.75" hidden="false" customHeight="false" outlineLevel="0" collapsed="false">
      <c r="A104" s="12" t="s">
        <v>193</v>
      </c>
      <c r="B104" s="12" t="s">
        <v>32</v>
      </c>
      <c r="C104" s="23" t="s">
        <v>574</v>
      </c>
      <c r="D104" s="24" t="s">
        <v>195</v>
      </c>
      <c r="E104" s="25" t="s">
        <v>575</v>
      </c>
      <c r="F104" s="17" t="s">
        <v>576</v>
      </c>
      <c r="G104" s="17"/>
      <c r="H104" s="17"/>
      <c r="I104" s="26" t="s">
        <v>577</v>
      </c>
      <c r="J104" s="17" t="s">
        <v>58</v>
      </c>
      <c r="K104" s="17"/>
      <c r="L104" s="17"/>
      <c r="M104" s="27"/>
      <c r="N104" s="17"/>
      <c r="O104" s="17"/>
      <c r="P104" s="28" t="s">
        <v>59</v>
      </c>
      <c r="Q104" s="20"/>
      <c r="R104" s="20"/>
      <c r="S104" s="20"/>
      <c r="T104" s="20"/>
      <c r="U104" s="20"/>
      <c r="V104" s="45"/>
      <c r="Z104" s="20"/>
      <c r="AA104" s="22" t="n">
        <v>2</v>
      </c>
      <c r="AB104" s="20" t="s">
        <v>578</v>
      </c>
      <c r="AC104" s="20"/>
      <c r="AD104" s="20"/>
      <c r="AE104" s="20"/>
    </row>
    <row r="105" customFormat="false" ht="15.75" hidden="false" customHeight="false" outlineLevel="0" collapsed="false">
      <c r="A105" s="12"/>
      <c r="B105" s="54"/>
      <c r="C105" s="55" t="s">
        <v>579</v>
      </c>
      <c r="D105" s="15"/>
      <c r="E105" s="16" t="s">
        <v>580</v>
      </c>
      <c r="F105" s="15" t="s">
        <v>581</v>
      </c>
      <c r="G105" s="15"/>
      <c r="H105" s="15"/>
      <c r="I105" s="26" t="s">
        <v>582</v>
      </c>
      <c r="J105" s="15" t="s">
        <v>205</v>
      </c>
      <c r="K105" s="15" t="n">
        <v>2008</v>
      </c>
      <c r="L105" s="17"/>
      <c r="M105" s="18"/>
      <c r="N105" s="17"/>
      <c r="O105" s="17"/>
      <c r="P105" s="19" t="s">
        <v>39</v>
      </c>
      <c r="Q105" s="12"/>
      <c r="R105" s="12" t="s">
        <v>583</v>
      </c>
      <c r="S105" s="12"/>
      <c r="T105" s="12" t="s">
        <v>584</v>
      </c>
      <c r="U105" s="12"/>
      <c r="V105" s="21" t="s">
        <v>31</v>
      </c>
      <c r="Z105" s="12"/>
      <c r="AA105" s="29"/>
      <c r="AB105" s="18" t="s">
        <v>585</v>
      </c>
      <c r="AC105" s="12"/>
      <c r="AD105" s="12"/>
      <c r="AE105" s="12"/>
    </row>
    <row r="106" customFormat="false" ht="15.75" hidden="false" customHeight="false" outlineLevel="0" collapsed="false">
      <c r="A106" s="12"/>
      <c r="B106" s="54"/>
      <c r="C106" s="55" t="s">
        <v>586</v>
      </c>
      <c r="D106" s="24"/>
      <c r="E106" s="57" t="s">
        <v>587</v>
      </c>
      <c r="F106" s="15" t="s">
        <v>588</v>
      </c>
      <c r="G106" s="15"/>
      <c r="H106" s="15"/>
      <c r="I106" s="26" t="s">
        <v>139</v>
      </c>
      <c r="J106" s="15" t="s">
        <v>58</v>
      </c>
      <c r="K106" s="17"/>
      <c r="L106" s="17"/>
      <c r="M106" s="18"/>
      <c r="N106" s="17"/>
      <c r="O106" s="17"/>
      <c r="P106" s="19" t="s">
        <v>39</v>
      </c>
      <c r="Q106" s="12"/>
      <c r="R106" s="12" t="s">
        <v>589</v>
      </c>
      <c r="S106" s="12"/>
      <c r="T106" s="12"/>
      <c r="U106" s="12"/>
      <c r="V106" s="21"/>
      <c r="Z106" s="12"/>
      <c r="AA106" s="29"/>
      <c r="AB106" s="18" t="s">
        <v>590</v>
      </c>
      <c r="AC106" s="12"/>
      <c r="AD106" s="12"/>
      <c r="AE106" s="12"/>
    </row>
    <row r="107" customFormat="false" ht="15.75" hidden="false" customHeight="false" outlineLevel="0" collapsed="false">
      <c r="A107" s="12"/>
      <c r="B107" s="71"/>
      <c r="C107" s="72" t="s">
        <v>591</v>
      </c>
      <c r="D107" s="24"/>
      <c r="E107" s="57" t="s">
        <v>592</v>
      </c>
      <c r="F107" s="15" t="s">
        <v>593</v>
      </c>
      <c r="G107" s="15"/>
      <c r="H107" s="15"/>
      <c r="I107" s="26" t="s">
        <v>594</v>
      </c>
      <c r="J107" s="15" t="s">
        <v>58</v>
      </c>
      <c r="K107" s="17"/>
      <c r="L107" s="17"/>
      <c r="M107" s="18"/>
      <c r="N107" s="17"/>
      <c r="O107" s="17"/>
      <c r="P107" s="19" t="s">
        <v>39</v>
      </c>
      <c r="Q107" s="20"/>
      <c r="R107" s="20" t="s">
        <v>595</v>
      </c>
      <c r="S107" s="20"/>
      <c r="T107" s="20"/>
      <c r="U107" s="20"/>
      <c r="V107" s="45"/>
      <c r="Z107" s="20"/>
      <c r="AA107" s="22"/>
      <c r="AB107" s="18" t="s">
        <v>596</v>
      </c>
      <c r="AC107" s="20"/>
      <c r="AD107" s="20"/>
      <c r="AE107" s="20"/>
    </row>
    <row r="108" customFormat="false" ht="15.75" hidden="false" customHeight="false" outlineLevel="0" collapsed="false">
      <c r="A108" s="12"/>
      <c r="B108" s="54"/>
      <c r="C108" s="55" t="s">
        <v>597</v>
      </c>
      <c r="D108" s="15"/>
      <c r="E108" s="16" t="s">
        <v>598</v>
      </c>
      <c r="F108" s="15" t="s">
        <v>599</v>
      </c>
      <c r="G108" s="15"/>
      <c r="H108" s="15"/>
      <c r="I108" s="26" t="s">
        <v>223</v>
      </c>
      <c r="J108" s="15" t="s">
        <v>58</v>
      </c>
      <c r="K108" s="15" t="n">
        <v>2010</v>
      </c>
      <c r="L108" s="17"/>
      <c r="M108" s="18"/>
      <c r="N108" s="17"/>
      <c r="O108" s="17"/>
      <c r="P108" s="19" t="s">
        <v>39</v>
      </c>
      <c r="Q108" s="17"/>
      <c r="R108" s="17" t="s">
        <v>600</v>
      </c>
      <c r="S108" s="17"/>
      <c r="T108" s="17"/>
      <c r="U108" s="17"/>
      <c r="V108" s="27"/>
      <c r="Z108" s="17"/>
      <c r="AA108" s="29"/>
      <c r="AB108" s="18" t="s">
        <v>601</v>
      </c>
      <c r="AC108" s="17"/>
      <c r="AD108" s="17"/>
      <c r="AE108" s="17"/>
    </row>
    <row r="109" customFormat="false" ht="15.75" hidden="false" customHeight="false" outlineLevel="0" collapsed="false">
      <c r="A109" s="12"/>
      <c r="B109" s="13"/>
      <c r="C109" s="14"/>
      <c r="D109" s="24"/>
      <c r="E109" s="73" t="s">
        <v>602</v>
      </c>
      <c r="F109" s="15" t="s">
        <v>603</v>
      </c>
      <c r="G109" s="15"/>
      <c r="H109" s="15"/>
      <c r="I109" s="26" t="s">
        <v>266</v>
      </c>
      <c r="J109" s="15" t="s">
        <v>58</v>
      </c>
      <c r="K109" s="17"/>
      <c r="L109" s="17"/>
      <c r="M109" s="18"/>
      <c r="N109" s="17"/>
      <c r="O109" s="17"/>
      <c r="P109" s="19" t="s">
        <v>39</v>
      </c>
      <c r="Q109" s="20"/>
      <c r="R109" s="20" t="s">
        <v>604</v>
      </c>
      <c r="S109" s="20"/>
      <c r="T109" s="20" t="s">
        <v>605</v>
      </c>
      <c r="U109" s="20"/>
      <c r="V109" s="21" t="s">
        <v>31</v>
      </c>
      <c r="Z109" s="20"/>
      <c r="AA109" s="22"/>
      <c r="AB109" s="18" t="s">
        <v>606</v>
      </c>
      <c r="AC109" s="20"/>
      <c r="AD109" s="20"/>
      <c r="AE109" s="20"/>
    </row>
    <row r="110" customFormat="false" ht="15.75" hidden="false" customHeight="false" outlineLevel="0" collapsed="false">
      <c r="A110" s="12"/>
      <c r="B110" s="54"/>
      <c r="C110" s="55" t="s">
        <v>607</v>
      </c>
      <c r="D110" s="15"/>
      <c r="E110" s="16" t="s">
        <v>608</v>
      </c>
      <c r="F110" s="15" t="s">
        <v>609</v>
      </c>
      <c r="G110" s="15"/>
      <c r="H110" s="15"/>
      <c r="I110" s="26" t="s">
        <v>610</v>
      </c>
      <c r="J110" s="15" t="s">
        <v>611</v>
      </c>
      <c r="K110" s="15" t="n">
        <v>2014</v>
      </c>
      <c r="L110" s="17"/>
      <c r="M110" s="18"/>
      <c r="N110" s="17"/>
      <c r="O110" s="17"/>
      <c r="P110" s="19" t="s">
        <v>39</v>
      </c>
      <c r="Q110" s="20"/>
      <c r="R110" s="20" t="s">
        <v>612</v>
      </c>
      <c r="S110" s="20"/>
      <c r="T110" s="20" t="s">
        <v>613</v>
      </c>
      <c r="U110" s="20"/>
      <c r="V110" s="21" t="s">
        <v>31</v>
      </c>
      <c r="Z110" s="20"/>
      <c r="AA110" s="22"/>
      <c r="AB110" s="18" t="s">
        <v>614</v>
      </c>
      <c r="AC110" s="20"/>
      <c r="AD110" s="20"/>
      <c r="AE110" s="20"/>
    </row>
    <row r="111" customFormat="false" ht="15.75" hidden="false" customHeight="false" outlineLevel="0" collapsed="false">
      <c r="A111" s="12"/>
      <c r="B111" s="12"/>
      <c r="C111" s="23" t="s">
        <v>615</v>
      </c>
      <c r="D111" s="24" t="s">
        <v>94</v>
      </c>
      <c r="E111" s="25" t="s">
        <v>616</v>
      </c>
      <c r="F111" s="17" t="s">
        <v>617</v>
      </c>
      <c r="G111" s="17"/>
      <c r="H111" s="17"/>
      <c r="I111" s="26" t="s">
        <v>82</v>
      </c>
      <c r="J111" s="32" t="s">
        <v>618</v>
      </c>
      <c r="K111" s="17"/>
      <c r="L111" s="17"/>
      <c r="M111" s="27"/>
      <c r="N111" s="17"/>
      <c r="O111" s="17"/>
      <c r="P111" s="28" t="s">
        <v>59</v>
      </c>
      <c r="Q111" s="17"/>
      <c r="R111" s="17"/>
      <c r="S111" s="17"/>
      <c r="T111" s="17"/>
      <c r="U111" s="17"/>
      <c r="V111" s="27"/>
      <c r="Z111" s="17"/>
      <c r="AA111" s="29"/>
      <c r="AB111" s="70"/>
      <c r="AC111" s="17"/>
      <c r="AD111" s="17"/>
      <c r="AE111" s="17"/>
    </row>
    <row r="112" customFormat="false" ht="15.75" hidden="false" customHeight="false" outlineLevel="0" collapsed="false">
      <c r="A112" s="12" t="s">
        <v>193</v>
      </c>
      <c r="B112" s="12" t="s">
        <v>32</v>
      </c>
      <c r="C112" s="23" t="s">
        <v>619</v>
      </c>
      <c r="D112" s="24" t="s">
        <v>620</v>
      </c>
      <c r="E112" s="25" t="s">
        <v>621</v>
      </c>
      <c r="F112" s="17" t="s">
        <v>622</v>
      </c>
      <c r="G112" s="17"/>
      <c r="H112" s="17"/>
      <c r="I112" s="26" t="s">
        <v>166</v>
      </c>
      <c r="J112" s="32" t="s">
        <v>618</v>
      </c>
      <c r="K112" s="17"/>
      <c r="L112" s="17"/>
      <c r="M112" s="27"/>
      <c r="N112" s="17"/>
      <c r="O112" s="17"/>
      <c r="P112" s="28" t="s">
        <v>59</v>
      </c>
      <c r="Q112" s="12"/>
      <c r="R112" s="12"/>
      <c r="S112" s="12"/>
      <c r="T112" s="12"/>
      <c r="U112" s="12"/>
      <c r="V112" s="21"/>
      <c r="Z112" s="12"/>
      <c r="AA112" s="29" t="n">
        <v>2</v>
      </c>
      <c r="AB112" s="12" t="s">
        <v>623</v>
      </c>
      <c r="AC112" s="12"/>
      <c r="AD112" s="12"/>
      <c r="AE112" s="12"/>
    </row>
    <row r="113" customFormat="false" ht="15.75" hidden="false" customHeight="false" outlineLevel="0" collapsed="false">
      <c r="A113" s="12" t="s">
        <v>193</v>
      </c>
      <c r="B113" s="12" t="s">
        <v>32</v>
      </c>
      <c r="C113" s="23" t="s">
        <v>624</v>
      </c>
      <c r="D113" s="24" t="s">
        <v>195</v>
      </c>
      <c r="E113" s="25" t="s">
        <v>625</v>
      </c>
      <c r="F113" s="17" t="s">
        <v>626</v>
      </c>
      <c r="G113" s="17"/>
      <c r="H113" s="17"/>
      <c r="I113" s="26" t="s">
        <v>627</v>
      </c>
      <c r="J113" s="32" t="s">
        <v>618</v>
      </c>
      <c r="K113" s="17"/>
      <c r="L113" s="17"/>
      <c r="M113" s="27"/>
      <c r="N113" s="17"/>
      <c r="O113" s="17"/>
      <c r="P113" s="28" t="s">
        <v>59</v>
      </c>
      <c r="Q113" s="12"/>
      <c r="R113" s="12"/>
      <c r="S113" s="12"/>
      <c r="T113" s="12"/>
      <c r="U113" s="12"/>
      <c r="V113" s="21"/>
      <c r="Z113" s="12"/>
      <c r="AA113" s="29" t="n">
        <v>1</v>
      </c>
      <c r="AB113" s="12" t="s">
        <v>628</v>
      </c>
      <c r="AC113" s="12"/>
      <c r="AD113" s="12"/>
      <c r="AE113" s="12"/>
    </row>
    <row r="114" customFormat="false" ht="15.75" hidden="false" customHeight="false" outlineLevel="0" collapsed="false">
      <c r="A114" s="12"/>
      <c r="B114" s="54"/>
      <c r="C114" s="55" t="s">
        <v>629</v>
      </c>
      <c r="D114" s="24"/>
      <c r="E114" s="57" t="s">
        <v>630</v>
      </c>
      <c r="F114" s="15" t="s">
        <v>631</v>
      </c>
      <c r="G114" s="15"/>
      <c r="H114" s="15"/>
      <c r="I114" s="26" t="s">
        <v>547</v>
      </c>
      <c r="J114" s="32" t="s">
        <v>618</v>
      </c>
      <c r="K114" s="17"/>
      <c r="L114" s="17"/>
      <c r="M114" s="18"/>
      <c r="N114" s="17"/>
      <c r="O114" s="17"/>
      <c r="P114" s="19" t="s">
        <v>39</v>
      </c>
      <c r="Q114" s="12"/>
      <c r="R114" s="12" t="s">
        <v>632</v>
      </c>
      <c r="S114" s="12"/>
      <c r="T114" s="12"/>
      <c r="U114" s="12"/>
      <c r="V114" s="21"/>
      <c r="Z114" s="12"/>
      <c r="AA114" s="29"/>
      <c r="AB114" s="18" t="s">
        <v>633</v>
      </c>
      <c r="AC114" s="12"/>
      <c r="AD114" s="12"/>
      <c r="AE114" s="12"/>
    </row>
    <row r="115" customFormat="false" ht="15.75" hidden="false" customHeight="false" outlineLevel="0" collapsed="false">
      <c r="A115" s="12"/>
      <c r="B115" s="12"/>
      <c r="C115" s="23" t="s">
        <v>634</v>
      </c>
      <c r="D115" s="24" t="s">
        <v>61</v>
      </c>
      <c r="E115" s="25" t="s">
        <v>635</v>
      </c>
      <c r="F115" s="17" t="s">
        <v>636</v>
      </c>
      <c r="G115" s="17" t="s">
        <v>637</v>
      </c>
      <c r="H115" s="17"/>
      <c r="I115" s="26" t="s">
        <v>82</v>
      </c>
      <c r="J115" s="32" t="s">
        <v>618</v>
      </c>
      <c r="K115" s="17"/>
      <c r="L115" s="17"/>
      <c r="M115" s="27"/>
      <c r="N115" s="17"/>
      <c r="O115" s="17"/>
      <c r="P115" s="40" t="s">
        <v>638</v>
      </c>
      <c r="Q115" s="47"/>
      <c r="R115" s="47" t="s">
        <v>639</v>
      </c>
      <c r="S115" s="47"/>
      <c r="T115" s="47" t="s">
        <v>640</v>
      </c>
      <c r="V115" s="21" t="s">
        <v>31</v>
      </c>
      <c r="AA115" s="63" t="n">
        <v>3</v>
      </c>
      <c r="AB115" s="47" t="s">
        <v>641</v>
      </c>
      <c r="AC115" s="69" t="s">
        <v>642</v>
      </c>
    </row>
    <row r="116" customFormat="false" ht="15.75" hidden="false" customHeight="false" outlineLevel="0" collapsed="false">
      <c r="A116" s="12"/>
      <c r="B116" s="13"/>
      <c r="C116" s="14" t="s">
        <v>643</v>
      </c>
      <c r="D116" s="24" t="s">
        <v>51</v>
      </c>
      <c r="E116" s="16" t="s">
        <v>644</v>
      </c>
      <c r="F116" s="16" t="s">
        <v>645</v>
      </c>
      <c r="G116" s="17"/>
      <c r="H116" s="17"/>
      <c r="I116" s="26" t="s">
        <v>166</v>
      </c>
      <c r="J116" s="32" t="s">
        <v>618</v>
      </c>
      <c r="K116" s="17"/>
      <c r="L116" s="17"/>
      <c r="M116" s="46" t="s">
        <v>147</v>
      </c>
      <c r="N116" s="17"/>
      <c r="O116" s="17"/>
      <c r="P116" s="40" t="s">
        <v>168</v>
      </c>
      <c r="Q116" s="12"/>
      <c r="R116" s="12" t="s">
        <v>646</v>
      </c>
      <c r="S116" s="12"/>
      <c r="T116" s="12" t="s">
        <v>647</v>
      </c>
      <c r="U116" s="12"/>
      <c r="V116" s="21" t="s">
        <v>31</v>
      </c>
      <c r="Z116" s="12"/>
      <c r="AA116" s="29" t="n">
        <v>2</v>
      </c>
      <c r="AB116" s="12" t="s">
        <v>648</v>
      </c>
      <c r="AC116" s="12"/>
      <c r="AD116" s="12"/>
      <c r="AE116" s="12"/>
      <c r="AF116" s="12"/>
      <c r="AG116" s="12"/>
    </row>
    <row r="117" customFormat="false" ht="15.75" hidden="false" customHeight="false" outlineLevel="0" collapsed="false">
      <c r="A117" s="12"/>
      <c r="B117" s="20"/>
      <c r="C117" s="48" t="s">
        <v>649</v>
      </c>
      <c r="D117" s="24" t="s">
        <v>61</v>
      </c>
      <c r="E117" s="49" t="s">
        <v>650</v>
      </c>
      <c r="F117" s="49" t="s">
        <v>651</v>
      </c>
      <c r="G117" s="17"/>
      <c r="H117" s="17"/>
      <c r="I117" s="26" t="s">
        <v>166</v>
      </c>
      <c r="J117" s="32" t="s">
        <v>618</v>
      </c>
      <c r="K117" s="17"/>
      <c r="L117" s="17"/>
      <c r="M117" s="50"/>
      <c r="N117" s="17"/>
      <c r="O117" s="17"/>
      <c r="P117" s="40" t="s">
        <v>168</v>
      </c>
      <c r="V117" s="60"/>
      <c r="AA117" s="63" t="n">
        <v>2</v>
      </c>
      <c r="AB117" s="17" t="s">
        <v>652</v>
      </c>
      <c r="AE117" s="47"/>
      <c r="AF117" s="47"/>
      <c r="AG117" s="47"/>
    </row>
    <row r="118" customFormat="false" ht="15.75" hidden="false" customHeight="false" outlineLevel="0" collapsed="false">
      <c r="A118" s="12" t="str">
        <f aca="false">IF((AA118&gt;=4), "Y", "N")</f>
        <v>Y</v>
      </c>
      <c r="B118" s="12" t="s">
        <v>49</v>
      </c>
      <c r="C118" s="23" t="s">
        <v>653</v>
      </c>
      <c r="D118" s="24" t="s">
        <v>94</v>
      </c>
      <c r="E118" s="25" t="s">
        <v>654</v>
      </c>
      <c r="F118" s="17" t="s">
        <v>655</v>
      </c>
      <c r="G118" s="17" t="s">
        <v>145</v>
      </c>
      <c r="H118" s="17" t="s">
        <v>146</v>
      </c>
      <c r="I118" s="17" t="s">
        <v>36</v>
      </c>
      <c r="J118" s="32" t="s">
        <v>618</v>
      </c>
      <c r="K118" s="17" t="n">
        <v>2013</v>
      </c>
      <c r="L118" s="33"/>
      <c r="M118" s="27" t="s">
        <v>147</v>
      </c>
      <c r="N118" s="17" t="s">
        <v>377</v>
      </c>
      <c r="O118" s="17"/>
      <c r="P118" s="40" t="s">
        <v>111</v>
      </c>
      <c r="Q118" s="12"/>
      <c r="R118" s="12"/>
      <c r="S118" s="12"/>
      <c r="T118" s="12"/>
      <c r="U118" s="12"/>
      <c r="V118" s="21"/>
      <c r="Z118" s="12"/>
      <c r="AA118" s="29" t="n">
        <v>5</v>
      </c>
      <c r="AB118" s="12"/>
      <c r="AC118" s="12"/>
      <c r="AD118" s="12"/>
      <c r="AE118" s="12"/>
    </row>
    <row r="119" customFormat="false" ht="15.75" hidden="false" customHeight="false" outlineLevel="0" collapsed="false">
      <c r="A119" s="12"/>
      <c r="B119" s="12"/>
      <c r="C119" s="23" t="s">
        <v>656</v>
      </c>
      <c r="D119" s="24"/>
      <c r="E119" s="25" t="s">
        <v>657</v>
      </c>
      <c r="F119" s="17"/>
      <c r="G119" s="17" t="s">
        <v>658</v>
      </c>
      <c r="H119" s="17"/>
      <c r="I119" s="26" t="s">
        <v>557</v>
      </c>
      <c r="J119" s="32" t="s">
        <v>618</v>
      </c>
      <c r="K119" s="17"/>
      <c r="L119" s="17"/>
      <c r="M119" s="27"/>
      <c r="N119" s="17"/>
      <c r="O119" s="17"/>
      <c r="P119" s="28" t="s">
        <v>46</v>
      </c>
      <c r="V119" s="60"/>
      <c r="AA119" s="63"/>
    </row>
    <row r="120" customFormat="false" ht="15.75" hidden="false" customHeight="false" outlineLevel="0" collapsed="false">
      <c r="A120" s="12" t="str">
        <f aca="false">IF((AA120&gt;=4), "Y", "N")</f>
        <v>Y</v>
      </c>
      <c r="B120" s="13" t="s">
        <v>49</v>
      </c>
      <c r="C120" s="31" t="s">
        <v>659</v>
      </c>
      <c r="D120" s="16" t="s">
        <v>51</v>
      </c>
      <c r="E120" s="32" t="s">
        <v>660</v>
      </c>
      <c r="F120" s="32" t="s">
        <v>661</v>
      </c>
      <c r="G120" s="32" t="s">
        <v>662</v>
      </c>
      <c r="H120" s="17" t="s">
        <v>146</v>
      </c>
      <c r="I120" s="17" t="s">
        <v>36</v>
      </c>
      <c r="J120" s="32" t="s">
        <v>618</v>
      </c>
      <c r="K120" s="33" t="n">
        <v>1936</v>
      </c>
      <c r="L120" s="38" t="s">
        <v>482</v>
      </c>
      <c r="M120" s="27" t="s">
        <v>58</v>
      </c>
      <c r="N120" s="37" t="s">
        <v>663</v>
      </c>
      <c r="O120" s="17"/>
      <c r="P120" s="19" t="s">
        <v>76</v>
      </c>
      <c r="Q120" s="12"/>
      <c r="R120" s="12" t="s">
        <v>664</v>
      </c>
      <c r="S120" s="12"/>
      <c r="T120" s="12" t="s">
        <v>665</v>
      </c>
      <c r="U120" s="12"/>
      <c r="V120" s="21" t="s">
        <v>31</v>
      </c>
      <c r="Z120" s="12"/>
      <c r="AA120" s="22" t="str">
        <f aca="false">IF(P120="OD500 US (submitted)", "5", " ")</f>
        <v>5</v>
      </c>
      <c r="AB120" s="12"/>
      <c r="AC120" s="12"/>
      <c r="AD120" s="12"/>
      <c r="AE120" s="12"/>
    </row>
    <row r="121" customFormat="false" ht="15.75" hidden="false" customHeight="false" outlineLevel="0" collapsed="false">
      <c r="A121" s="12" t="str">
        <f aca="false">IF((AA121&gt;=4), "Y", "N")</f>
        <v>Y</v>
      </c>
      <c r="B121" s="12" t="s">
        <v>49</v>
      </c>
      <c r="C121" s="23" t="s">
        <v>666</v>
      </c>
      <c r="D121" s="24" t="s">
        <v>667</v>
      </c>
      <c r="E121" s="25" t="s">
        <v>668</v>
      </c>
      <c r="F121" s="17" t="s">
        <v>669</v>
      </c>
      <c r="G121" s="17"/>
      <c r="H121" s="26" t="s">
        <v>72</v>
      </c>
      <c r="I121" s="17" t="s">
        <v>36</v>
      </c>
      <c r="J121" s="32" t="s">
        <v>618</v>
      </c>
      <c r="K121" s="17" t="n">
        <v>2012</v>
      </c>
      <c r="L121" s="33"/>
      <c r="M121" s="27" t="s">
        <v>58</v>
      </c>
      <c r="N121" s="37" t="s">
        <v>354</v>
      </c>
      <c r="O121" s="17"/>
      <c r="P121" s="40" t="s">
        <v>111</v>
      </c>
      <c r="V121" s="60"/>
      <c r="AA121" s="63" t="n">
        <v>5</v>
      </c>
    </row>
    <row r="122" customFormat="false" ht="15.75" hidden="false" customHeight="false" outlineLevel="0" collapsed="false">
      <c r="A122" s="12" t="s">
        <v>31</v>
      </c>
      <c r="B122" s="20" t="s">
        <v>32</v>
      </c>
      <c r="C122" s="41" t="s">
        <v>670</v>
      </c>
      <c r="D122" s="24" t="s">
        <v>94</v>
      </c>
      <c r="E122" s="57" t="s">
        <v>671</v>
      </c>
      <c r="F122" s="49" t="s">
        <v>672</v>
      </c>
      <c r="G122" s="17" t="s">
        <v>673</v>
      </c>
      <c r="H122" s="17"/>
      <c r="I122" s="26" t="s">
        <v>82</v>
      </c>
      <c r="J122" s="32" t="s">
        <v>618</v>
      </c>
      <c r="K122" s="17" t="n">
        <v>2009</v>
      </c>
      <c r="L122" s="17" t="s">
        <v>99</v>
      </c>
      <c r="M122" s="27" t="s">
        <v>147</v>
      </c>
      <c r="N122" s="17" t="s">
        <v>674</v>
      </c>
      <c r="O122" s="17" t="s">
        <v>675</v>
      </c>
      <c r="P122" s="19" t="s">
        <v>84</v>
      </c>
      <c r="Q122" s="12"/>
      <c r="R122" s="12"/>
      <c r="S122" s="12"/>
      <c r="T122" s="12"/>
      <c r="U122" s="12"/>
      <c r="V122" s="21"/>
      <c r="Z122" s="12"/>
      <c r="AA122" s="29" t="n">
        <v>5</v>
      </c>
      <c r="AB122" s="12" t="s">
        <v>676</v>
      </c>
      <c r="AC122" s="12"/>
      <c r="AD122" s="12"/>
      <c r="AE122" s="12"/>
    </row>
    <row r="123" customFormat="false" ht="15.75" hidden="false" customHeight="false" outlineLevel="0" collapsed="false">
      <c r="A123" s="12" t="str">
        <f aca="false">IF((AA123&gt;=4), "Y", "N")</f>
        <v>Y</v>
      </c>
      <c r="B123" s="12"/>
      <c r="C123" s="23" t="s">
        <v>677</v>
      </c>
      <c r="D123" s="24" t="s">
        <v>94</v>
      </c>
      <c r="E123" s="25" t="s">
        <v>678</v>
      </c>
      <c r="F123" s="17" t="s">
        <v>679</v>
      </c>
      <c r="G123" s="17" t="s">
        <v>145</v>
      </c>
      <c r="H123" s="17" t="s">
        <v>146</v>
      </c>
      <c r="I123" s="17" t="s">
        <v>36</v>
      </c>
      <c r="J123" s="32" t="s">
        <v>618</v>
      </c>
      <c r="K123" s="17" t="n">
        <v>2002</v>
      </c>
      <c r="L123" s="38" t="s">
        <v>482</v>
      </c>
      <c r="M123" s="27"/>
      <c r="N123" s="37" t="s">
        <v>663</v>
      </c>
      <c r="O123" s="17"/>
      <c r="P123" s="40" t="s">
        <v>111</v>
      </c>
      <c r="V123" s="60"/>
      <c r="AA123" s="63" t="n">
        <v>5</v>
      </c>
    </row>
    <row r="124" customFormat="false" ht="15.75" hidden="false" customHeight="false" outlineLevel="0" collapsed="false">
      <c r="A124" s="12" t="str">
        <f aca="false">IF((AA124&gt;=4), "Y", "N")</f>
        <v>Y</v>
      </c>
      <c r="B124" s="13"/>
      <c r="C124" s="31" t="s">
        <v>680</v>
      </c>
      <c r="D124" s="16" t="s">
        <v>94</v>
      </c>
      <c r="E124" s="32" t="s">
        <v>681</v>
      </c>
      <c r="F124" s="32" t="s">
        <v>682</v>
      </c>
      <c r="G124" s="32" t="s">
        <v>683</v>
      </c>
      <c r="H124" s="17" t="s">
        <v>72</v>
      </c>
      <c r="I124" s="17" t="s">
        <v>36</v>
      </c>
      <c r="J124" s="32" t="s">
        <v>618</v>
      </c>
      <c r="K124" s="33" t="n">
        <v>2010</v>
      </c>
      <c r="L124" s="33" t="s">
        <v>73</v>
      </c>
      <c r="M124" s="27"/>
      <c r="N124" s="37" t="s">
        <v>684</v>
      </c>
      <c r="O124" s="17"/>
      <c r="P124" s="19" t="s">
        <v>76</v>
      </c>
      <c r="R124" s="0" t="s">
        <v>685</v>
      </c>
      <c r="T124" s="0" t="s">
        <v>686</v>
      </c>
      <c r="V124" s="21" t="s">
        <v>31</v>
      </c>
      <c r="AA124" s="22" t="str">
        <f aca="false">IF(P124="OD500 US (submitted)", "5", " ")</f>
        <v>5</v>
      </c>
    </row>
    <row r="125" customFormat="false" ht="15.75" hidden="false" customHeight="false" outlineLevel="0" collapsed="false">
      <c r="A125" s="12"/>
      <c r="B125" s="12"/>
      <c r="C125" s="23" t="s">
        <v>687</v>
      </c>
      <c r="D125" s="24"/>
      <c r="E125" s="25" t="s">
        <v>688</v>
      </c>
      <c r="F125" s="17"/>
      <c r="G125" s="17" t="s">
        <v>689</v>
      </c>
      <c r="H125" s="17"/>
      <c r="I125" s="26" t="s">
        <v>690</v>
      </c>
      <c r="J125" s="32" t="s">
        <v>618</v>
      </c>
      <c r="K125" s="17"/>
      <c r="L125" s="17"/>
      <c r="M125" s="27"/>
      <c r="N125" s="17"/>
      <c r="O125" s="17"/>
      <c r="P125" s="28" t="s">
        <v>46</v>
      </c>
      <c r="V125" s="60"/>
      <c r="AA125" s="63"/>
    </row>
    <row r="126" customFormat="false" ht="15.75" hidden="false" customHeight="false" outlineLevel="0" collapsed="false">
      <c r="A126" s="12" t="str">
        <f aca="false">IF((AA126&gt;=4), "Y", "N")</f>
        <v>Y</v>
      </c>
      <c r="B126" s="12"/>
      <c r="C126" s="23" t="s">
        <v>691</v>
      </c>
      <c r="D126" s="24" t="s">
        <v>94</v>
      </c>
      <c r="E126" s="25" t="s">
        <v>692</v>
      </c>
      <c r="F126" s="17" t="s">
        <v>693</v>
      </c>
      <c r="G126" s="17" t="s">
        <v>145</v>
      </c>
      <c r="H126" s="17" t="s">
        <v>146</v>
      </c>
      <c r="I126" s="17" t="s">
        <v>36</v>
      </c>
      <c r="J126" s="32" t="s">
        <v>618</v>
      </c>
      <c r="K126" s="17" t="n">
        <v>2009</v>
      </c>
      <c r="L126" s="38" t="s">
        <v>73</v>
      </c>
      <c r="M126" s="27"/>
      <c r="N126" s="37" t="s">
        <v>110</v>
      </c>
      <c r="O126" s="17"/>
      <c r="P126" s="40" t="s">
        <v>111</v>
      </c>
      <c r="Q126" s="12"/>
      <c r="R126" s="12"/>
      <c r="S126" s="12"/>
      <c r="T126" s="12"/>
      <c r="U126" s="12"/>
      <c r="V126" s="21"/>
      <c r="Z126" s="12"/>
      <c r="AA126" s="29" t="n">
        <v>5</v>
      </c>
      <c r="AB126" s="12"/>
      <c r="AC126" s="12"/>
      <c r="AD126" s="12"/>
      <c r="AE126" s="12"/>
    </row>
    <row r="127" customFormat="false" ht="15.75" hidden="false" customHeight="false" outlineLevel="0" collapsed="false">
      <c r="A127" s="12" t="str">
        <f aca="false">IF((AA127&gt;=4), "Y", "N")</f>
        <v>Y</v>
      </c>
      <c r="B127" s="13"/>
      <c r="C127" s="31" t="s">
        <v>694</v>
      </c>
      <c r="D127" s="16" t="s">
        <v>61</v>
      </c>
      <c r="E127" s="32" t="s">
        <v>695</v>
      </c>
      <c r="F127" s="32" t="s">
        <v>696</v>
      </c>
      <c r="G127" s="32" t="s">
        <v>697</v>
      </c>
      <c r="H127" s="17" t="s">
        <v>390</v>
      </c>
      <c r="I127" s="17" t="s">
        <v>36</v>
      </c>
      <c r="J127" s="32" t="s">
        <v>618</v>
      </c>
      <c r="K127" s="33" t="n">
        <v>2012</v>
      </c>
      <c r="L127" s="33" t="s">
        <v>109</v>
      </c>
      <c r="M127" s="27"/>
      <c r="N127" s="37" t="s">
        <v>354</v>
      </c>
      <c r="O127" s="17"/>
      <c r="P127" s="19" t="s">
        <v>76</v>
      </c>
      <c r="Q127" s="12"/>
      <c r="R127" s="12" t="s">
        <v>698</v>
      </c>
      <c r="S127" s="12"/>
      <c r="T127" s="12" t="s">
        <v>699</v>
      </c>
      <c r="U127" s="12"/>
      <c r="V127" s="21" t="s">
        <v>31</v>
      </c>
      <c r="Z127" s="12"/>
      <c r="AA127" s="22" t="str">
        <f aca="false">IF(P127="OD500 US (submitted)", "5", " ")</f>
        <v>5</v>
      </c>
      <c r="AB127" s="12"/>
      <c r="AC127" s="12"/>
      <c r="AD127" s="12"/>
      <c r="AE127" s="12"/>
    </row>
    <row r="128" customFormat="false" ht="15.75" hidden="false" customHeight="false" outlineLevel="0" collapsed="false">
      <c r="A128" s="12"/>
      <c r="B128" s="12"/>
      <c r="C128" s="23" t="s">
        <v>700</v>
      </c>
      <c r="D128" s="24"/>
      <c r="E128" s="25" t="s">
        <v>701</v>
      </c>
      <c r="F128" s="17"/>
      <c r="G128" s="17" t="s">
        <v>702</v>
      </c>
      <c r="H128" s="17"/>
      <c r="I128" s="26" t="s">
        <v>703</v>
      </c>
      <c r="J128" s="32" t="s">
        <v>618</v>
      </c>
      <c r="K128" s="17"/>
      <c r="L128" s="17"/>
      <c r="M128" s="27"/>
      <c r="N128" s="17"/>
      <c r="O128" s="17"/>
      <c r="P128" s="28" t="s">
        <v>46</v>
      </c>
      <c r="V128" s="60"/>
      <c r="AA128" s="63"/>
    </row>
    <row r="129" customFormat="false" ht="15.75" hidden="false" customHeight="false" outlineLevel="0" collapsed="false">
      <c r="A129" s="12" t="str">
        <f aca="false">IF((AA129&gt;=4), "Y", "N")</f>
        <v>Y</v>
      </c>
      <c r="B129" s="13"/>
      <c r="C129" s="31" t="s">
        <v>704</v>
      </c>
      <c r="D129" s="16" t="s">
        <v>94</v>
      </c>
      <c r="E129" s="32" t="s">
        <v>705</v>
      </c>
      <c r="F129" s="32" t="s">
        <v>706</v>
      </c>
      <c r="G129" s="32" t="s">
        <v>71</v>
      </c>
      <c r="H129" s="17" t="s">
        <v>72</v>
      </c>
      <c r="I129" s="17" t="s">
        <v>36</v>
      </c>
      <c r="J129" s="32" t="s">
        <v>618</v>
      </c>
      <c r="K129" s="33" t="n">
        <v>2007</v>
      </c>
      <c r="L129" s="33" t="s">
        <v>99</v>
      </c>
      <c r="M129" s="27"/>
      <c r="N129" s="37" t="s">
        <v>707</v>
      </c>
      <c r="O129" s="17"/>
      <c r="P129" s="19" t="s">
        <v>76</v>
      </c>
      <c r="Q129" s="12"/>
      <c r="R129" s="12" t="s">
        <v>708</v>
      </c>
      <c r="S129" s="12"/>
      <c r="T129" s="12" t="s">
        <v>709</v>
      </c>
      <c r="U129" s="12"/>
      <c r="V129" s="21" t="s">
        <v>31</v>
      </c>
      <c r="Z129" s="12"/>
      <c r="AA129" s="22" t="str">
        <f aca="false">IF(P129="OD500 US (submitted)", "5", " ")</f>
        <v>5</v>
      </c>
      <c r="AB129" s="12"/>
      <c r="AC129" s="12"/>
      <c r="AD129" s="12"/>
      <c r="AE129" s="12"/>
    </row>
    <row r="130" customFormat="false" ht="15.75" hidden="false" customHeight="false" outlineLevel="0" collapsed="false">
      <c r="A130" s="12"/>
      <c r="B130" s="12" t="s">
        <v>32</v>
      </c>
      <c r="C130" s="23" t="s">
        <v>710</v>
      </c>
      <c r="D130" s="24" t="s">
        <v>94</v>
      </c>
      <c r="E130" s="25" t="s">
        <v>711</v>
      </c>
      <c r="F130" s="17"/>
      <c r="G130" s="17" t="s">
        <v>197</v>
      </c>
      <c r="H130" s="17"/>
      <c r="I130" s="26" t="s">
        <v>198</v>
      </c>
      <c r="J130" s="32" t="s">
        <v>618</v>
      </c>
      <c r="K130" s="17"/>
      <c r="L130" s="17"/>
      <c r="M130" s="27"/>
      <c r="N130" s="17"/>
      <c r="O130" s="17"/>
      <c r="P130" s="28" t="s">
        <v>46</v>
      </c>
      <c r="Q130" s="12"/>
      <c r="R130" s="12"/>
      <c r="S130" s="12"/>
      <c r="T130" s="12"/>
      <c r="U130" s="12"/>
      <c r="V130" s="21"/>
      <c r="Z130" s="12"/>
      <c r="AA130" s="29" t="n">
        <v>3</v>
      </c>
      <c r="AB130" s="20" t="s">
        <v>712</v>
      </c>
      <c r="AC130" s="12"/>
      <c r="AD130" s="12"/>
      <c r="AE130" s="12"/>
    </row>
    <row r="131" customFormat="false" ht="15.75" hidden="false" customHeight="false" outlineLevel="0" collapsed="false">
      <c r="A131" s="12"/>
      <c r="B131" s="12"/>
      <c r="C131" s="23" t="s">
        <v>713</v>
      </c>
      <c r="D131" s="24"/>
      <c r="E131" s="25" t="s">
        <v>714</v>
      </c>
      <c r="F131" s="17"/>
      <c r="G131" s="17" t="s">
        <v>715</v>
      </c>
      <c r="H131" s="17"/>
      <c r="I131" s="26" t="s">
        <v>551</v>
      </c>
      <c r="J131" s="32" t="s">
        <v>618</v>
      </c>
      <c r="K131" s="17"/>
      <c r="L131" s="17"/>
      <c r="M131" s="27"/>
      <c r="N131" s="17"/>
      <c r="O131" s="17"/>
      <c r="P131" s="28" t="s">
        <v>46</v>
      </c>
      <c r="Q131" s="20"/>
      <c r="R131" s="20"/>
      <c r="S131" s="20"/>
      <c r="T131" s="20"/>
      <c r="U131" s="20"/>
      <c r="V131" s="45"/>
      <c r="Z131" s="20"/>
      <c r="AA131" s="22"/>
      <c r="AB131" s="20"/>
      <c r="AC131" s="20"/>
      <c r="AD131" s="20"/>
      <c r="AE131" s="20"/>
    </row>
    <row r="132" customFormat="false" ht="15.75" hidden="false" customHeight="false" outlineLevel="0" collapsed="false">
      <c r="A132" s="12"/>
      <c r="B132" s="12"/>
      <c r="C132" s="23" t="s">
        <v>716</v>
      </c>
      <c r="D132" s="24"/>
      <c r="E132" s="25" t="s">
        <v>717</v>
      </c>
      <c r="F132" s="17"/>
      <c r="G132" s="17" t="s">
        <v>87</v>
      </c>
      <c r="H132" s="17"/>
      <c r="I132" s="26" t="s">
        <v>88</v>
      </c>
      <c r="J132" s="32" t="s">
        <v>618</v>
      </c>
      <c r="K132" s="17"/>
      <c r="L132" s="17"/>
      <c r="M132" s="27"/>
      <c r="N132" s="17"/>
      <c r="O132" s="17"/>
      <c r="P132" s="28" t="s">
        <v>46</v>
      </c>
      <c r="Q132" s="12"/>
      <c r="R132" s="12"/>
      <c r="S132" s="12"/>
      <c r="T132" s="12"/>
      <c r="U132" s="12"/>
      <c r="V132" s="21"/>
      <c r="Z132" s="12"/>
      <c r="AA132" s="29"/>
      <c r="AB132" s="12"/>
      <c r="AC132" s="12"/>
      <c r="AD132" s="12"/>
      <c r="AE132" s="12"/>
    </row>
    <row r="133" customFormat="false" ht="15.75" hidden="false" customHeight="false" outlineLevel="0" collapsed="false">
      <c r="A133" s="12" t="str">
        <f aca="false">IF((AA133&gt;=4), "Y", "N")</f>
        <v>Y</v>
      </c>
      <c r="B133" s="12"/>
      <c r="C133" s="23" t="s">
        <v>718</v>
      </c>
      <c r="D133" s="24" t="s">
        <v>94</v>
      </c>
      <c r="E133" s="25" t="s">
        <v>719</v>
      </c>
      <c r="F133" s="17" t="s">
        <v>720</v>
      </c>
      <c r="G133" s="17" t="s">
        <v>145</v>
      </c>
      <c r="H133" s="26" t="s">
        <v>146</v>
      </c>
      <c r="I133" s="17" t="s">
        <v>36</v>
      </c>
      <c r="J133" s="32" t="s">
        <v>618</v>
      </c>
      <c r="K133" s="17" t="n">
        <v>2011</v>
      </c>
      <c r="L133" s="33"/>
      <c r="M133" s="27"/>
      <c r="N133" s="39" t="s">
        <v>121</v>
      </c>
      <c r="O133" s="17"/>
      <c r="P133" s="40" t="s">
        <v>111</v>
      </c>
      <c r="Q133" s="12"/>
      <c r="R133" s="12"/>
      <c r="S133" s="12"/>
      <c r="T133" s="12"/>
      <c r="U133" s="12"/>
      <c r="V133" s="21"/>
      <c r="Z133" s="12"/>
      <c r="AA133" s="29" t="n">
        <v>5</v>
      </c>
      <c r="AB133" s="12"/>
      <c r="AC133" s="12"/>
      <c r="AD133" s="12"/>
      <c r="AE133" s="12"/>
    </row>
    <row r="134" customFormat="false" ht="15.75" hidden="false" customHeight="false" outlineLevel="0" collapsed="false">
      <c r="A134" s="12" t="s">
        <v>193</v>
      </c>
      <c r="B134" s="54" t="s">
        <v>32</v>
      </c>
      <c r="C134" s="55" t="s">
        <v>721</v>
      </c>
      <c r="D134" s="15"/>
      <c r="E134" s="16" t="s">
        <v>722</v>
      </c>
      <c r="F134" s="15" t="s">
        <v>723</v>
      </c>
      <c r="G134" s="15"/>
      <c r="H134" s="15"/>
      <c r="I134" s="26" t="s">
        <v>724</v>
      </c>
      <c r="J134" s="32" t="s">
        <v>618</v>
      </c>
      <c r="K134" s="15" t="n">
        <v>2007</v>
      </c>
      <c r="L134" s="17"/>
      <c r="M134" s="60"/>
      <c r="N134" s="17"/>
      <c r="O134" s="17"/>
      <c r="P134" s="19" t="s">
        <v>39</v>
      </c>
      <c r="Q134" s="17"/>
      <c r="R134" s="17" t="s">
        <v>725</v>
      </c>
      <c r="S134" s="17"/>
      <c r="T134" s="17"/>
      <c r="U134" s="17"/>
      <c r="V134" s="27"/>
      <c r="Z134" s="17"/>
      <c r="AA134" s="29" t="n">
        <v>2</v>
      </c>
      <c r="AB134" s="17" t="s">
        <v>726</v>
      </c>
      <c r="AC134" s="15" t="s">
        <v>727</v>
      </c>
      <c r="AD134" s="17"/>
      <c r="AE134" s="17"/>
    </row>
    <row r="135" customFormat="false" ht="1.5" hidden="false" customHeight="true" outlineLevel="0" collapsed="false">
      <c r="A135" s="12" t="str">
        <f aca="false">IF((AA135&gt;=4), "Y", "N")</f>
        <v>Y</v>
      </c>
      <c r="B135" s="12"/>
      <c r="C135" s="23" t="s">
        <v>728</v>
      </c>
      <c r="D135" s="24" t="s">
        <v>94</v>
      </c>
      <c r="E135" s="25" t="s">
        <v>729</v>
      </c>
      <c r="F135" s="17" t="s">
        <v>730</v>
      </c>
      <c r="G135" s="17" t="s">
        <v>731</v>
      </c>
      <c r="H135" s="26" t="s">
        <v>72</v>
      </c>
      <c r="I135" s="17" t="s">
        <v>36</v>
      </c>
      <c r="J135" s="32" t="s">
        <v>618</v>
      </c>
      <c r="K135" s="17" t="n">
        <v>2003</v>
      </c>
      <c r="L135" s="38" t="s">
        <v>99</v>
      </c>
      <c r="M135" s="27"/>
      <c r="N135" s="39" t="s">
        <v>110</v>
      </c>
      <c r="O135" s="17"/>
      <c r="P135" s="40" t="s">
        <v>111</v>
      </c>
      <c r="Q135" s="12"/>
      <c r="R135" s="12"/>
      <c r="S135" s="12"/>
      <c r="T135" s="12"/>
      <c r="U135" s="12"/>
      <c r="V135" s="21"/>
      <c r="Z135" s="12"/>
      <c r="AA135" s="29" t="n">
        <v>5</v>
      </c>
      <c r="AB135" s="12"/>
      <c r="AC135" s="12"/>
      <c r="AD135" s="12"/>
      <c r="AE135" s="12"/>
    </row>
    <row r="136" customFormat="false" ht="15.75" hidden="false" customHeight="false" outlineLevel="0" collapsed="false">
      <c r="A136" s="12"/>
      <c r="B136" s="12"/>
      <c r="C136" s="23" t="s">
        <v>732</v>
      </c>
      <c r="D136" s="24"/>
      <c r="E136" s="25" t="s">
        <v>733</v>
      </c>
      <c r="F136" s="17"/>
      <c r="G136" s="17" t="s">
        <v>731</v>
      </c>
      <c r="H136" s="17"/>
      <c r="I136" s="26" t="s">
        <v>547</v>
      </c>
      <c r="J136" s="32" t="s">
        <v>618</v>
      </c>
      <c r="K136" s="17"/>
      <c r="L136" s="17"/>
      <c r="M136" s="27"/>
      <c r="N136" s="17"/>
      <c r="O136" s="17"/>
      <c r="P136" s="28" t="s">
        <v>46</v>
      </c>
      <c r="Q136" s="12"/>
      <c r="R136" s="12"/>
      <c r="S136" s="12"/>
      <c r="T136" s="12"/>
      <c r="U136" s="12"/>
      <c r="V136" s="21"/>
      <c r="Z136" s="12"/>
      <c r="AA136" s="29"/>
      <c r="AB136" s="12"/>
      <c r="AC136" s="12"/>
      <c r="AD136" s="12"/>
      <c r="AE136" s="12"/>
    </row>
    <row r="137" customFormat="false" ht="15.75" hidden="false" customHeight="false" outlineLevel="0" collapsed="false">
      <c r="A137" s="12" t="str">
        <f aca="false">IF((AA137&gt;=4), "Y", "N")</f>
        <v>Y</v>
      </c>
      <c r="B137" s="12"/>
      <c r="C137" s="23" t="s">
        <v>734</v>
      </c>
      <c r="D137" s="24" t="s">
        <v>94</v>
      </c>
      <c r="E137" s="25" t="s">
        <v>735</v>
      </c>
      <c r="F137" s="17" t="s">
        <v>736</v>
      </c>
      <c r="G137" s="17" t="s">
        <v>737</v>
      </c>
      <c r="H137" s="26" t="s">
        <v>72</v>
      </c>
      <c r="I137" s="17" t="s">
        <v>36</v>
      </c>
      <c r="J137" s="32" t="s">
        <v>618</v>
      </c>
      <c r="K137" s="17" t="n">
        <v>2006</v>
      </c>
      <c r="L137" s="38" t="s">
        <v>73</v>
      </c>
      <c r="M137" s="27"/>
      <c r="N137" s="17" t="s">
        <v>478</v>
      </c>
      <c r="O137" s="17"/>
      <c r="P137" s="40" t="s">
        <v>111</v>
      </c>
      <c r="Q137" s="12"/>
      <c r="R137" s="12"/>
      <c r="S137" s="12"/>
      <c r="T137" s="12"/>
      <c r="U137" s="12"/>
      <c r="V137" s="21"/>
      <c r="Z137" s="12"/>
      <c r="AA137" s="29" t="n">
        <v>5</v>
      </c>
      <c r="AB137" s="12"/>
      <c r="AC137" s="12"/>
      <c r="AD137" s="12"/>
      <c r="AE137" s="12"/>
    </row>
    <row r="138" customFormat="false" ht="15.75" hidden="false" customHeight="false" outlineLevel="0" collapsed="false">
      <c r="A138" s="12"/>
      <c r="B138" s="12"/>
      <c r="C138" s="23" t="s">
        <v>738</v>
      </c>
      <c r="D138" s="24" t="s">
        <v>94</v>
      </c>
      <c r="E138" s="25" t="s">
        <v>739</v>
      </c>
      <c r="F138" s="17" t="s">
        <v>740</v>
      </c>
      <c r="G138" s="17" t="s">
        <v>741</v>
      </c>
      <c r="H138" s="26" t="s">
        <v>146</v>
      </c>
      <c r="I138" s="17" t="s">
        <v>36</v>
      </c>
      <c r="J138" s="32" t="s">
        <v>618</v>
      </c>
      <c r="K138" s="17" t="n">
        <v>1960</v>
      </c>
      <c r="L138" s="33" t="s">
        <v>275</v>
      </c>
      <c r="M138" s="27"/>
      <c r="N138" s="39" t="s">
        <v>742</v>
      </c>
      <c r="O138" s="17"/>
      <c r="P138" s="40" t="s">
        <v>111</v>
      </c>
      <c r="Q138" s="12"/>
      <c r="R138" s="12"/>
      <c r="S138" s="12"/>
      <c r="T138" s="12"/>
      <c r="U138" s="12"/>
      <c r="V138" s="21"/>
      <c r="Z138" s="12"/>
      <c r="AA138" s="29" t="n">
        <v>5</v>
      </c>
      <c r="AB138" s="12"/>
      <c r="AC138" s="12"/>
      <c r="AD138" s="12"/>
      <c r="AE138" s="12"/>
    </row>
    <row r="139" customFormat="false" ht="15.75" hidden="false" customHeight="false" outlineLevel="0" collapsed="false">
      <c r="A139" s="12"/>
      <c r="B139" s="12"/>
      <c r="C139" s="23" t="s">
        <v>743</v>
      </c>
      <c r="D139" s="24"/>
      <c r="E139" s="25" t="s">
        <v>744</v>
      </c>
      <c r="F139" s="17" t="s">
        <v>745</v>
      </c>
      <c r="G139" s="17" t="s">
        <v>71</v>
      </c>
      <c r="H139" s="26" t="s">
        <v>72</v>
      </c>
      <c r="I139" s="17" t="s">
        <v>36</v>
      </c>
      <c r="J139" s="32" t="s">
        <v>618</v>
      </c>
      <c r="K139" s="17" t="n">
        <v>2012</v>
      </c>
      <c r="L139" s="33"/>
      <c r="M139" s="27"/>
      <c r="N139" s="39" t="s">
        <v>746</v>
      </c>
      <c r="O139" s="17"/>
      <c r="P139" s="40" t="s">
        <v>111</v>
      </c>
      <c r="Q139" s="20"/>
      <c r="R139" s="20"/>
      <c r="S139" s="20"/>
      <c r="T139" s="20"/>
      <c r="U139" s="20"/>
      <c r="V139" s="45"/>
      <c r="Z139" s="20"/>
      <c r="AA139" s="22" t="n">
        <v>5</v>
      </c>
      <c r="AB139" s="20"/>
      <c r="AC139" s="20"/>
      <c r="AD139" s="20"/>
      <c r="AE139" s="20"/>
    </row>
    <row r="140" customFormat="false" ht="15.75" hidden="false" customHeight="false" outlineLevel="0" collapsed="false">
      <c r="A140" s="12"/>
      <c r="B140" s="12"/>
      <c r="C140" s="23" t="s">
        <v>747</v>
      </c>
      <c r="D140" s="24" t="s">
        <v>94</v>
      </c>
      <c r="E140" s="25" t="s">
        <v>748</v>
      </c>
      <c r="F140" s="17" t="s">
        <v>749</v>
      </c>
      <c r="G140" s="17" t="s">
        <v>71</v>
      </c>
      <c r="H140" s="26" t="s">
        <v>72</v>
      </c>
      <c r="I140" s="17" t="s">
        <v>36</v>
      </c>
      <c r="J140" s="32" t="s">
        <v>618</v>
      </c>
      <c r="K140" s="17" t="n">
        <v>2004</v>
      </c>
      <c r="L140" s="33" t="s">
        <v>275</v>
      </c>
      <c r="M140" s="27"/>
      <c r="N140" s="17" t="s">
        <v>750</v>
      </c>
      <c r="O140" s="17"/>
      <c r="P140" s="40" t="s">
        <v>111</v>
      </c>
      <c r="Q140" s="12"/>
      <c r="R140" s="12"/>
      <c r="S140" s="12"/>
      <c r="T140" s="12"/>
      <c r="U140" s="12"/>
      <c r="V140" s="21"/>
      <c r="Z140" s="12"/>
      <c r="AA140" s="29" t="n">
        <v>5</v>
      </c>
      <c r="AB140" s="12"/>
      <c r="AC140" s="12"/>
      <c r="AD140" s="12"/>
      <c r="AE140" s="12"/>
    </row>
    <row r="141" customFormat="false" ht="15.75" hidden="false" customHeight="false" outlineLevel="0" collapsed="false">
      <c r="A141" s="12" t="str">
        <f aca="false">IF((AA141&gt;=4), "Y", "N")</f>
        <v>Y</v>
      </c>
      <c r="B141" s="74"/>
      <c r="C141" s="75" t="s">
        <v>751</v>
      </c>
      <c r="D141" s="24" t="s">
        <v>61</v>
      </c>
      <c r="E141" s="25" t="s">
        <v>752</v>
      </c>
      <c r="F141" s="76" t="s">
        <v>753</v>
      </c>
      <c r="G141" s="17" t="s">
        <v>754</v>
      </c>
      <c r="H141" s="17"/>
      <c r="I141" s="26" t="s">
        <v>166</v>
      </c>
      <c r="J141" s="32" t="s">
        <v>618</v>
      </c>
      <c r="K141" s="17" t="n">
        <v>2010</v>
      </c>
      <c r="L141" s="17"/>
      <c r="M141" s="27"/>
      <c r="N141" s="17"/>
      <c r="O141" s="17"/>
      <c r="P141" s="40" t="s">
        <v>755</v>
      </c>
      <c r="Q141" s="12"/>
      <c r="R141" s="12"/>
      <c r="S141" s="12"/>
      <c r="T141" s="12"/>
      <c r="U141" s="12"/>
      <c r="V141" s="21"/>
      <c r="Z141" s="12"/>
      <c r="AA141" s="29" t="n">
        <v>4</v>
      </c>
      <c r="AB141" s="12"/>
      <c r="AC141" s="59" t="s">
        <v>756</v>
      </c>
      <c r="AD141" s="12"/>
      <c r="AE141" s="12"/>
    </row>
    <row r="142" customFormat="false" ht="15.75" hidden="false" customHeight="false" outlineLevel="0" collapsed="false">
      <c r="A142" s="12"/>
      <c r="B142" s="13"/>
      <c r="C142" s="14" t="s">
        <v>757</v>
      </c>
      <c r="D142" s="16" t="s">
        <v>620</v>
      </c>
      <c r="E142" s="25" t="s">
        <v>758</v>
      </c>
      <c r="F142" s="17" t="s">
        <v>759</v>
      </c>
      <c r="G142" s="17" t="s">
        <v>499</v>
      </c>
      <c r="H142" s="17" t="s">
        <v>500</v>
      </c>
      <c r="I142" s="17" t="s">
        <v>36</v>
      </c>
      <c r="J142" s="32" t="s">
        <v>618</v>
      </c>
      <c r="K142" s="17"/>
      <c r="L142" s="17"/>
      <c r="M142" s="27"/>
      <c r="N142" s="17"/>
      <c r="O142" s="17"/>
      <c r="P142" s="52" t="s">
        <v>185</v>
      </c>
      <c r="Q142" s="12"/>
      <c r="R142" s="12"/>
      <c r="S142" s="12"/>
      <c r="T142" s="12"/>
      <c r="U142" s="12"/>
      <c r="V142" s="21"/>
      <c r="Z142" s="12"/>
      <c r="AA142" s="29" t="n">
        <v>1</v>
      </c>
      <c r="AB142" s="12"/>
      <c r="AC142" s="12"/>
      <c r="AD142" s="12"/>
      <c r="AE142" s="12"/>
    </row>
    <row r="143" customFormat="false" ht="15.75" hidden="false" customHeight="false" outlineLevel="0" collapsed="false">
      <c r="A143" s="12"/>
      <c r="B143" s="54"/>
      <c r="C143" s="55" t="s">
        <v>760</v>
      </c>
      <c r="D143" s="15"/>
      <c r="E143" s="16" t="s">
        <v>761</v>
      </c>
      <c r="F143" s="15" t="s">
        <v>762</v>
      </c>
      <c r="G143" s="15"/>
      <c r="H143" s="15"/>
      <c r="I143" s="17" t="s">
        <v>36</v>
      </c>
      <c r="J143" s="15" t="s">
        <v>763</v>
      </c>
      <c r="K143" s="32"/>
      <c r="L143" s="17"/>
      <c r="M143" s="18"/>
      <c r="N143" s="17"/>
      <c r="O143" s="17"/>
      <c r="P143" s="19" t="s">
        <v>39</v>
      </c>
      <c r="Q143" s="12"/>
      <c r="R143" s="12" t="s">
        <v>764</v>
      </c>
      <c r="S143" s="12"/>
      <c r="T143" s="12" t="s">
        <v>765</v>
      </c>
      <c r="U143" s="12"/>
      <c r="V143" s="21" t="s">
        <v>31</v>
      </c>
      <c r="Z143" s="12"/>
      <c r="AA143" s="29"/>
      <c r="AB143" s="18" t="s">
        <v>766</v>
      </c>
      <c r="AC143" s="12"/>
      <c r="AD143" s="12"/>
      <c r="AE143" s="12"/>
    </row>
    <row r="144" customFormat="false" ht="15.75" hidden="false" customHeight="false" outlineLevel="0" collapsed="false">
      <c r="A144" s="12"/>
      <c r="B144" s="54"/>
      <c r="C144" s="55" t="s">
        <v>767</v>
      </c>
      <c r="D144" s="24"/>
      <c r="E144" s="57" t="s">
        <v>768</v>
      </c>
      <c r="F144" s="15" t="s">
        <v>769</v>
      </c>
      <c r="G144" s="15"/>
      <c r="H144" s="15"/>
      <c r="I144" s="15" t="s">
        <v>770</v>
      </c>
      <c r="J144" s="15" t="s">
        <v>763</v>
      </c>
      <c r="K144" s="17"/>
      <c r="L144" s="17"/>
      <c r="M144" s="18"/>
      <c r="N144" s="17"/>
      <c r="O144" s="17"/>
      <c r="P144" s="19" t="s">
        <v>39</v>
      </c>
      <c r="Q144" s="12"/>
      <c r="R144" s="12"/>
      <c r="S144" s="12"/>
      <c r="T144" s="12"/>
      <c r="U144" s="12"/>
      <c r="V144" s="21"/>
      <c r="Z144" s="12"/>
      <c r="AA144" s="29"/>
      <c r="AB144" s="18" t="s">
        <v>771</v>
      </c>
      <c r="AC144" s="12"/>
      <c r="AD144" s="12"/>
      <c r="AE144" s="12"/>
    </row>
    <row r="145" customFormat="false" ht="15.75" hidden="false" customHeight="false" outlineLevel="0" collapsed="false">
      <c r="A145" s="12"/>
      <c r="B145" s="12"/>
      <c r="C145" s="23" t="s">
        <v>772</v>
      </c>
      <c r="D145" s="24"/>
      <c r="E145" s="25" t="s">
        <v>773</v>
      </c>
      <c r="F145" s="17"/>
      <c r="G145" s="17" t="s">
        <v>126</v>
      </c>
      <c r="H145" s="17"/>
      <c r="I145" s="26" t="s">
        <v>127</v>
      </c>
      <c r="J145" s="32" t="s">
        <v>205</v>
      </c>
      <c r="K145" s="17"/>
      <c r="L145" s="17"/>
      <c r="M145" s="27"/>
      <c r="N145" s="17"/>
      <c r="O145" s="17"/>
      <c r="P145" s="28" t="s">
        <v>46</v>
      </c>
      <c r="Q145" s="17"/>
      <c r="R145" s="17"/>
      <c r="S145" s="17"/>
      <c r="T145" s="17"/>
      <c r="U145" s="17"/>
      <c r="V145" s="27"/>
      <c r="Z145" s="17"/>
      <c r="AA145" s="29"/>
      <c r="AB145" s="17"/>
      <c r="AC145" s="17"/>
      <c r="AD145" s="17"/>
      <c r="AE145" s="17"/>
    </row>
    <row r="146" customFormat="false" ht="15.75" hidden="false" customHeight="false" outlineLevel="0" collapsed="false">
      <c r="A146" s="12"/>
      <c r="B146" s="12"/>
      <c r="C146" s="23" t="s">
        <v>774</v>
      </c>
      <c r="D146" s="24"/>
      <c r="E146" s="25" t="s">
        <v>775</v>
      </c>
      <c r="F146" s="17"/>
      <c r="G146" s="17" t="s">
        <v>776</v>
      </c>
      <c r="H146" s="17"/>
      <c r="I146" s="26" t="s">
        <v>45</v>
      </c>
      <c r="J146" s="32" t="s">
        <v>205</v>
      </c>
      <c r="K146" s="17"/>
      <c r="L146" s="17"/>
      <c r="M146" s="27"/>
      <c r="N146" s="17"/>
      <c r="O146" s="17"/>
      <c r="P146" s="28" t="s">
        <v>46</v>
      </c>
      <c r="Q146" s="20"/>
      <c r="R146" s="20"/>
      <c r="S146" s="20"/>
      <c r="T146" s="20"/>
      <c r="U146" s="20"/>
      <c r="V146" s="45"/>
      <c r="Z146" s="20"/>
      <c r="AA146" s="22"/>
      <c r="AB146" s="20"/>
      <c r="AC146" s="20"/>
      <c r="AD146" s="20"/>
      <c r="AE146" s="20"/>
    </row>
    <row r="147" customFormat="false" ht="15.75" hidden="false" customHeight="false" outlineLevel="0" collapsed="false">
      <c r="A147" s="12"/>
      <c r="B147" s="12"/>
      <c r="C147" s="23" t="s">
        <v>777</v>
      </c>
      <c r="D147" s="24"/>
      <c r="E147" s="25" t="s">
        <v>778</v>
      </c>
      <c r="F147" s="17"/>
      <c r="G147" s="17" t="s">
        <v>779</v>
      </c>
      <c r="H147" s="17"/>
      <c r="I147" s="26" t="s">
        <v>45</v>
      </c>
      <c r="J147" s="32" t="s">
        <v>205</v>
      </c>
      <c r="K147" s="17"/>
      <c r="L147" s="17"/>
      <c r="M147" s="27"/>
      <c r="N147" s="17"/>
      <c r="O147" s="17"/>
      <c r="P147" s="28" t="s">
        <v>46</v>
      </c>
      <c r="Q147" s="12"/>
      <c r="R147" s="12"/>
      <c r="S147" s="12"/>
      <c r="T147" s="12"/>
      <c r="U147" s="12"/>
      <c r="V147" s="21"/>
      <c r="Z147" s="12"/>
      <c r="AA147" s="29"/>
      <c r="AB147" s="12"/>
      <c r="AC147" s="12"/>
      <c r="AD147" s="12"/>
      <c r="AE147" s="12"/>
    </row>
    <row r="148" customFormat="false" ht="15.75" hidden="false" customHeight="false" outlineLevel="0" collapsed="false">
      <c r="A148" s="12"/>
      <c r="B148" s="12"/>
      <c r="C148" s="23" t="s">
        <v>780</v>
      </c>
      <c r="D148" s="24"/>
      <c r="E148" s="25" t="s">
        <v>781</v>
      </c>
      <c r="F148" s="17"/>
      <c r="G148" s="17" t="s">
        <v>44</v>
      </c>
      <c r="H148" s="17"/>
      <c r="I148" s="26" t="s">
        <v>45</v>
      </c>
      <c r="J148" s="32" t="s">
        <v>205</v>
      </c>
      <c r="K148" s="17"/>
      <c r="L148" s="17"/>
      <c r="M148" s="27"/>
      <c r="N148" s="17"/>
      <c r="O148" s="17"/>
      <c r="P148" s="28" t="s">
        <v>46</v>
      </c>
      <c r="Q148" s="20"/>
      <c r="R148" s="20"/>
      <c r="S148" s="20"/>
      <c r="T148" s="20"/>
      <c r="U148" s="20"/>
      <c r="V148" s="45"/>
      <c r="Z148" s="20"/>
      <c r="AA148" s="22"/>
      <c r="AB148" s="20"/>
      <c r="AC148" s="20"/>
      <c r="AD148" s="20"/>
      <c r="AE148" s="20"/>
    </row>
    <row r="149" customFormat="false" ht="15.75" hidden="false" customHeight="false" outlineLevel="0" collapsed="false">
      <c r="A149" s="12"/>
      <c r="B149" s="20"/>
      <c r="C149" s="48" t="s">
        <v>782</v>
      </c>
      <c r="D149" s="24" t="s">
        <v>94</v>
      </c>
      <c r="E149" s="49" t="s">
        <v>783</v>
      </c>
      <c r="F149" s="49" t="s">
        <v>784</v>
      </c>
      <c r="G149" s="17" t="s">
        <v>785</v>
      </c>
      <c r="H149" s="17"/>
      <c r="I149" s="26" t="s">
        <v>166</v>
      </c>
      <c r="J149" s="32" t="s">
        <v>205</v>
      </c>
      <c r="K149" s="17"/>
      <c r="L149" s="17"/>
      <c r="M149" s="46"/>
      <c r="N149" s="17"/>
      <c r="O149" s="17"/>
      <c r="P149" s="40" t="s">
        <v>168</v>
      </c>
      <c r="Q149" s="12"/>
      <c r="R149" s="12" t="s">
        <v>786</v>
      </c>
      <c r="S149" s="12"/>
      <c r="T149" s="12" t="s">
        <v>787</v>
      </c>
      <c r="U149" s="12" t="s">
        <v>788</v>
      </c>
      <c r="V149" s="21" t="s">
        <v>31</v>
      </c>
      <c r="X149" s="77"/>
      <c r="Z149" s="12"/>
      <c r="AA149" s="29" t="n">
        <v>2</v>
      </c>
      <c r="AB149" s="12" t="s">
        <v>789</v>
      </c>
      <c r="AC149" s="12"/>
      <c r="AD149" s="12"/>
      <c r="AE149" s="12"/>
      <c r="AF149" s="12"/>
      <c r="AG149" s="12"/>
    </row>
    <row r="150" customFormat="false" ht="15.75" hidden="false" customHeight="false" outlineLevel="0" collapsed="false">
      <c r="A150" s="12" t="str">
        <f aca="false">IF((AA150&gt;=4), "Y", "N")</f>
        <v>Y</v>
      </c>
      <c r="B150" s="20"/>
      <c r="C150" s="48" t="s">
        <v>790</v>
      </c>
      <c r="D150" s="24" t="s">
        <v>94</v>
      </c>
      <c r="E150" s="49" t="s">
        <v>791</v>
      </c>
      <c r="F150" s="49" t="s">
        <v>792</v>
      </c>
      <c r="G150" s="17"/>
      <c r="H150" s="17"/>
      <c r="I150" s="26" t="s">
        <v>166</v>
      </c>
      <c r="J150" s="32" t="s">
        <v>205</v>
      </c>
      <c r="K150" s="17"/>
      <c r="L150" s="17"/>
      <c r="M150" s="50"/>
      <c r="N150" s="17"/>
      <c r="O150" s="17"/>
      <c r="P150" s="40" t="s">
        <v>168</v>
      </c>
      <c r="Q150" s="12"/>
      <c r="R150" s="12" t="s">
        <v>793</v>
      </c>
      <c r="S150" s="12"/>
      <c r="T150" s="12" t="s">
        <v>794</v>
      </c>
      <c r="U150" s="12" t="s">
        <v>795</v>
      </c>
      <c r="V150" s="21" t="s">
        <v>31</v>
      </c>
      <c r="X150" s="77"/>
      <c r="Z150" s="12"/>
      <c r="AA150" s="29" t="n">
        <v>5</v>
      </c>
      <c r="AB150" s="12" t="s">
        <v>796</v>
      </c>
      <c r="AC150" s="12"/>
      <c r="AD150" s="12"/>
      <c r="AE150" s="12"/>
      <c r="AF150" s="12"/>
      <c r="AG150" s="12"/>
    </row>
    <row r="151" customFormat="false" ht="15.75" hidden="false" customHeight="false" outlineLevel="0" collapsed="false">
      <c r="A151" s="12"/>
      <c r="B151" s="20"/>
      <c r="C151" s="48" t="s">
        <v>797</v>
      </c>
      <c r="D151" s="24" t="s">
        <v>94</v>
      </c>
      <c r="E151" s="49" t="s">
        <v>798</v>
      </c>
      <c r="F151" s="49" t="s">
        <v>799</v>
      </c>
      <c r="G151" s="17"/>
      <c r="H151" s="17"/>
      <c r="I151" s="26" t="s">
        <v>166</v>
      </c>
      <c r="J151" s="32" t="s">
        <v>205</v>
      </c>
      <c r="K151" s="17"/>
      <c r="L151" s="17"/>
      <c r="M151" s="78"/>
      <c r="N151" s="17"/>
      <c r="O151" s="17"/>
      <c r="P151" s="40" t="s">
        <v>168</v>
      </c>
      <c r="Q151" s="12"/>
      <c r="R151" s="12" t="s">
        <v>800</v>
      </c>
      <c r="S151" s="12"/>
      <c r="T151" s="12" t="s">
        <v>801</v>
      </c>
      <c r="U151" s="12"/>
      <c r="V151" s="21" t="s">
        <v>31</v>
      </c>
      <c r="Z151" s="12"/>
      <c r="AA151" s="29" t="n">
        <v>3</v>
      </c>
      <c r="AB151" s="12" t="s">
        <v>802</v>
      </c>
      <c r="AC151" s="12"/>
      <c r="AD151" s="12"/>
      <c r="AE151" s="12"/>
      <c r="AF151" s="12"/>
      <c r="AG151" s="12"/>
    </row>
    <row r="152" customFormat="false" ht="15.75" hidden="false" customHeight="false" outlineLevel="0" collapsed="false">
      <c r="A152" s="12"/>
      <c r="B152" s="12"/>
      <c r="C152" s="23" t="s">
        <v>803</v>
      </c>
      <c r="D152" s="24" t="s">
        <v>61</v>
      </c>
      <c r="E152" s="25" t="s">
        <v>804</v>
      </c>
      <c r="F152" s="17" t="s">
        <v>805</v>
      </c>
      <c r="G152" s="17"/>
      <c r="H152" s="17"/>
      <c r="I152" s="17" t="s">
        <v>260</v>
      </c>
      <c r="J152" s="32" t="s">
        <v>205</v>
      </c>
      <c r="K152" s="17"/>
      <c r="L152" s="17"/>
      <c r="M152" s="27"/>
      <c r="N152" s="17"/>
      <c r="O152" s="17"/>
      <c r="P152" s="40" t="s">
        <v>261</v>
      </c>
      <c r="Q152" s="12"/>
      <c r="R152" s="12"/>
      <c r="S152" s="12"/>
      <c r="T152" s="12"/>
      <c r="U152" s="12"/>
      <c r="V152" s="21"/>
      <c r="Z152" s="12"/>
      <c r="AA152" s="29" t="n">
        <v>2</v>
      </c>
      <c r="AB152" s="12" t="s">
        <v>806</v>
      </c>
      <c r="AC152" s="59" t="s">
        <v>807</v>
      </c>
      <c r="AD152" s="12"/>
      <c r="AE152" s="12"/>
    </row>
    <row r="153" customFormat="false" ht="15.75" hidden="false" customHeight="false" outlineLevel="0" collapsed="false">
      <c r="A153" s="12" t="str">
        <f aca="false">IF((AA153&gt;=4), "Y", "N")</f>
        <v>Y</v>
      </c>
      <c r="B153" s="20"/>
      <c r="C153" s="48" t="s">
        <v>808</v>
      </c>
      <c r="D153" s="24" t="s">
        <v>61</v>
      </c>
      <c r="E153" s="49" t="s">
        <v>809</v>
      </c>
      <c r="F153" s="49" t="s">
        <v>810</v>
      </c>
      <c r="G153" s="17"/>
      <c r="H153" s="17"/>
      <c r="I153" s="26" t="s">
        <v>166</v>
      </c>
      <c r="J153" s="32" t="s">
        <v>205</v>
      </c>
      <c r="K153" s="17"/>
      <c r="L153" s="17"/>
      <c r="M153" s="50"/>
      <c r="N153" s="17"/>
      <c r="O153" s="17"/>
      <c r="P153" s="40" t="s">
        <v>168</v>
      </c>
      <c r="Q153" s="12"/>
      <c r="R153" s="59" t="s">
        <v>811</v>
      </c>
      <c r="S153" s="12"/>
      <c r="T153" s="12" t="s">
        <v>812</v>
      </c>
      <c r="U153" s="12" t="s">
        <v>813</v>
      </c>
      <c r="V153" s="21" t="s">
        <v>31</v>
      </c>
      <c r="Z153" s="12"/>
      <c r="AA153" s="29" t="n">
        <v>4</v>
      </c>
      <c r="AB153" s="12" t="s">
        <v>814</v>
      </c>
      <c r="AC153" s="12"/>
      <c r="AD153" s="12"/>
      <c r="AE153" s="12"/>
      <c r="AF153" s="47"/>
      <c r="AG153" s="47"/>
    </row>
    <row r="154" customFormat="false" ht="15.75" hidden="false" customHeight="false" outlineLevel="0" collapsed="false">
      <c r="A154" s="12"/>
      <c r="B154" s="20"/>
      <c r="C154" s="48" t="s">
        <v>815</v>
      </c>
      <c r="D154" s="24" t="s">
        <v>61</v>
      </c>
      <c r="E154" s="49" t="s">
        <v>816</v>
      </c>
      <c r="F154" s="49" t="s">
        <v>817</v>
      </c>
      <c r="G154" s="17"/>
      <c r="H154" s="17"/>
      <c r="I154" s="26" t="s">
        <v>166</v>
      </c>
      <c r="J154" s="32" t="s">
        <v>205</v>
      </c>
      <c r="K154" s="17"/>
      <c r="L154" s="17"/>
      <c r="M154" s="50"/>
      <c r="N154" s="17"/>
      <c r="O154" s="17"/>
      <c r="P154" s="40" t="s">
        <v>168</v>
      </c>
      <c r="Q154" s="12"/>
      <c r="R154" s="12" t="s">
        <v>818</v>
      </c>
      <c r="S154" s="12"/>
      <c r="T154" s="12" t="s">
        <v>819</v>
      </c>
      <c r="U154" s="12"/>
      <c r="V154" s="21" t="s">
        <v>31</v>
      </c>
      <c r="Z154" s="12"/>
      <c r="AA154" s="29" t="n">
        <v>3</v>
      </c>
      <c r="AB154" s="12" t="s">
        <v>820</v>
      </c>
      <c r="AC154" s="12"/>
      <c r="AD154" s="12"/>
      <c r="AE154" s="12"/>
      <c r="AF154" s="47"/>
      <c r="AG154" s="47"/>
    </row>
    <row r="155" customFormat="false" ht="15.75" hidden="false" customHeight="false" outlineLevel="0" collapsed="false">
      <c r="A155" s="12" t="str">
        <f aca="false">IF((AA155&gt;=4), "Y", "N")</f>
        <v>Y</v>
      </c>
      <c r="B155" s="20"/>
      <c r="C155" s="48" t="s">
        <v>821</v>
      </c>
      <c r="D155" s="24" t="s">
        <v>61</v>
      </c>
      <c r="E155" s="49" t="s">
        <v>822</v>
      </c>
      <c r="F155" s="49" t="s">
        <v>823</v>
      </c>
      <c r="G155" s="17"/>
      <c r="H155" s="17"/>
      <c r="I155" s="26" t="s">
        <v>166</v>
      </c>
      <c r="J155" s="32" t="s">
        <v>205</v>
      </c>
      <c r="K155" s="17"/>
      <c r="L155" s="17"/>
      <c r="M155" s="50"/>
      <c r="N155" s="17"/>
      <c r="O155" s="17"/>
      <c r="P155" s="40" t="s">
        <v>168</v>
      </c>
      <c r="Q155" s="12"/>
      <c r="R155" s="12"/>
      <c r="S155" s="12"/>
      <c r="T155" s="12" t="s">
        <v>824</v>
      </c>
      <c r="U155" s="12" t="s">
        <v>825</v>
      </c>
      <c r="V155" s="21" t="s">
        <v>31</v>
      </c>
      <c r="Z155" s="12"/>
      <c r="AA155" s="29" t="n">
        <v>5</v>
      </c>
      <c r="AB155" s="12" t="s">
        <v>826</v>
      </c>
      <c r="AC155" s="59" t="s">
        <v>827</v>
      </c>
      <c r="AD155" s="12"/>
      <c r="AE155" s="12"/>
      <c r="AG155" s="47"/>
    </row>
    <row r="156" customFormat="false" ht="15.75" hidden="false" customHeight="false" outlineLevel="0" collapsed="false">
      <c r="A156" s="12"/>
      <c r="B156" s="20"/>
      <c r="C156" s="48" t="s">
        <v>828</v>
      </c>
      <c r="D156" s="24" t="s">
        <v>61</v>
      </c>
      <c r="E156" s="49" t="s">
        <v>829</v>
      </c>
      <c r="F156" s="49" t="s">
        <v>830</v>
      </c>
      <c r="G156" s="17"/>
      <c r="H156" s="17"/>
      <c r="I156" s="26" t="s">
        <v>166</v>
      </c>
      <c r="J156" s="32" t="s">
        <v>205</v>
      </c>
      <c r="K156" s="17"/>
      <c r="L156" s="17"/>
      <c r="M156" s="50"/>
      <c r="N156" s="17"/>
      <c r="O156" s="17"/>
      <c r="P156" s="40" t="s">
        <v>168</v>
      </c>
      <c r="Q156" s="12"/>
      <c r="R156" s="12" t="s">
        <v>831</v>
      </c>
      <c r="S156" s="12"/>
      <c r="T156" s="12" t="s">
        <v>832</v>
      </c>
      <c r="U156" s="12"/>
      <c r="V156" s="21" t="s">
        <v>31</v>
      </c>
      <c r="Z156" s="12"/>
      <c r="AA156" s="29" t="n">
        <v>3</v>
      </c>
      <c r="AB156" s="12" t="s">
        <v>833</v>
      </c>
      <c r="AC156" s="59" t="s">
        <v>834</v>
      </c>
      <c r="AD156" s="12"/>
      <c r="AE156" s="12"/>
      <c r="AF156" s="47"/>
      <c r="AG156" s="47"/>
    </row>
    <row r="157" customFormat="false" ht="15.75" hidden="false" customHeight="false" outlineLevel="0" collapsed="false">
      <c r="A157" s="12" t="str">
        <f aca="false">IF((AA157&gt;=4), "Y", "N")</f>
        <v>Y</v>
      </c>
      <c r="B157" s="20"/>
      <c r="C157" s="48" t="s">
        <v>835</v>
      </c>
      <c r="D157" s="24" t="s">
        <v>61</v>
      </c>
      <c r="E157" s="49" t="s">
        <v>836</v>
      </c>
      <c r="F157" s="49" t="s">
        <v>837</v>
      </c>
      <c r="G157" s="17"/>
      <c r="H157" s="17"/>
      <c r="I157" s="26" t="s">
        <v>166</v>
      </c>
      <c r="J157" s="32" t="s">
        <v>205</v>
      </c>
      <c r="K157" s="17"/>
      <c r="L157" s="17"/>
      <c r="M157" s="50"/>
      <c r="N157" s="17"/>
      <c r="O157" s="17"/>
      <c r="P157" s="40" t="s">
        <v>168</v>
      </c>
      <c r="Q157" s="12"/>
      <c r="R157" s="12" t="s">
        <v>838</v>
      </c>
      <c r="S157" s="12"/>
      <c r="T157" s="12" t="s">
        <v>839</v>
      </c>
      <c r="U157" s="12" t="s">
        <v>840</v>
      </c>
      <c r="V157" s="21" t="s">
        <v>31</v>
      </c>
      <c r="Z157" s="12"/>
      <c r="AA157" s="29" t="n">
        <v>4</v>
      </c>
      <c r="AB157" s="12" t="s">
        <v>841</v>
      </c>
      <c r="AC157" s="59" t="s">
        <v>842</v>
      </c>
      <c r="AD157" s="12"/>
      <c r="AE157" s="12"/>
      <c r="AF157" s="47"/>
      <c r="AG157" s="47"/>
    </row>
    <row r="158" customFormat="false" ht="15.75" hidden="false" customHeight="false" outlineLevel="0" collapsed="false">
      <c r="A158" s="12" t="str">
        <f aca="false">IF((AA158&gt;=4), "Y", "N")</f>
        <v>Y</v>
      </c>
      <c r="B158" s="20"/>
      <c r="C158" s="48" t="s">
        <v>843</v>
      </c>
      <c r="D158" s="24" t="s">
        <v>61</v>
      </c>
      <c r="E158" s="49" t="s">
        <v>844</v>
      </c>
      <c r="F158" s="49" t="s">
        <v>845</v>
      </c>
      <c r="G158" s="17"/>
      <c r="H158" s="17"/>
      <c r="I158" s="26" t="s">
        <v>166</v>
      </c>
      <c r="J158" s="32" t="s">
        <v>205</v>
      </c>
      <c r="K158" s="17"/>
      <c r="L158" s="17"/>
      <c r="M158" s="50"/>
      <c r="N158" s="17"/>
      <c r="O158" s="17"/>
      <c r="P158" s="40" t="s">
        <v>168</v>
      </c>
      <c r="Q158" s="12"/>
      <c r="R158" s="12" t="s">
        <v>846</v>
      </c>
      <c r="S158" s="12"/>
      <c r="T158" s="12" t="s">
        <v>847</v>
      </c>
      <c r="U158" s="12"/>
      <c r="V158" s="21" t="s">
        <v>31</v>
      </c>
      <c r="Z158" s="12"/>
      <c r="AA158" s="29" t="n">
        <v>4</v>
      </c>
      <c r="AB158" s="12" t="s">
        <v>848</v>
      </c>
      <c r="AC158" s="59" t="s">
        <v>849</v>
      </c>
      <c r="AD158" s="12"/>
      <c r="AE158" s="12"/>
      <c r="AG158" s="47"/>
    </row>
    <row r="159" customFormat="false" ht="15.75" hidden="false" customHeight="false" outlineLevel="0" collapsed="false">
      <c r="A159" s="12" t="str">
        <f aca="false">IF((AA159&gt;=4), "Y", "N")</f>
        <v>Y</v>
      </c>
      <c r="B159" s="12"/>
      <c r="C159" s="23" t="s">
        <v>850</v>
      </c>
      <c r="D159" s="24" t="s">
        <v>94</v>
      </c>
      <c r="E159" s="25" t="s">
        <v>851</v>
      </c>
      <c r="F159" s="17" t="s">
        <v>852</v>
      </c>
      <c r="G159" s="17" t="s">
        <v>476</v>
      </c>
      <c r="H159" s="26" t="s">
        <v>477</v>
      </c>
      <c r="I159" s="17" t="s">
        <v>36</v>
      </c>
      <c r="J159" s="32" t="s">
        <v>205</v>
      </c>
      <c r="K159" s="17" t="n">
        <v>2011</v>
      </c>
      <c r="L159" s="38" t="s">
        <v>109</v>
      </c>
      <c r="M159" s="27"/>
      <c r="N159" s="39" t="s">
        <v>315</v>
      </c>
      <c r="O159" s="17"/>
      <c r="P159" s="40" t="s">
        <v>111</v>
      </c>
      <c r="Q159" s="12"/>
      <c r="R159" s="12"/>
      <c r="S159" s="12"/>
      <c r="T159" s="12"/>
      <c r="U159" s="12"/>
      <c r="V159" s="21"/>
      <c r="Z159" s="12"/>
      <c r="AA159" s="29" t="n">
        <v>5</v>
      </c>
      <c r="AB159" s="12"/>
      <c r="AC159" s="12"/>
      <c r="AD159" s="12"/>
      <c r="AE159" s="12"/>
    </row>
    <row r="160" customFormat="false" ht="15.75" hidden="false" customHeight="false" outlineLevel="0" collapsed="false">
      <c r="A160" s="12" t="str">
        <f aca="false">IF((AA160&gt;=4), "Y", "N")</f>
        <v>Y</v>
      </c>
      <c r="B160" s="13"/>
      <c r="C160" s="31" t="s">
        <v>853</v>
      </c>
      <c r="D160" s="16" t="s">
        <v>94</v>
      </c>
      <c r="E160" s="32" t="s">
        <v>854</v>
      </c>
      <c r="F160" s="32" t="s">
        <v>855</v>
      </c>
      <c r="G160" s="32" t="s">
        <v>856</v>
      </c>
      <c r="H160" s="26" t="s">
        <v>72</v>
      </c>
      <c r="I160" s="17" t="s">
        <v>36</v>
      </c>
      <c r="J160" s="32" t="s">
        <v>205</v>
      </c>
      <c r="K160" s="33" t="n">
        <v>2007</v>
      </c>
      <c r="L160" s="33" t="s">
        <v>99</v>
      </c>
      <c r="M160" s="27"/>
      <c r="N160" s="65" t="s">
        <v>857</v>
      </c>
      <c r="O160" s="17"/>
      <c r="P160" s="19" t="s">
        <v>76</v>
      </c>
      <c r="Q160" s="12"/>
      <c r="R160" s="12" t="s">
        <v>858</v>
      </c>
      <c r="S160" s="12"/>
      <c r="T160" s="12" t="s">
        <v>859</v>
      </c>
      <c r="U160" s="12"/>
      <c r="V160" s="21" t="s">
        <v>31</v>
      </c>
      <c r="Z160" s="12"/>
      <c r="AA160" s="22" t="str">
        <f aca="false">IF(P160="OD500 US (submitted)", "5", " ")</f>
        <v>5</v>
      </c>
      <c r="AB160" s="12"/>
      <c r="AC160" s="12"/>
      <c r="AD160" s="12"/>
      <c r="AE160" s="12"/>
    </row>
    <row r="161" customFormat="false" ht="15.75" hidden="false" customHeight="false" outlineLevel="0" collapsed="false">
      <c r="A161" s="12" t="str">
        <f aca="false">IF((AA161&gt;=4), "Y", "N")</f>
        <v>Y</v>
      </c>
      <c r="B161" s="13"/>
      <c r="C161" s="14" t="s">
        <v>860</v>
      </c>
      <c r="D161" s="24" t="s">
        <v>51</v>
      </c>
      <c r="E161" s="25" t="s">
        <v>861</v>
      </c>
      <c r="F161" s="17" t="s">
        <v>862</v>
      </c>
      <c r="G161" s="17" t="s">
        <v>478</v>
      </c>
      <c r="H161" s="17"/>
      <c r="I161" s="26" t="s">
        <v>724</v>
      </c>
      <c r="J161" s="32" t="s">
        <v>205</v>
      </c>
      <c r="K161" s="17"/>
      <c r="L161" s="17"/>
      <c r="M161" s="27"/>
      <c r="N161" s="17"/>
      <c r="O161" s="17"/>
      <c r="P161" s="52" t="s">
        <v>185</v>
      </c>
      <c r="Q161" s="12"/>
      <c r="R161" s="12"/>
      <c r="S161" s="12"/>
      <c r="T161" s="12"/>
      <c r="U161" s="12"/>
      <c r="V161" s="21"/>
      <c r="Z161" s="12"/>
      <c r="AA161" s="29" t="n">
        <v>5</v>
      </c>
      <c r="AB161" s="12"/>
      <c r="AC161" s="12"/>
      <c r="AD161" s="12"/>
      <c r="AE161" s="12"/>
    </row>
    <row r="162" customFormat="false" ht="15.75" hidden="false" customHeight="false" outlineLevel="0" collapsed="false">
      <c r="A162" s="12" t="str">
        <f aca="false">IF((AA162&gt;=4), "Y", "N")</f>
        <v>Y</v>
      </c>
      <c r="B162" s="13"/>
      <c r="C162" s="14" t="s">
        <v>863</v>
      </c>
      <c r="D162" s="24" t="s">
        <v>51</v>
      </c>
      <c r="E162" s="25" t="s">
        <v>864</v>
      </c>
      <c r="F162" s="17" t="s">
        <v>865</v>
      </c>
      <c r="G162" s="17" t="s">
        <v>478</v>
      </c>
      <c r="H162" s="17"/>
      <c r="I162" s="26" t="s">
        <v>724</v>
      </c>
      <c r="J162" s="32" t="s">
        <v>205</v>
      </c>
      <c r="K162" s="17"/>
      <c r="L162" s="17"/>
      <c r="M162" s="27"/>
      <c r="N162" s="17"/>
      <c r="O162" s="17"/>
      <c r="P162" s="52" t="s">
        <v>185</v>
      </c>
      <c r="Q162" s="12"/>
      <c r="R162" s="12"/>
      <c r="S162" s="12"/>
      <c r="T162" s="12" t="s">
        <v>866</v>
      </c>
      <c r="U162" s="12" t="s">
        <v>867</v>
      </c>
      <c r="V162" s="21"/>
      <c r="Z162" s="12"/>
      <c r="AA162" s="29" t="n">
        <v>4</v>
      </c>
      <c r="AB162" s="12"/>
      <c r="AC162" s="12"/>
      <c r="AD162" s="12"/>
      <c r="AE162" s="12"/>
    </row>
    <row r="163" customFormat="false" ht="15.75" hidden="false" customHeight="false" outlineLevel="0" collapsed="false">
      <c r="A163" s="12"/>
      <c r="B163" s="13"/>
      <c r="C163" s="14" t="s">
        <v>868</v>
      </c>
      <c r="D163" s="24" t="s">
        <v>51</v>
      </c>
      <c r="E163" s="25" t="s">
        <v>869</v>
      </c>
      <c r="F163" s="17" t="s">
        <v>870</v>
      </c>
      <c r="G163" s="17" t="s">
        <v>478</v>
      </c>
      <c r="H163" s="17"/>
      <c r="I163" s="17"/>
      <c r="J163" s="32" t="s">
        <v>205</v>
      </c>
      <c r="K163" s="17"/>
      <c r="L163" s="17"/>
      <c r="M163" s="27"/>
      <c r="N163" s="17"/>
      <c r="O163" s="17"/>
      <c r="P163" s="52" t="s">
        <v>185</v>
      </c>
      <c r="Q163" s="12"/>
      <c r="R163" s="12"/>
      <c r="S163" s="12"/>
      <c r="T163" s="12"/>
      <c r="U163" s="12"/>
      <c r="V163" s="21"/>
      <c r="Z163" s="12"/>
      <c r="AA163" s="29" t="n">
        <v>3</v>
      </c>
      <c r="AB163" s="12"/>
      <c r="AC163" s="12"/>
      <c r="AD163" s="12"/>
      <c r="AE163" s="12"/>
    </row>
    <row r="164" customFormat="false" ht="15.75" hidden="false" customHeight="false" outlineLevel="0" collapsed="false">
      <c r="A164" s="12" t="s">
        <v>193</v>
      </c>
      <c r="B164" s="13" t="s">
        <v>32</v>
      </c>
      <c r="C164" s="14" t="s">
        <v>871</v>
      </c>
      <c r="D164" s="24" t="s">
        <v>620</v>
      </c>
      <c r="E164" s="25" t="s">
        <v>872</v>
      </c>
      <c r="F164" s="17" t="s">
        <v>873</v>
      </c>
      <c r="G164" s="17" t="s">
        <v>478</v>
      </c>
      <c r="H164" s="17"/>
      <c r="I164" s="17"/>
      <c r="J164" s="32" t="s">
        <v>205</v>
      </c>
      <c r="K164" s="17"/>
      <c r="L164" s="17"/>
      <c r="M164" s="27"/>
      <c r="N164" s="17"/>
      <c r="O164" s="17"/>
      <c r="P164" s="52" t="s">
        <v>185</v>
      </c>
      <c r="Q164" s="12"/>
      <c r="R164" s="12"/>
      <c r="S164" s="12"/>
      <c r="T164" s="12"/>
      <c r="U164" s="12"/>
      <c r="V164" s="21"/>
      <c r="Z164" s="12"/>
      <c r="AA164" s="29" t="n">
        <v>1</v>
      </c>
      <c r="AB164" s="12" t="s">
        <v>874</v>
      </c>
      <c r="AC164" s="12"/>
      <c r="AD164" s="12"/>
      <c r="AE164" s="12"/>
    </row>
    <row r="165" customFormat="false" ht="15.75" hidden="false" customHeight="false" outlineLevel="0" collapsed="false">
      <c r="A165" s="12"/>
      <c r="B165" s="13"/>
      <c r="C165" s="14" t="s">
        <v>875</v>
      </c>
      <c r="D165" s="24" t="s">
        <v>51</v>
      </c>
      <c r="E165" s="25" t="s">
        <v>876</v>
      </c>
      <c r="F165" s="17" t="s">
        <v>877</v>
      </c>
      <c r="G165" s="17" t="s">
        <v>478</v>
      </c>
      <c r="H165" s="17"/>
      <c r="I165" s="17" t="s">
        <v>36</v>
      </c>
      <c r="J165" s="32" t="s">
        <v>205</v>
      </c>
      <c r="K165" s="17"/>
      <c r="L165" s="17"/>
      <c r="M165" s="27"/>
      <c r="N165" s="17"/>
      <c r="O165" s="17"/>
      <c r="P165" s="52" t="s">
        <v>185</v>
      </c>
      <c r="Q165" s="12"/>
      <c r="R165" s="12"/>
      <c r="S165" s="12"/>
      <c r="T165" s="12"/>
      <c r="U165" s="12"/>
      <c r="V165" s="21"/>
      <c r="Z165" s="12"/>
      <c r="AA165" s="29" t="n">
        <v>1</v>
      </c>
      <c r="AB165" s="12"/>
      <c r="AC165" s="12"/>
      <c r="AD165" s="12"/>
      <c r="AE165" s="12"/>
    </row>
    <row r="166" customFormat="false" ht="15.75" hidden="false" customHeight="false" outlineLevel="0" collapsed="false">
      <c r="A166" s="12" t="str">
        <f aca="false">IF((AA166&gt;=4), "Y", "N")</f>
        <v>Y</v>
      </c>
      <c r="B166" s="13"/>
      <c r="C166" s="14" t="s">
        <v>878</v>
      </c>
      <c r="D166" s="24" t="s">
        <v>61</v>
      </c>
      <c r="E166" s="25" t="s">
        <v>879</v>
      </c>
      <c r="F166" s="17" t="s">
        <v>880</v>
      </c>
      <c r="G166" s="17" t="s">
        <v>881</v>
      </c>
      <c r="H166" s="17"/>
      <c r="I166" s="26" t="s">
        <v>882</v>
      </c>
      <c r="J166" s="32" t="s">
        <v>205</v>
      </c>
      <c r="K166" s="17"/>
      <c r="L166" s="17"/>
      <c r="M166" s="27"/>
      <c r="N166" s="17"/>
      <c r="O166" s="17"/>
      <c r="P166" s="52" t="s">
        <v>185</v>
      </c>
      <c r="Q166" s="12"/>
      <c r="R166" s="12"/>
      <c r="S166" s="12"/>
      <c r="T166" s="12"/>
      <c r="U166" s="12"/>
      <c r="V166" s="21"/>
      <c r="Z166" s="12"/>
      <c r="AA166" s="29" t="n">
        <v>4</v>
      </c>
      <c r="AB166" s="12"/>
      <c r="AC166" s="12"/>
      <c r="AD166" s="12"/>
      <c r="AE166" s="12"/>
    </row>
    <row r="167" customFormat="false" ht="15.75" hidden="false" customHeight="false" outlineLevel="0" collapsed="false">
      <c r="A167" s="12"/>
      <c r="B167" s="13"/>
      <c r="C167" s="14" t="s">
        <v>883</v>
      </c>
      <c r="D167" s="24" t="s">
        <v>51</v>
      </c>
      <c r="E167" s="25" t="s">
        <v>884</v>
      </c>
      <c r="F167" s="17" t="s">
        <v>885</v>
      </c>
      <c r="G167" s="17" t="s">
        <v>478</v>
      </c>
      <c r="H167" s="17"/>
      <c r="I167" s="26" t="s">
        <v>886</v>
      </c>
      <c r="J167" s="32" t="s">
        <v>205</v>
      </c>
      <c r="K167" s="17"/>
      <c r="L167" s="17"/>
      <c r="M167" s="27"/>
      <c r="N167" s="17"/>
      <c r="O167" s="17"/>
      <c r="P167" s="52" t="s">
        <v>185</v>
      </c>
      <c r="Q167" s="12"/>
      <c r="R167" s="12"/>
      <c r="S167" s="12"/>
      <c r="T167" s="12" t="s">
        <v>887</v>
      </c>
      <c r="U167" s="12"/>
      <c r="V167" s="21"/>
      <c r="Z167" s="12"/>
      <c r="AA167" s="29" t="n">
        <v>3</v>
      </c>
      <c r="AB167" s="12"/>
      <c r="AC167" s="12"/>
      <c r="AD167" s="12"/>
      <c r="AE167" s="12"/>
    </row>
    <row r="168" customFormat="false" ht="15.75" hidden="false" customHeight="false" outlineLevel="0" collapsed="false">
      <c r="A168" s="12"/>
      <c r="B168" s="13"/>
      <c r="C168" s="14" t="s">
        <v>888</v>
      </c>
      <c r="D168" s="24" t="s">
        <v>51</v>
      </c>
      <c r="E168" s="25" t="s">
        <v>185</v>
      </c>
      <c r="F168" s="17" t="s">
        <v>889</v>
      </c>
      <c r="G168" s="17" t="s">
        <v>478</v>
      </c>
      <c r="H168" s="17"/>
      <c r="I168" s="17" t="s">
        <v>131</v>
      </c>
      <c r="J168" s="32" t="s">
        <v>205</v>
      </c>
      <c r="K168" s="17"/>
      <c r="L168" s="17"/>
      <c r="M168" s="27"/>
      <c r="N168" s="17"/>
      <c r="O168" s="17"/>
      <c r="P168" s="52" t="s">
        <v>185</v>
      </c>
      <c r="Q168" s="12"/>
      <c r="R168" s="12"/>
      <c r="S168" s="12"/>
      <c r="T168" s="12"/>
      <c r="U168" s="12"/>
      <c r="V168" s="21"/>
      <c r="Z168" s="12"/>
      <c r="AA168" s="29" t="n">
        <v>3</v>
      </c>
      <c r="AB168" s="12"/>
      <c r="AC168" s="12"/>
      <c r="AD168" s="12"/>
      <c r="AE168" s="12"/>
    </row>
    <row r="169" customFormat="false" ht="15.75" hidden="false" customHeight="false" outlineLevel="0" collapsed="false">
      <c r="A169" s="12" t="str">
        <f aca="false">IF((AA169&gt;=4), "Y", "N")</f>
        <v>Y</v>
      </c>
      <c r="B169" s="13"/>
      <c r="C169" s="14" t="s">
        <v>890</v>
      </c>
      <c r="D169" s="24" t="s">
        <v>61</v>
      </c>
      <c r="E169" s="25" t="s">
        <v>891</v>
      </c>
      <c r="F169" s="39" t="s">
        <v>892</v>
      </c>
      <c r="G169" s="17" t="s">
        <v>893</v>
      </c>
      <c r="H169" s="17" t="s">
        <v>390</v>
      </c>
      <c r="I169" s="17" t="s">
        <v>36</v>
      </c>
      <c r="J169" s="32" t="s">
        <v>205</v>
      </c>
      <c r="K169" s="17" t="n">
        <v>1997</v>
      </c>
      <c r="L169" s="17"/>
      <c r="M169" s="27"/>
      <c r="N169" s="17"/>
      <c r="O169" s="17"/>
      <c r="P169" s="40" t="s">
        <v>526</v>
      </c>
      <c r="Q169" s="12"/>
      <c r="R169" s="12"/>
      <c r="S169" s="12"/>
      <c r="T169" s="12" t="s">
        <v>894</v>
      </c>
      <c r="U169" s="12"/>
      <c r="V169" s="21"/>
      <c r="Z169" s="12"/>
      <c r="AA169" s="29" t="n">
        <v>5</v>
      </c>
      <c r="AB169" s="12"/>
      <c r="AC169" s="59" t="s">
        <v>895</v>
      </c>
      <c r="AD169" s="12"/>
      <c r="AE169" s="12"/>
    </row>
    <row r="170" customFormat="false" ht="15.75" hidden="false" customHeight="false" outlineLevel="0" collapsed="false">
      <c r="A170" s="12" t="str">
        <f aca="false">IF((AA170&gt;=4), "Y", "N")</f>
        <v>Y</v>
      </c>
      <c r="B170" s="13" t="s">
        <v>32</v>
      </c>
      <c r="C170" s="31" t="s">
        <v>896</v>
      </c>
      <c r="D170" s="16" t="s">
        <v>94</v>
      </c>
      <c r="E170" s="32" t="s">
        <v>897</v>
      </c>
      <c r="F170" s="32" t="s">
        <v>898</v>
      </c>
      <c r="G170" s="32" t="s">
        <v>368</v>
      </c>
      <c r="H170" s="17" t="s">
        <v>369</v>
      </c>
      <c r="I170" s="17" t="s">
        <v>36</v>
      </c>
      <c r="J170" s="32" t="s">
        <v>205</v>
      </c>
      <c r="K170" s="33" t="n">
        <v>2010</v>
      </c>
      <c r="L170" s="33" t="s">
        <v>109</v>
      </c>
      <c r="M170" s="17"/>
      <c r="N170" s="34" t="s">
        <v>899</v>
      </c>
      <c r="O170" s="17"/>
      <c r="P170" s="19" t="s">
        <v>76</v>
      </c>
      <c r="Q170" s="32"/>
      <c r="R170" s="32" t="s">
        <v>900</v>
      </c>
      <c r="S170" s="32"/>
      <c r="T170" s="32" t="s">
        <v>901</v>
      </c>
      <c r="U170" s="20"/>
      <c r="V170" s="21" t="s">
        <v>31</v>
      </c>
      <c r="X170" s="77"/>
      <c r="Z170" s="20"/>
      <c r="AA170" s="22" t="str">
        <f aca="false">IF(P170="OD500 US (submitted)", "5", " ")</f>
        <v>5</v>
      </c>
      <c r="AB170" s="45" t="s">
        <v>902</v>
      </c>
      <c r="AC170" s="51" t="s">
        <v>903</v>
      </c>
      <c r="AD170" s="20"/>
      <c r="AE170" s="20"/>
      <c r="AF170" s="13"/>
      <c r="AG170" s="13"/>
    </row>
    <row r="171" customFormat="false" ht="15.75" hidden="false" customHeight="false" outlineLevel="0" collapsed="false">
      <c r="A171" s="12"/>
      <c r="B171" s="12"/>
      <c r="C171" s="23" t="s">
        <v>904</v>
      </c>
      <c r="D171" s="24"/>
      <c r="E171" s="17"/>
      <c r="F171" s="17"/>
      <c r="G171" s="17"/>
      <c r="H171" s="17"/>
      <c r="I171" s="17" t="s">
        <v>905</v>
      </c>
      <c r="J171" s="32" t="s">
        <v>205</v>
      </c>
      <c r="K171" s="17"/>
      <c r="L171" s="17"/>
      <c r="M171" s="27"/>
      <c r="N171" s="17"/>
      <c r="O171" s="17"/>
      <c r="P171" s="40" t="s">
        <v>526</v>
      </c>
      <c r="Q171" s="12"/>
      <c r="R171" s="12"/>
      <c r="S171" s="12"/>
      <c r="T171" s="12"/>
      <c r="U171" s="12"/>
      <c r="V171" s="21"/>
      <c r="Z171" s="12"/>
      <c r="AA171" s="29"/>
      <c r="AB171" s="12"/>
      <c r="AC171" s="12"/>
      <c r="AD171" s="12"/>
      <c r="AE171" s="12"/>
    </row>
    <row r="172" customFormat="false" ht="15.75" hidden="false" customHeight="false" outlineLevel="0" collapsed="false">
      <c r="A172" s="12" t="str">
        <f aca="false">IF((AA172&gt;=4), "Y", "N")</f>
        <v>Y</v>
      </c>
      <c r="B172" s="13"/>
      <c r="C172" s="31" t="s">
        <v>906</v>
      </c>
      <c r="D172" s="16" t="s">
        <v>94</v>
      </c>
      <c r="E172" s="32" t="s">
        <v>907</v>
      </c>
      <c r="F172" s="32" t="s">
        <v>908</v>
      </c>
      <c r="G172" s="32" t="s">
        <v>909</v>
      </c>
      <c r="H172" s="17" t="s">
        <v>353</v>
      </c>
      <c r="I172" s="17" t="s">
        <v>36</v>
      </c>
      <c r="J172" s="32" t="s">
        <v>205</v>
      </c>
      <c r="K172" s="33" t="n">
        <v>2007</v>
      </c>
      <c r="L172" s="33" t="s">
        <v>109</v>
      </c>
      <c r="M172" s="27"/>
      <c r="N172" s="34" t="s">
        <v>899</v>
      </c>
      <c r="O172" s="17"/>
      <c r="P172" s="19" t="s">
        <v>76</v>
      </c>
      <c r="Q172" s="20"/>
      <c r="R172" s="20" t="s">
        <v>910</v>
      </c>
      <c r="S172" s="20"/>
      <c r="T172" s="20" t="s">
        <v>911</v>
      </c>
      <c r="U172" s="20"/>
      <c r="V172" s="21" t="s">
        <v>31</v>
      </c>
      <c r="Z172" s="20"/>
      <c r="AA172" s="22" t="str">
        <f aca="false">IF(P172="OD500 US (submitted)", "5", " ")</f>
        <v>5</v>
      </c>
      <c r="AB172" s="20" t="s">
        <v>912</v>
      </c>
      <c r="AC172" s="20"/>
      <c r="AD172" s="20"/>
      <c r="AE172" s="20"/>
      <c r="AF172" s="13"/>
      <c r="AG172" s="13"/>
    </row>
    <row r="173" customFormat="false" ht="15.75" hidden="false" customHeight="false" outlineLevel="0" collapsed="false">
      <c r="A173" s="12"/>
      <c r="B173" s="12"/>
      <c r="C173" s="23" t="s">
        <v>913</v>
      </c>
      <c r="D173" s="24"/>
      <c r="E173" s="17"/>
      <c r="F173" s="17"/>
      <c r="G173" s="17"/>
      <c r="H173" s="17"/>
      <c r="I173" s="17" t="s">
        <v>260</v>
      </c>
      <c r="J173" s="32" t="s">
        <v>205</v>
      </c>
      <c r="K173" s="17"/>
      <c r="L173" s="17"/>
      <c r="M173" s="27"/>
      <c r="N173" s="17"/>
      <c r="O173" s="17"/>
      <c r="P173" s="40" t="s">
        <v>261</v>
      </c>
      <c r="Q173" s="12"/>
      <c r="R173" s="12"/>
      <c r="S173" s="12"/>
      <c r="T173" s="12"/>
      <c r="U173" s="12"/>
      <c r="V173" s="21"/>
      <c r="Z173" s="12"/>
      <c r="AA173" s="29"/>
      <c r="AB173" s="12"/>
      <c r="AC173" s="12"/>
      <c r="AD173" s="12"/>
      <c r="AE173" s="12"/>
    </row>
    <row r="174" customFormat="false" ht="15.75" hidden="false" customHeight="false" outlineLevel="0" collapsed="false">
      <c r="A174" s="12" t="str">
        <f aca="false">IF((AA174&gt;=4), "Y", "N")</f>
        <v>Y</v>
      </c>
      <c r="B174" s="12"/>
      <c r="C174" s="23" t="s">
        <v>914</v>
      </c>
      <c r="D174" s="24" t="s">
        <v>61</v>
      </c>
      <c r="E174" s="25" t="s">
        <v>915</v>
      </c>
      <c r="F174" s="17" t="s">
        <v>916</v>
      </c>
      <c r="G174" s="17" t="s">
        <v>917</v>
      </c>
      <c r="H174" s="17" t="s">
        <v>918</v>
      </c>
      <c r="I174" s="17" t="s">
        <v>36</v>
      </c>
      <c r="J174" s="32" t="s">
        <v>205</v>
      </c>
      <c r="K174" s="17" t="n">
        <v>1969</v>
      </c>
      <c r="L174" s="33" t="s">
        <v>275</v>
      </c>
      <c r="M174" s="27"/>
      <c r="N174" s="17" t="s">
        <v>919</v>
      </c>
      <c r="O174" s="17"/>
      <c r="P174" s="40" t="s">
        <v>111</v>
      </c>
      <c r="V174" s="60"/>
      <c r="AA174" s="63" t="n">
        <v>5</v>
      </c>
      <c r="AB174" s="47" t="s">
        <v>920</v>
      </c>
      <c r="AC174" s="69" t="s">
        <v>921</v>
      </c>
    </row>
    <row r="175" customFormat="false" ht="15.75" hidden="false" customHeight="false" outlineLevel="0" collapsed="false">
      <c r="A175" s="12" t="str">
        <f aca="false">IF((AA175&gt;=4), "Y", "N")</f>
        <v>Y</v>
      </c>
      <c r="B175" s="12"/>
      <c r="C175" s="23" t="s">
        <v>922</v>
      </c>
      <c r="D175" s="16" t="s">
        <v>94</v>
      </c>
      <c r="E175" s="25" t="s">
        <v>923</v>
      </c>
      <c r="F175" s="17" t="s">
        <v>924</v>
      </c>
      <c r="G175" s="17" t="s">
        <v>731</v>
      </c>
      <c r="H175" s="17" t="s">
        <v>72</v>
      </c>
      <c r="I175" s="17" t="s">
        <v>36</v>
      </c>
      <c r="J175" s="32" t="s">
        <v>205</v>
      </c>
      <c r="K175" s="17" t="n">
        <v>2009</v>
      </c>
      <c r="L175" s="33" t="s">
        <v>275</v>
      </c>
      <c r="M175" s="27"/>
      <c r="N175" s="17" t="s">
        <v>478</v>
      </c>
      <c r="O175" s="17"/>
      <c r="P175" s="40" t="s">
        <v>111</v>
      </c>
      <c r="V175" s="60"/>
      <c r="AA175" s="63" t="n">
        <v>5</v>
      </c>
      <c r="AB175" s="47" t="s">
        <v>925</v>
      </c>
    </row>
    <row r="176" customFormat="false" ht="15.75" hidden="false" customHeight="false" outlineLevel="0" collapsed="false">
      <c r="A176" s="12" t="str">
        <f aca="false">IF((AA176&gt;=4), "Y", "N")</f>
        <v>Y</v>
      </c>
      <c r="B176" s="12"/>
      <c r="C176" s="23" t="s">
        <v>926</v>
      </c>
      <c r="D176" s="24" t="s">
        <v>94</v>
      </c>
      <c r="E176" s="25" t="s">
        <v>927</v>
      </c>
      <c r="F176" s="17" t="s">
        <v>928</v>
      </c>
      <c r="G176" s="17" t="s">
        <v>929</v>
      </c>
      <c r="H176" s="17" t="s">
        <v>297</v>
      </c>
      <c r="I176" s="17" t="s">
        <v>36</v>
      </c>
      <c r="J176" s="32" t="s">
        <v>205</v>
      </c>
      <c r="K176" s="17" t="n">
        <v>1992</v>
      </c>
      <c r="L176" s="38" t="s">
        <v>73</v>
      </c>
      <c r="M176" s="27"/>
      <c r="N176" s="37" t="s">
        <v>930</v>
      </c>
      <c r="O176" s="17"/>
      <c r="P176" s="40" t="s">
        <v>111</v>
      </c>
      <c r="Q176" s="12"/>
      <c r="R176" s="12"/>
      <c r="S176" s="12"/>
      <c r="T176" s="12"/>
      <c r="U176" s="12"/>
      <c r="V176" s="21"/>
      <c r="Z176" s="12"/>
      <c r="AA176" s="29" t="n">
        <v>4</v>
      </c>
      <c r="AB176" s="12" t="s">
        <v>920</v>
      </c>
      <c r="AC176" s="59" t="s">
        <v>931</v>
      </c>
      <c r="AD176" s="12"/>
      <c r="AE176" s="12"/>
    </row>
    <row r="177" customFormat="false" ht="15.75" hidden="false" customHeight="false" outlineLevel="0" collapsed="false">
      <c r="A177" s="12" t="str">
        <f aca="false">IF((AA177&gt;=4), "Y", "N")</f>
        <v>Y</v>
      </c>
      <c r="B177" s="13"/>
      <c r="C177" s="31" t="s">
        <v>932</v>
      </c>
      <c r="D177" s="16" t="s">
        <v>61</v>
      </c>
      <c r="E177" s="32" t="s">
        <v>933</v>
      </c>
      <c r="F177" s="32" t="s">
        <v>934</v>
      </c>
      <c r="G177" s="32" t="s">
        <v>302</v>
      </c>
      <c r="H177" s="17" t="s">
        <v>303</v>
      </c>
      <c r="I177" s="17" t="s">
        <v>36</v>
      </c>
      <c r="J177" s="32" t="s">
        <v>205</v>
      </c>
      <c r="K177" s="33" t="n">
        <v>2007</v>
      </c>
      <c r="L177" s="33"/>
      <c r="M177" s="27"/>
      <c r="N177" s="17" t="s">
        <v>478</v>
      </c>
      <c r="O177" s="17"/>
      <c r="P177" s="19" t="s">
        <v>76</v>
      </c>
      <c r="Q177" s="12"/>
      <c r="R177" s="12" t="s">
        <v>935</v>
      </c>
      <c r="S177" s="12"/>
      <c r="T177" s="12" t="s">
        <v>936</v>
      </c>
      <c r="U177" s="12"/>
      <c r="V177" s="21" t="s">
        <v>31</v>
      </c>
      <c r="Z177" s="12"/>
      <c r="AA177" s="22" t="str">
        <f aca="false">IF(P177="OD500 US (submitted)", "5", " ")</f>
        <v>5</v>
      </c>
      <c r="AB177" s="12"/>
      <c r="AC177" s="12"/>
      <c r="AD177" s="12"/>
      <c r="AE177" s="12"/>
    </row>
    <row r="178" customFormat="false" ht="15.75" hidden="false" customHeight="false" outlineLevel="0" collapsed="false">
      <c r="A178" s="12" t="str">
        <f aca="false">IF((AA178&gt;=4), "Y", "N")</f>
        <v>Y</v>
      </c>
      <c r="B178" s="13"/>
      <c r="C178" s="31" t="s">
        <v>937</v>
      </c>
      <c r="D178" s="16" t="s">
        <v>61</v>
      </c>
      <c r="E178" s="32" t="s">
        <v>938</v>
      </c>
      <c r="F178" s="32" t="s">
        <v>939</v>
      </c>
      <c r="G178" s="32" t="s">
        <v>368</v>
      </c>
      <c r="H178" s="17" t="s">
        <v>369</v>
      </c>
      <c r="I178" s="17" t="s">
        <v>36</v>
      </c>
      <c r="J178" s="32" t="s">
        <v>205</v>
      </c>
      <c r="K178" s="33" t="n">
        <v>2007</v>
      </c>
      <c r="L178" s="33" t="s">
        <v>99</v>
      </c>
      <c r="M178" s="27"/>
      <c r="N178" s="37" t="s">
        <v>750</v>
      </c>
      <c r="O178" s="17"/>
      <c r="P178" s="19" t="s">
        <v>76</v>
      </c>
      <c r="Q178" s="20"/>
      <c r="R178" s="20" t="s">
        <v>940</v>
      </c>
      <c r="S178" s="20"/>
      <c r="T178" s="20" t="s">
        <v>941</v>
      </c>
      <c r="U178" s="20"/>
      <c r="V178" s="21" t="s">
        <v>31</v>
      </c>
      <c r="Z178" s="20"/>
      <c r="AA178" s="22" t="str">
        <f aca="false">IF(P178="OD500 US (submitted)", "5", " ")</f>
        <v>5</v>
      </c>
      <c r="AB178" s="20" t="s">
        <v>942</v>
      </c>
      <c r="AC178" s="20"/>
      <c r="AD178" s="20"/>
      <c r="AE178" s="20"/>
    </row>
    <row r="179" customFormat="false" ht="15.75" hidden="false" customHeight="false" outlineLevel="0" collapsed="false">
      <c r="A179" s="12" t="str">
        <f aca="false">IF((AA179&gt;=4), "Y", "N")</f>
        <v>Y</v>
      </c>
      <c r="B179" s="13"/>
      <c r="C179" s="31" t="s">
        <v>943</v>
      </c>
      <c r="D179" s="16" t="s">
        <v>94</v>
      </c>
      <c r="E179" s="32" t="s">
        <v>944</v>
      </c>
      <c r="F179" s="32" t="s">
        <v>945</v>
      </c>
      <c r="G179" s="32" t="s">
        <v>946</v>
      </c>
      <c r="H179" s="17" t="s">
        <v>353</v>
      </c>
      <c r="I179" s="17" t="s">
        <v>36</v>
      </c>
      <c r="J179" s="32" t="s">
        <v>205</v>
      </c>
      <c r="K179" s="33" t="n">
        <v>2003</v>
      </c>
      <c r="L179" s="33" t="s">
        <v>99</v>
      </c>
      <c r="M179" s="27"/>
      <c r="N179" s="17" t="s">
        <v>947</v>
      </c>
      <c r="O179" s="17"/>
      <c r="P179" s="19" t="s">
        <v>76</v>
      </c>
      <c r="R179" s="0" t="s">
        <v>948</v>
      </c>
      <c r="T179" s="0" t="s">
        <v>949</v>
      </c>
      <c r="V179" s="21" t="s">
        <v>31</v>
      </c>
      <c r="AA179" s="22" t="str">
        <f aca="false">IF(P179="OD500 US (submitted)", "5", " ")</f>
        <v>5</v>
      </c>
    </row>
    <row r="180" customFormat="false" ht="15.75" hidden="false" customHeight="false" outlineLevel="0" collapsed="false">
      <c r="A180" s="12" t="str">
        <f aca="false">IF((AA180&gt;=4), "Y", "N")</f>
        <v>Y</v>
      </c>
      <c r="B180" s="13"/>
      <c r="C180" s="31" t="s">
        <v>950</v>
      </c>
      <c r="D180" s="16" t="s">
        <v>94</v>
      </c>
      <c r="E180" s="32" t="s">
        <v>951</v>
      </c>
      <c r="F180" s="32" t="s">
        <v>952</v>
      </c>
      <c r="G180" s="32" t="s">
        <v>71</v>
      </c>
      <c r="H180" s="17" t="s">
        <v>72</v>
      </c>
      <c r="I180" s="17" t="s">
        <v>36</v>
      </c>
      <c r="J180" s="32" t="s">
        <v>205</v>
      </c>
      <c r="K180" s="33" t="n">
        <v>2010</v>
      </c>
      <c r="L180" s="33" t="s">
        <v>99</v>
      </c>
      <c r="M180" s="27"/>
      <c r="N180" s="37" t="s">
        <v>953</v>
      </c>
      <c r="O180" s="17"/>
      <c r="P180" s="19" t="s">
        <v>76</v>
      </c>
      <c r="R180" s="0" t="s">
        <v>954</v>
      </c>
      <c r="T180" s="0" t="s">
        <v>955</v>
      </c>
      <c r="V180" s="21" t="s">
        <v>31</v>
      </c>
      <c r="AA180" s="22" t="str">
        <f aca="false">IF(P180="OD500 US (submitted)", "5", " ")</f>
        <v>5</v>
      </c>
    </row>
    <row r="181" customFormat="false" ht="15.75" hidden="false" customHeight="false" outlineLevel="0" collapsed="false">
      <c r="A181" s="12" t="str">
        <f aca="false">IF((AA181&gt;=4), "Y", "N")</f>
        <v>Y</v>
      </c>
      <c r="B181" s="12"/>
      <c r="C181" s="23" t="s">
        <v>956</v>
      </c>
      <c r="D181" s="24" t="s">
        <v>94</v>
      </c>
      <c r="E181" s="25" t="s">
        <v>957</v>
      </c>
      <c r="F181" s="17" t="s">
        <v>958</v>
      </c>
      <c r="G181" s="17"/>
      <c r="H181" s="17"/>
      <c r="I181" s="17" t="s">
        <v>36</v>
      </c>
      <c r="J181" s="32" t="s">
        <v>205</v>
      </c>
      <c r="K181" s="17" t="n">
        <v>2009</v>
      </c>
      <c r="L181" s="38" t="s">
        <v>109</v>
      </c>
      <c r="M181" s="27"/>
      <c r="N181" s="37" t="s">
        <v>959</v>
      </c>
      <c r="O181" s="17"/>
      <c r="P181" s="40" t="s">
        <v>111</v>
      </c>
      <c r="Q181" s="12"/>
      <c r="R181" s="12"/>
      <c r="S181" s="12"/>
      <c r="T181" s="12"/>
      <c r="U181" s="12"/>
      <c r="V181" s="21"/>
      <c r="Z181" s="12"/>
      <c r="AA181" s="29" t="n">
        <v>5</v>
      </c>
      <c r="AB181" s="12"/>
      <c r="AC181" s="12"/>
      <c r="AD181" s="12"/>
      <c r="AE181" s="12"/>
    </row>
    <row r="182" customFormat="false" ht="15.75" hidden="false" customHeight="false" outlineLevel="0" collapsed="false">
      <c r="A182" s="12" t="str">
        <f aca="false">IF((AA182&gt;=4), "Y", "N")</f>
        <v>Y</v>
      </c>
      <c r="B182" s="12"/>
      <c r="C182" s="23" t="s">
        <v>960</v>
      </c>
      <c r="D182" s="24" t="s">
        <v>94</v>
      </c>
      <c r="E182" s="25" t="s">
        <v>961</v>
      </c>
      <c r="F182" s="17" t="s">
        <v>962</v>
      </c>
      <c r="G182" s="17" t="s">
        <v>963</v>
      </c>
      <c r="H182" s="26" t="s">
        <v>72</v>
      </c>
      <c r="I182" s="17" t="s">
        <v>36</v>
      </c>
      <c r="J182" s="32" t="s">
        <v>205</v>
      </c>
      <c r="K182" s="17" t="n">
        <v>2008</v>
      </c>
      <c r="L182" s="38" t="s">
        <v>73</v>
      </c>
      <c r="M182" s="27"/>
      <c r="N182" s="37" t="s">
        <v>663</v>
      </c>
      <c r="O182" s="17"/>
      <c r="P182" s="40" t="s">
        <v>111</v>
      </c>
      <c r="Q182" s="12"/>
      <c r="R182" s="12"/>
      <c r="S182" s="12"/>
      <c r="T182" s="12"/>
      <c r="U182" s="12"/>
      <c r="V182" s="21"/>
      <c r="Z182" s="12"/>
      <c r="AA182" s="29" t="n">
        <v>4</v>
      </c>
      <c r="AB182" s="12"/>
      <c r="AC182" s="12"/>
      <c r="AD182" s="12"/>
      <c r="AE182" s="12"/>
    </row>
    <row r="183" customFormat="false" ht="15.75" hidden="false" customHeight="false" outlineLevel="0" collapsed="false">
      <c r="A183" s="12" t="str">
        <f aca="false">IF((AA183&gt;=4), "Y", "N")</f>
        <v>Y</v>
      </c>
      <c r="B183" s="13"/>
      <c r="C183" s="31" t="s">
        <v>964</v>
      </c>
      <c r="D183" s="16" t="s">
        <v>94</v>
      </c>
      <c r="E183" s="32" t="s">
        <v>965</v>
      </c>
      <c r="F183" s="32" t="s">
        <v>966</v>
      </c>
      <c r="G183" s="32" t="s">
        <v>967</v>
      </c>
      <c r="H183" s="26" t="s">
        <v>376</v>
      </c>
      <c r="I183" s="17" t="s">
        <v>36</v>
      </c>
      <c r="J183" s="32" t="s">
        <v>205</v>
      </c>
      <c r="K183" s="33" t="n">
        <v>2014</v>
      </c>
      <c r="L183" s="33" t="s">
        <v>109</v>
      </c>
      <c r="M183" s="27"/>
      <c r="N183" s="39" t="s">
        <v>968</v>
      </c>
      <c r="O183" s="17"/>
      <c r="P183" s="19" t="s">
        <v>76</v>
      </c>
      <c r="Q183" s="20"/>
      <c r="R183" s="20" t="s">
        <v>969</v>
      </c>
      <c r="S183" s="20"/>
      <c r="T183" s="20" t="s">
        <v>970</v>
      </c>
      <c r="U183" s="20"/>
      <c r="V183" s="21" t="s">
        <v>31</v>
      </c>
      <c r="Z183" s="20"/>
      <c r="AA183" s="22" t="str">
        <f aca="false">IF(P183="OD500 US (submitted)", "5", " ")</f>
        <v>5</v>
      </c>
      <c r="AB183" s="20"/>
      <c r="AC183" s="20"/>
      <c r="AD183" s="20"/>
      <c r="AE183" s="20"/>
    </row>
    <row r="184" customFormat="false" ht="15.75" hidden="false" customHeight="false" outlineLevel="0" collapsed="false">
      <c r="A184" s="12" t="str">
        <f aca="false">IF((AA184&gt;=4), "Y", "N")</f>
        <v>Y</v>
      </c>
      <c r="B184" s="12"/>
      <c r="C184" s="23" t="s">
        <v>971</v>
      </c>
      <c r="D184" s="24" t="s">
        <v>94</v>
      </c>
      <c r="E184" s="25" t="s">
        <v>972</v>
      </c>
      <c r="F184" s="17" t="s">
        <v>973</v>
      </c>
      <c r="G184" s="17" t="s">
        <v>145</v>
      </c>
      <c r="H184" s="26" t="s">
        <v>146</v>
      </c>
      <c r="I184" s="17" t="s">
        <v>36</v>
      </c>
      <c r="J184" s="32" t="s">
        <v>205</v>
      </c>
      <c r="K184" s="17" t="n">
        <v>2006</v>
      </c>
      <c r="L184" s="38" t="s">
        <v>73</v>
      </c>
      <c r="M184" s="27"/>
      <c r="N184" s="17"/>
      <c r="O184" s="17"/>
      <c r="P184" s="40" t="s">
        <v>111</v>
      </c>
      <c r="V184" s="60"/>
      <c r="AA184" s="63" t="n">
        <v>5</v>
      </c>
    </row>
    <row r="185" customFormat="false" ht="15.75" hidden="false" customHeight="false" outlineLevel="0" collapsed="false">
      <c r="A185" s="12" t="str">
        <f aca="false">IF((AA185&gt;=4), "Y", "N")</f>
        <v>Y</v>
      </c>
      <c r="B185" s="12"/>
      <c r="C185" s="23" t="s">
        <v>974</v>
      </c>
      <c r="D185" s="24" t="s">
        <v>94</v>
      </c>
      <c r="E185" s="25" t="s">
        <v>975</v>
      </c>
      <c r="F185" s="17" t="s">
        <v>976</v>
      </c>
      <c r="G185" s="17" t="s">
        <v>977</v>
      </c>
      <c r="H185" s="26" t="s">
        <v>303</v>
      </c>
      <c r="I185" s="17" t="s">
        <v>36</v>
      </c>
      <c r="J185" s="32" t="s">
        <v>205</v>
      </c>
      <c r="K185" s="17" t="n">
        <v>2009</v>
      </c>
      <c r="L185" s="33" t="s">
        <v>275</v>
      </c>
      <c r="M185" s="27"/>
      <c r="N185" s="37" t="s">
        <v>663</v>
      </c>
      <c r="O185" s="17"/>
      <c r="P185" s="40" t="s">
        <v>111</v>
      </c>
      <c r="Q185" s="12"/>
      <c r="R185" s="12"/>
      <c r="S185" s="12"/>
      <c r="T185" s="12"/>
      <c r="U185" s="12"/>
      <c r="V185" s="21"/>
      <c r="Z185" s="12"/>
      <c r="AA185" s="29" t="n">
        <v>5</v>
      </c>
      <c r="AB185" s="12"/>
      <c r="AC185" s="12"/>
      <c r="AD185" s="12"/>
      <c r="AE185" s="12"/>
    </row>
    <row r="186" customFormat="false" ht="15.75" hidden="false" customHeight="false" outlineLevel="0" collapsed="false">
      <c r="A186" s="12" t="str">
        <f aca="false">IF((AA186&gt;=4), "Y", "N")</f>
        <v>Y</v>
      </c>
      <c r="B186" s="12"/>
      <c r="C186" s="23" t="s">
        <v>978</v>
      </c>
      <c r="D186" s="24" t="s">
        <v>94</v>
      </c>
      <c r="E186" s="25" t="s">
        <v>979</v>
      </c>
      <c r="F186" s="17" t="s">
        <v>980</v>
      </c>
      <c r="G186" s="17" t="s">
        <v>296</v>
      </c>
      <c r="H186" s="17" t="s">
        <v>297</v>
      </c>
      <c r="I186" s="17" t="s">
        <v>36</v>
      </c>
      <c r="J186" s="32" t="s">
        <v>205</v>
      </c>
      <c r="K186" s="17" t="n">
        <v>2007</v>
      </c>
      <c r="L186" s="38" t="s">
        <v>99</v>
      </c>
      <c r="M186" s="27"/>
      <c r="N186" s="17" t="s">
        <v>478</v>
      </c>
      <c r="O186" s="17"/>
      <c r="P186" s="40" t="s">
        <v>111</v>
      </c>
      <c r="Q186" s="12"/>
      <c r="R186" s="12"/>
      <c r="S186" s="12"/>
      <c r="T186" s="12"/>
      <c r="U186" s="12"/>
      <c r="V186" s="21"/>
      <c r="Z186" s="12"/>
      <c r="AA186" s="29" t="n">
        <v>5</v>
      </c>
      <c r="AB186" s="12"/>
      <c r="AC186" s="12"/>
      <c r="AD186" s="12"/>
      <c r="AE186" s="12"/>
    </row>
    <row r="187" customFormat="false" ht="15.75" hidden="false" customHeight="false" outlineLevel="0" collapsed="false">
      <c r="A187" s="12" t="str">
        <f aca="false">IF((AA187&gt;=4), "Y", "N")</f>
        <v>Y</v>
      </c>
      <c r="B187" s="12"/>
      <c r="C187" s="23" t="s">
        <v>981</v>
      </c>
      <c r="D187" s="16" t="s">
        <v>94</v>
      </c>
      <c r="E187" s="25" t="s">
        <v>982</v>
      </c>
      <c r="F187" s="17" t="s">
        <v>983</v>
      </c>
      <c r="G187" s="17" t="s">
        <v>984</v>
      </c>
      <c r="H187" s="17" t="s">
        <v>146</v>
      </c>
      <c r="I187" s="17" t="s">
        <v>36</v>
      </c>
      <c r="J187" s="32" t="s">
        <v>205</v>
      </c>
      <c r="K187" s="17" t="n">
        <v>1937</v>
      </c>
      <c r="L187" s="33" t="s">
        <v>275</v>
      </c>
      <c r="M187" s="27"/>
      <c r="N187" s="17" t="s">
        <v>478</v>
      </c>
      <c r="O187" s="17"/>
      <c r="P187" s="40" t="s">
        <v>111</v>
      </c>
      <c r="V187" s="60"/>
      <c r="AA187" s="63" t="n">
        <v>5</v>
      </c>
    </row>
    <row r="188" customFormat="false" ht="15.75" hidden="false" customHeight="false" outlineLevel="0" collapsed="false">
      <c r="A188" s="12" t="str">
        <f aca="false">IF((AA188&gt;=4), "Y", "N")</f>
        <v>Y</v>
      </c>
      <c r="B188" s="13"/>
      <c r="C188" s="31" t="s">
        <v>985</v>
      </c>
      <c r="D188" s="16" t="s">
        <v>94</v>
      </c>
      <c r="E188" s="32" t="s">
        <v>986</v>
      </c>
      <c r="F188" s="32" t="s">
        <v>987</v>
      </c>
      <c r="G188" s="32" t="s">
        <v>988</v>
      </c>
      <c r="H188" s="17" t="s">
        <v>72</v>
      </c>
      <c r="I188" s="17" t="s">
        <v>36</v>
      </c>
      <c r="J188" s="32" t="s">
        <v>205</v>
      </c>
      <c r="K188" s="33" t="n">
        <v>2011</v>
      </c>
      <c r="L188" s="33" t="s">
        <v>109</v>
      </c>
      <c r="M188" s="27"/>
      <c r="N188" s="39" t="s">
        <v>989</v>
      </c>
      <c r="O188" s="17"/>
      <c r="P188" s="19" t="s">
        <v>76</v>
      </c>
      <c r="R188" s="0" t="s">
        <v>990</v>
      </c>
      <c r="T188" s="0" t="s">
        <v>991</v>
      </c>
      <c r="V188" s="21" t="s">
        <v>31</v>
      </c>
      <c r="AA188" s="22" t="str">
        <f aca="false">IF(P188="OD500 US (submitted)", "5", " ")</f>
        <v>5</v>
      </c>
    </row>
    <row r="189" customFormat="false" ht="15.75" hidden="false" customHeight="false" outlineLevel="0" collapsed="false">
      <c r="A189" s="12" t="str">
        <f aca="false">IF((AA189&gt;=4), "Y", "N")</f>
        <v>Y</v>
      </c>
      <c r="B189" s="12"/>
      <c r="C189" s="23" t="s">
        <v>992</v>
      </c>
      <c r="D189" s="24" t="s">
        <v>94</v>
      </c>
      <c r="E189" s="25" t="s">
        <v>993</v>
      </c>
      <c r="F189" s="17" t="s">
        <v>994</v>
      </c>
      <c r="G189" s="17" t="s">
        <v>995</v>
      </c>
      <c r="H189" s="17" t="s">
        <v>72</v>
      </c>
      <c r="I189" s="17" t="s">
        <v>36</v>
      </c>
      <c r="J189" s="32" t="s">
        <v>205</v>
      </c>
      <c r="K189" s="17" t="n">
        <v>2000</v>
      </c>
      <c r="L189" s="38" t="s">
        <v>73</v>
      </c>
      <c r="M189" s="27"/>
      <c r="N189" s="17" t="s">
        <v>478</v>
      </c>
      <c r="O189" s="17"/>
      <c r="P189" s="40" t="s">
        <v>111</v>
      </c>
      <c r="Q189" s="12"/>
      <c r="R189" s="12"/>
      <c r="S189" s="12"/>
      <c r="T189" s="12"/>
      <c r="U189" s="12"/>
      <c r="V189" s="21"/>
      <c r="Z189" s="12"/>
      <c r="AA189" s="29" t="n">
        <v>5</v>
      </c>
      <c r="AB189" s="12"/>
      <c r="AC189" s="12"/>
      <c r="AD189" s="12"/>
      <c r="AE189" s="12"/>
    </row>
    <row r="190" customFormat="false" ht="15.75" hidden="false" customHeight="false" outlineLevel="0" collapsed="false">
      <c r="A190" s="12" t="str">
        <f aca="false">IF((AA190&gt;=4), "Y", "N")</f>
        <v>Y</v>
      </c>
      <c r="B190" s="12"/>
      <c r="C190" s="23" t="s">
        <v>996</v>
      </c>
      <c r="D190" s="16" t="s">
        <v>94</v>
      </c>
      <c r="E190" s="25" t="s">
        <v>997</v>
      </c>
      <c r="F190" s="17" t="s">
        <v>998</v>
      </c>
      <c r="G190" s="17" t="s">
        <v>145</v>
      </c>
      <c r="H190" s="17" t="s">
        <v>146</v>
      </c>
      <c r="I190" s="17" t="s">
        <v>36</v>
      </c>
      <c r="J190" s="32" t="s">
        <v>205</v>
      </c>
      <c r="K190" s="17" t="n">
        <v>1976</v>
      </c>
      <c r="L190" s="33" t="s">
        <v>275</v>
      </c>
      <c r="M190" s="27"/>
      <c r="N190" s="17" t="s">
        <v>478</v>
      </c>
      <c r="O190" s="17"/>
      <c r="P190" s="40" t="s">
        <v>111</v>
      </c>
      <c r="Q190" s="20"/>
      <c r="R190" s="20"/>
      <c r="S190" s="20"/>
      <c r="T190" s="20"/>
      <c r="U190" s="20"/>
      <c r="V190" s="45"/>
      <c r="Z190" s="20"/>
      <c r="AA190" s="22" t="n">
        <v>5</v>
      </c>
      <c r="AB190" s="20"/>
      <c r="AC190" s="20"/>
      <c r="AD190" s="20"/>
      <c r="AE190" s="20"/>
    </row>
    <row r="191" customFormat="false" ht="15.75" hidden="false" customHeight="false" outlineLevel="0" collapsed="false">
      <c r="A191" s="12" t="str">
        <f aca="false">IF((AA191&gt;=4), "Y", "N")</f>
        <v>Y</v>
      </c>
      <c r="B191" s="12"/>
      <c r="C191" s="23" t="s">
        <v>999</v>
      </c>
      <c r="D191" s="24" t="s">
        <v>94</v>
      </c>
      <c r="E191" s="25" t="s">
        <v>1000</v>
      </c>
      <c r="F191" s="17" t="s">
        <v>1001</v>
      </c>
      <c r="G191" s="17" t="s">
        <v>1002</v>
      </c>
      <c r="H191" s="17" t="s">
        <v>477</v>
      </c>
      <c r="I191" s="17" t="s">
        <v>36</v>
      </c>
      <c r="J191" s="32" t="s">
        <v>205</v>
      </c>
      <c r="K191" s="17" t="n">
        <v>2013</v>
      </c>
      <c r="L191" s="38" t="s">
        <v>73</v>
      </c>
      <c r="M191" s="27"/>
      <c r="N191" s="17" t="s">
        <v>478</v>
      </c>
      <c r="O191" s="17"/>
      <c r="P191" s="40" t="s">
        <v>111</v>
      </c>
      <c r="V191" s="60"/>
      <c r="AA191" s="63" t="n">
        <v>5</v>
      </c>
    </row>
    <row r="192" customFormat="false" ht="15.75" hidden="false" customHeight="false" outlineLevel="0" collapsed="false">
      <c r="A192" s="12" t="str">
        <f aca="false">IF((AA192&gt;=4), "Y", "N")</f>
        <v>Y</v>
      </c>
      <c r="B192" s="12"/>
      <c r="C192" s="23" t="s">
        <v>1003</v>
      </c>
      <c r="D192" s="24" t="s">
        <v>94</v>
      </c>
      <c r="E192" s="25" t="s">
        <v>1004</v>
      </c>
      <c r="F192" s="17" t="s">
        <v>1005</v>
      </c>
      <c r="G192" s="17" t="s">
        <v>495</v>
      </c>
      <c r="H192" s="17" t="s">
        <v>72</v>
      </c>
      <c r="I192" s="17" t="s">
        <v>36</v>
      </c>
      <c r="J192" s="32" t="s">
        <v>205</v>
      </c>
      <c r="K192" s="17" t="n">
        <v>2011</v>
      </c>
      <c r="L192" s="38" t="s">
        <v>73</v>
      </c>
      <c r="M192" s="27"/>
      <c r="N192" s="17" t="s">
        <v>478</v>
      </c>
      <c r="O192" s="17"/>
      <c r="P192" s="40" t="s">
        <v>111</v>
      </c>
      <c r="Q192" s="20"/>
      <c r="R192" s="20"/>
      <c r="S192" s="20"/>
      <c r="T192" s="20"/>
      <c r="U192" s="20"/>
      <c r="V192" s="45"/>
      <c r="Z192" s="20"/>
      <c r="AA192" s="22" t="n">
        <v>5</v>
      </c>
      <c r="AB192" s="20"/>
      <c r="AC192" s="20"/>
      <c r="AD192" s="20"/>
      <c r="AE192" s="20"/>
    </row>
    <row r="193" customFormat="false" ht="15.75" hidden="false" customHeight="false" outlineLevel="0" collapsed="false">
      <c r="A193" s="12" t="str">
        <f aca="false">IF((AA193&gt;=4), "Y", "N")</f>
        <v>Y</v>
      </c>
      <c r="B193" s="13"/>
      <c r="C193" s="31" t="s">
        <v>1006</v>
      </c>
      <c r="D193" s="16" t="s">
        <v>94</v>
      </c>
      <c r="E193" s="32" t="s">
        <v>1007</v>
      </c>
      <c r="F193" s="32" t="s">
        <v>1008</v>
      </c>
      <c r="G193" s="32" t="s">
        <v>963</v>
      </c>
      <c r="H193" s="17" t="s">
        <v>72</v>
      </c>
      <c r="I193" s="17" t="s">
        <v>36</v>
      </c>
      <c r="J193" s="32" t="s">
        <v>205</v>
      </c>
      <c r="K193" s="33" t="n">
        <v>2010</v>
      </c>
      <c r="L193" s="33" t="s">
        <v>99</v>
      </c>
      <c r="M193" s="27"/>
      <c r="N193" s="37" t="s">
        <v>331</v>
      </c>
      <c r="O193" s="17"/>
      <c r="P193" s="19" t="s">
        <v>76</v>
      </c>
      <c r="Q193" s="20"/>
      <c r="R193" s="20" t="s">
        <v>1009</v>
      </c>
      <c r="S193" s="20"/>
      <c r="T193" s="20" t="s">
        <v>1010</v>
      </c>
      <c r="U193" s="20"/>
      <c r="V193" s="21" t="s">
        <v>31</v>
      </c>
      <c r="Z193" s="20"/>
      <c r="AA193" s="22" t="str">
        <f aca="false">IF(P193="OD500 US (submitted)", "5", " ")</f>
        <v>5</v>
      </c>
      <c r="AB193" s="20"/>
      <c r="AC193" s="20"/>
      <c r="AD193" s="20"/>
      <c r="AE193" s="20"/>
    </row>
    <row r="194" customFormat="false" ht="15.75" hidden="false" customHeight="false" outlineLevel="0" collapsed="false">
      <c r="A194" s="12" t="str">
        <f aca="false">IF((AA194&gt;=4), "Y", "N")</f>
        <v>Y</v>
      </c>
      <c r="B194" s="12"/>
      <c r="C194" s="23" t="s">
        <v>1011</v>
      </c>
      <c r="D194" s="24" t="s">
        <v>94</v>
      </c>
      <c r="E194" s="25" t="s">
        <v>1012</v>
      </c>
      <c r="F194" s="17" t="s">
        <v>1013</v>
      </c>
      <c r="G194" s="17" t="s">
        <v>1014</v>
      </c>
      <c r="H194" s="17" t="s">
        <v>120</v>
      </c>
      <c r="I194" s="17" t="s">
        <v>36</v>
      </c>
      <c r="J194" s="32" t="s">
        <v>205</v>
      </c>
      <c r="K194" s="17" t="n">
        <v>1968</v>
      </c>
      <c r="L194" s="38" t="s">
        <v>73</v>
      </c>
      <c r="M194" s="27"/>
      <c r="N194" s="37" t="s">
        <v>331</v>
      </c>
      <c r="O194" s="17"/>
      <c r="P194" s="40" t="s">
        <v>111</v>
      </c>
      <c r="Q194" s="12"/>
      <c r="R194" s="12"/>
      <c r="S194" s="12"/>
      <c r="T194" s="12"/>
      <c r="U194" s="12"/>
      <c r="V194" s="21"/>
      <c r="Z194" s="12"/>
      <c r="AA194" s="29" t="n">
        <v>5</v>
      </c>
      <c r="AB194" s="12"/>
      <c r="AC194" s="12"/>
      <c r="AD194" s="12"/>
      <c r="AE194" s="12"/>
    </row>
    <row r="195" customFormat="false" ht="15.75" hidden="false" customHeight="false" outlineLevel="0" collapsed="false">
      <c r="A195" s="12" t="str">
        <f aca="false">IF((AA195&gt;=4), "Y", "N")</f>
        <v>Y</v>
      </c>
      <c r="B195" s="12"/>
      <c r="C195" s="23" t="s">
        <v>1015</v>
      </c>
      <c r="D195" s="24" t="s">
        <v>94</v>
      </c>
      <c r="E195" s="25" t="s">
        <v>1016</v>
      </c>
      <c r="F195" s="17" t="s">
        <v>1017</v>
      </c>
      <c r="G195" s="17" t="s">
        <v>1018</v>
      </c>
      <c r="H195" s="17" t="s">
        <v>341</v>
      </c>
      <c r="I195" s="17" t="s">
        <v>36</v>
      </c>
      <c r="J195" s="32" t="s">
        <v>205</v>
      </c>
      <c r="K195" s="17" t="n">
        <v>2000</v>
      </c>
      <c r="L195" s="38" t="s">
        <v>73</v>
      </c>
      <c r="M195" s="27"/>
      <c r="N195" s="37" t="s">
        <v>331</v>
      </c>
      <c r="O195" s="17"/>
      <c r="P195" s="40" t="s">
        <v>111</v>
      </c>
      <c r="Q195" s="12"/>
      <c r="R195" s="12"/>
      <c r="S195" s="12"/>
      <c r="T195" s="12"/>
      <c r="U195" s="12"/>
      <c r="V195" s="21"/>
      <c r="Z195" s="12"/>
      <c r="AA195" s="29" t="n">
        <v>5</v>
      </c>
      <c r="AB195" s="12"/>
      <c r="AC195" s="12"/>
      <c r="AD195" s="12"/>
      <c r="AE195" s="12"/>
    </row>
    <row r="196" customFormat="false" ht="15.75" hidden="false" customHeight="false" outlineLevel="0" collapsed="false">
      <c r="A196" s="12" t="str">
        <f aca="false">IF((AA196&gt;=4), "Y", "N")</f>
        <v>Y</v>
      </c>
      <c r="B196" s="13"/>
      <c r="C196" s="31" t="s">
        <v>1019</v>
      </c>
      <c r="D196" s="16" t="s">
        <v>94</v>
      </c>
      <c r="E196" s="32" t="s">
        <v>1020</v>
      </c>
      <c r="F196" s="32" t="s">
        <v>1021</v>
      </c>
      <c r="G196" s="32" t="s">
        <v>1022</v>
      </c>
      <c r="H196" s="17" t="s">
        <v>72</v>
      </c>
      <c r="I196" s="17" t="s">
        <v>36</v>
      </c>
      <c r="J196" s="32" t="s">
        <v>205</v>
      </c>
      <c r="K196" s="33" t="n">
        <v>2012</v>
      </c>
      <c r="L196" s="33" t="s">
        <v>99</v>
      </c>
      <c r="M196" s="27"/>
      <c r="N196" s="17" t="s">
        <v>1023</v>
      </c>
      <c r="O196" s="17"/>
      <c r="P196" s="19" t="s">
        <v>76</v>
      </c>
      <c r="Q196" s="12"/>
      <c r="R196" s="12" t="s">
        <v>1024</v>
      </c>
      <c r="S196" s="12"/>
      <c r="T196" s="12" t="s">
        <v>1025</v>
      </c>
      <c r="U196" s="12"/>
      <c r="V196" s="21" t="s">
        <v>31</v>
      </c>
      <c r="Z196" s="12"/>
      <c r="AA196" s="22" t="str">
        <f aca="false">IF(P196="OD500 US (submitted)", "5", " ")</f>
        <v>5</v>
      </c>
      <c r="AB196" s="12"/>
      <c r="AC196" s="12"/>
      <c r="AD196" s="12"/>
      <c r="AE196" s="12"/>
    </row>
    <row r="197" customFormat="false" ht="15.75" hidden="false" customHeight="false" outlineLevel="0" collapsed="false">
      <c r="A197" s="12" t="str">
        <f aca="false">IF((AA197&gt;=4), "Y", "N")</f>
        <v>Y</v>
      </c>
      <c r="B197" s="12"/>
      <c r="C197" s="23" t="s">
        <v>1026</v>
      </c>
      <c r="D197" s="24" t="s">
        <v>94</v>
      </c>
      <c r="E197" s="25" t="s">
        <v>1027</v>
      </c>
      <c r="F197" s="17" t="s">
        <v>1028</v>
      </c>
      <c r="G197" s="17" t="s">
        <v>1029</v>
      </c>
      <c r="H197" s="17" t="s">
        <v>1030</v>
      </c>
      <c r="I197" s="17" t="s">
        <v>36</v>
      </c>
      <c r="J197" s="32" t="s">
        <v>205</v>
      </c>
      <c r="K197" s="17" t="n">
        <v>2002</v>
      </c>
      <c r="L197" s="38" t="s">
        <v>330</v>
      </c>
      <c r="M197" s="27"/>
      <c r="N197" s="17" t="s">
        <v>1031</v>
      </c>
      <c r="O197" s="17"/>
      <c r="P197" s="40" t="s">
        <v>111</v>
      </c>
      <c r="Q197" s="17"/>
      <c r="R197" s="17"/>
      <c r="S197" s="17"/>
      <c r="T197" s="17"/>
      <c r="U197" s="17"/>
      <c r="V197" s="27"/>
      <c r="Z197" s="17"/>
      <c r="AA197" s="29" t="n">
        <v>5</v>
      </c>
      <c r="AB197" s="17"/>
      <c r="AC197" s="17"/>
      <c r="AD197" s="17"/>
      <c r="AE197" s="17"/>
    </row>
    <row r="198" customFormat="false" ht="15.75" hidden="false" customHeight="false" outlineLevel="0" collapsed="false">
      <c r="A198" s="12" t="str">
        <f aca="false">IF((AA198&gt;=4), "Y", "N")</f>
        <v>Y</v>
      </c>
      <c r="B198" s="13"/>
      <c r="C198" s="31" t="s">
        <v>1032</v>
      </c>
      <c r="D198" s="16" t="s">
        <v>94</v>
      </c>
      <c r="E198" s="32" t="s">
        <v>1033</v>
      </c>
      <c r="F198" s="32" t="s">
        <v>1034</v>
      </c>
      <c r="G198" s="32" t="s">
        <v>296</v>
      </c>
      <c r="H198" s="17" t="s">
        <v>297</v>
      </c>
      <c r="I198" s="17" t="s">
        <v>36</v>
      </c>
      <c r="J198" s="32" t="s">
        <v>205</v>
      </c>
      <c r="K198" s="33" t="n">
        <v>2008</v>
      </c>
      <c r="L198" s="33" t="s">
        <v>99</v>
      </c>
      <c r="M198" s="27"/>
      <c r="N198" s="37" t="s">
        <v>1035</v>
      </c>
      <c r="O198" s="17"/>
      <c r="P198" s="19" t="s">
        <v>76</v>
      </c>
      <c r="Q198" s="20"/>
      <c r="R198" s="20" t="s">
        <v>1036</v>
      </c>
      <c r="S198" s="20"/>
      <c r="T198" s="20" t="s">
        <v>1037</v>
      </c>
      <c r="U198" s="20"/>
      <c r="V198" s="21" t="s">
        <v>31</v>
      </c>
      <c r="Z198" s="20"/>
      <c r="AA198" s="22" t="str">
        <f aca="false">IF(P198="OD500 US (submitted)", "5", " ")</f>
        <v>5</v>
      </c>
      <c r="AB198" s="20"/>
      <c r="AC198" s="20"/>
      <c r="AD198" s="20"/>
      <c r="AE198" s="20"/>
    </row>
    <row r="199" customFormat="false" ht="15.75" hidden="false" customHeight="false" outlineLevel="0" collapsed="false">
      <c r="A199" s="12" t="str">
        <f aca="false">IF((AA199&gt;=4), "Y", "N")</f>
        <v>Y</v>
      </c>
      <c r="B199" s="12"/>
      <c r="C199" s="23" t="s">
        <v>1038</v>
      </c>
      <c r="D199" s="24" t="s">
        <v>94</v>
      </c>
      <c r="E199" s="25" t="s">
        <v>1039</v>
      </c>
      <c r="F199" s="17" t="s">
        <v>1040</v>
      </c>
      <c r="G199" s="17" t="s">
        <v>1041</v>
      </c>
      <c r="H199" s="17" t="s">
        <v>439</v>
      </c>
      <c r="I199" s="17" t="s">
        <v>36</v>
      </c>
      <c r="J199" s="32" t="s">
        <v>205</v>
      </c>
      <c r="K199" s="17" t="n">
        <v>1992</v>
      </c>
      <c r="L199" s="38" t="s">
        <v>73</v>
      </c>
      <c r="M199" s="27"/>
      <c r="N199" s="37" t="s">
        <v>1042</v>
      </c>
      <c r="O199" s="17"/>
      <c r="P199" s="40" t="s">
        <v>111</v>
      </c>
      <c r="Q199" s="20"/>
      <c r="R199" s="20"/>
      <c r="S199" s="20"/>
      <c r="T199" s="20"/>
      <c r="U199" s="20"/>
      <c r="V199" s="45"/>
      <c r="Z199" s="20"/>
      <c r="AA199" s="22" t="n">
        <v>5</v>
      </c>
      <c r="AB199" s="20"/>
      <c r="AC199" s="20"/>
      <c r="AD199" s="20"/>
      <c r="AE199" s="20"/>
    </row>
    <row r="200" customFormat="false" ht="15.75" hidden="false" customHeight="false" outlineLevel="0" collapsed="false">
      <c r="A200" s="12" t="str">
        <f aca="false">IF((AA200&gt;=4), "Y", "N")</f>
        <v>Y</v>
      </c>
      <c r="B200" s="12"/>
      <c r="C200" s="23" t="s">
        <v>1043</v>
      </c>
      <c r="D200" s="24" t="s">
        <v>94</v>
      </c>
      <c r="E200" s="25" t="s">
        <v>1044</v>
      </c>
      <c r="F200" s="17" t="s">
        <v>1045</v>
      </c>
      <c r="G200" s="17" t="s">
        <v>1046</v>
      </c>
      <c r="H200" s="17" t="s">
        <v>297</v>
      </c>
      <c r="I200" s="17" t="s">
        <v>36</v>
      </c>
      <c r="J200" s="32" t="s">
        <v>205</v>
      </c>
      <c r="K200" s="17" t="n">
        <v>1979</v>
      </c>
      <c r="L200" s="33" t="s">
        <v>275</v>
      </c>
      <c r="M200" s="27"/>
      <c r="N200" s="37" t="s">
        <v>1047</v>
      </c>
      <c r="O200" s="17"/>
      <c r="P200" s="40" t="s">
        <v>111</v>
      </c>
      <c r="Q200" s="17"/>
      <c r="R200" s="17"/>
      <c r="S200" s="17"/>
      <c r="T200" s="17"/>
      <c r="U200" s="17"/>
      <c r="V200" s="27"/>
      <c r="Z200" s="17"/>
      <c r="AA200" s="29" t="n">
        <v>4</v>
      </c>
      <c r="AB200" s="17"/>
      <c r="AC200" s="17"/>
      <c r="AD200" s="17"/>
      <c r="AE200" s="17"/>
    </row>
    <row r="201" customFormat="false" ht="15.75" hidden="false" customHeight="false" outlineLevel="0" collapsed="false">
      <c r="A201" s="12" t="str">
        <f aca="false">IF((AA201&gt;=4), "Y", "N")</f>
        <v>Y</v>
      </c>
      <c r="B201" s="13"/>
      <c r="C201" s="31" t="s">
        <v>1048</v>
      </c>
      <c r="D201" s="16" t="s">
        <v>94</v>
      </c>
      <c r="E201" s="32" t="s">
        <v>1049</v>
      </c>
      <c r="F201" s="32" t="s">
        <v>1050</v>
      </c>
      <c r="G201" s="32" t="s">
        <v>145</v>
      </c>
      <c r="H201" s="17" t="s">
        <v>146</v>
      </c>
      <c r="I201" s="17" t="s">
        <v>36</v>
      </c>
      <c r="J201" s="32" t="s">
        <v>205</v>
      </c>
      <c r="K201" s="33" t="n">
        <v>2011</v>
      </c>
      <c r="L201" s="33" t="s">
        <v>99</v>
      </c>
      <c r="M201" s="27"/>
      <c r="N201" s="37" t="s">
        <v>1051</v>
      </c>
      <c r="O201" s="17"/>
      <c r="P201" s="19" t="s">
        <v>76</v>
      </c>
      <c r="Q201" s="12"/>
      <c r="R201" s="12" t="s">
        <v>1052</v>
      </c>
      <c r="S201" s="12"/>
      <c r="T201" s="12" t="s">
        <v>1053</v>
      </c>
      <c r="U201" s="12"/>
      <c r="V201" s="21" t="s">
        <v>31</v>
      </c>
      <c r="Z201" s="12"/>
      <c r="AA201" s="22" t="str">
        <f aca="false">IF(P201="OD500 US (submitted)", "5", " ")</f>
        <v>5</v>
      </c>
      <c r="AB201" s="12"/>
      <c r="AC201" s="12"/>
      <c r="AD201" s="12"/>
      <c r="AE201" s="12"/>
    </row>
    <row r="202" customFormat="false" ht="15.75" hidden="false" customHeight="false" outlineLevel="0" collapsed="false">
      <c r="A202" s="12" t="str">
        <f aca="false">IF((AA202&gt;=4), "Y", "N")</f>
        <v>Y</v>
      </c>
      <c r="B202" s="12"/>
      <c r="C202" s="23" t="s">
        <v>1054</v>
      </c>
      <c r="D202" s="24" t="s">
        <v>94</v>
      </c>
      <c r="E202" s="25" t="s">
        <v>1055</v>
      </c>
      <c r="F202" s="17" t="s">
        <v>1056</v>
      </c>
      <c r="G202" s="17" t="s">
        <v>1057</v>
      </c>
      <c r="H202" s="17" t="s">
        <v>390</v>
      </c>
      <c r="I202" s="17" t="s">
        <v>36</v>
      </c>
      <c r="J202" s="32" t="s">
        <v>205</v>
      </c>
      <c r="K202" s="17" t="n">
        <v>1969</v>
      </c>
      <c r="L202" s="33" t="s">
        <v>275</v>
      </c>
      <c r="M202" s="27"/>
      <c r="N202" s="17" t="s">
        <v>478</v>
      </c>
      <c r="O202" s="17"/>
      <c r="P202" s="40" t="s">
        <v>111</v>
      </c>
      <c r="V202" s="60"/>
      <c r="AA202" s="63" t="n">
        <v>4</v>
      </c>
    </row>
    <row r="203" customFormat="false" ht="15.75" hidden="false" customHeight="false" outlineLevel="0" collapsed="false">
      <c r="A203" s="12" t="str">
        <f aca="false">IF((AA203&gt;=4), "Y", "N")</f>
        <v>Y</v>
      </c>
      <c r="B203" s="12"/>
      <c r="C203" s="23" t="s">
        <v>1058</v>
      </c>
      <c r="D203" s="24" t="s">
        <v>94</v>
      </c>
      <c r="E203" s="25" t="s">
        <v>1059</v>
      </c>
      <c r="F203" s="17" t="s">
        <v>1060</v>
      </c>
      <c r="G203" s="17" t="s">
        <v>1061</v>
      </c>
      <c r="H203" s="17" t="s">
        <v>72</v>
      </c>
      <c r="I203" s="17" t="s">
        <v>36</v>
      </c>
      <c r="J203" s="32" t="s">
        <v>205</v>
      </c>
      <c r="K203" s="17" t="n">
        <v>2000</v>
      </c>
      <c r="L203" s="38" t="s">
        <v>73</v>
      </c>
      <c r="M203" s="27"/>
      <c r="N203" s="37" t="s">
        <v>298</v>
      </c>
      <c r="O203" s="17"/>
      <c r="P203" s="40" t="s">
        <v>111</v>
      </c>
      <c r="Q203" s="12"/>
      <c r="R203" s="12"/>
      <c r="S203" s="12"/>
      <c r="T203" s="12"/>
      <c r="U203" s="12"/>
      <c r="V203" s="21"/>
      <c r="Z203" s="12"/>
      <c r="AA203" s="29" t="n">
        <v>5</v>
      </c>
      <c r="AB203" s="12"/>
      <c r="AC203" s="12"/>
      <c r="AD203" s="12"/>
      <c r="AE203" s="12"/>
    </row>
    <row r="204" customFormat="false" ht="15.75" hidden="false" customHeight="false" outlineLevel="0" collapsed="false">
      <c r="A204" s="12" t="str">
        <f aca="false">IF((AA204&gt;=4), "Y", "N")</f>
        <v>Y</v>
      </c>
      <c r="B204" s="13"/>
      <c r="C204" s="31" t="s">
        <v>1062</v>
      </c>
      <c r="D204" s="16" t="s">
        <v>94</v>
      </c>
      <c r="E204" s="32" t="s">
        <v>1063</v>
      </c>
      <c r="F204" s="32" t="s">
        <v>1064</v>
      </c>
      <c r="G204" s="32" t="s">
        <v>145</v>
      </c>
      <c r="H204" s="17" t="s">
        <v>146</v>
      </c>
      <c r="I204" s="17" t="s">
        <v>36</v>
      </c>
      <c r="J204" s="32" t="s">
        <v>205</v>
      </c>
      <c r="K204" s="33" t="n">
        <v>2013</v>
      </c>
      <c r="L204" s="33" t="s">
        <v>109</v>
      </c>
      <c r="M204" s="27"/>
      <c r="N204" s="17" t="s">
        <v>478</v>
      </c>
      <c r="O204" s="17"/>
      <c r="P204" s="19" t="s">
        <v>76</v>
      </c>
      <c r="Q204" s="12"/>
      <c r="R204" s="12" t="s">
        <v>1065</v>
      </c>
      <c r="S204" s="12"/>
      <c r="T204" s="12" t="s">
        <v>1066</v>
      </c>
      <c r="U204" s="12"/>
      <c r="V204" s="21" t="s">
        <v>31</v>
      </c>
      <c r="Z204" s="12"/>
      <c r="AA204" s="22" t="str">
        <f aca="false">IF(P204="OD500 US (submitted)", "5", " ")</f>
        <v>5</v>
      </c>
      <c r="AB204" s="12"/>
      <c r="AC204" s="12"/>
      <c r="AD204" s="12"/>
      <c r="AE204" s="12"/>
    </row>
    <row r="205" customFormat="false" ht="15.75" hidden="false" customHeight="false" outlineLevel="0" collapsed="false">
      <c r="A205" s="12" t="str">
        <f aca="false">IF((AA205&gt;=4), "Y", "N")</f>
        <v>Y</v>
      </c>
      <c r="B205" s="13"/>
      <c r="C205" s="31" t="s">
        <v>1067</v>
      </c>
      <c r="D205" s="16" t="s">
        <v>94</v>
      </c>
      <c r="E205" s="32" t="s">
        <v>1068</v>
      </c>
      <c r="F205" s="32" t="s">
        <v>1069</v>
      </c>
      <c r="G205" s="32" t="s">
        <v>1070</v>
      </c>
      <c r="H205" s="17" t="s">
        <v>72</v>
      </c>
      <c r="I205" s="17" t="s">
        <v>36</v>
      </c>
      <c r="J205" s="32" t="s">
        <v>205</v>
      </c>
      <c r="K205" s="33" t="n">
        <v>2007</v>
      </c>
      <c r="L205" s="33" t="s">
        <v>73</v>
      </c>
      <c r="M205" s="27"/>
      <c r="N205" s="37" t="s">
        <v>315</v>
      </c>
      <c r="O205" s="17"/>
      <c r="P205" s="19" t="s">
        <v>76</v>
      </c>
      <c r="Q205" s="12"/>
      <c r="R205" s="12" t="s">
        <v>1071</v>
      </c>
      <c r="S205" s="12"/>
      <c r="T205" s="12" t="s">
        <v>1072</v>
      </c>
      <c r="U205" s="12"/>
      <c r="V205" s="21" t="s">
        <v>31</v>
      </c>
      <c r="Z205" s="12"/>
      <c r="AA205" s="22" t="str">
        <f aca="false">IF(P205="OD500 US (submitted)", "5", " ")</f>
        <v>5</v>
      </c>
      <c r="AB205" s="12"/>
      <c r="AC205" s="12"/>
      <c r="AD205" s="12"/>
      <c r="AE205" s="12"/>
    </row>
    <row r="206" customFormat="false" ht="15.75" hidden="false" customHeight="false" outlineLevel="0" collapsed="false">
      <c r="A206" s="12" t="str">
        <f aca="false">IF((AA206&gt;=4), "Y", "N")</f>
        <v>Y</v>
      </c>
      <c r="B206" s="13"/>
      <c r="C206" s="31" t="s">
        <v>1073</v>
      </c>
      <c r="D206" s="16" t="s">
        <v>94</v>
      </c>
      <c r="E206" s="32" t="s">
        <v>1074</v>
      </c>
      <c r="F206" s="32" t="s">
        <v>1075</v>
      </c>
      <c r="G206" s="32" t="s">
        <v>1076</v>
      </c>
      <c r="H206" s="17" t="s">
        <v>72</v>
      </c>
      <c r="I206" s="17" t="s">
        <v>36</v>
      </c>
      <c r="J206" s="32" t="s">
        <v>205</v>
      </c>
      <c r="K206" s="33" t="n">
        <v>1935</v>
      </c>
      <c r="L206" s="33" t="s">
        <v>275</v>
      </c>
      <c r="M206" s="27"/>
      <c r="N206" s="37" t="s">
        <v>298</v>
      </c>
      <c r="O206" s="17"/>
      <c r="P206" s="19" t="s">
        <v>76</v>
      </c>
      <c r="Q206" s="12"/>
      <c r="R206" s="12" t="s">
        <v>1077</v>
      </c>
      <c r="S206" s="12"/>
      <c r="T206" s="12" t="s">
        <v>1078</v>
      </c>
      <c r="U206" s="12"/>
      <c r="V206" s="21" t="s">
        <v>31</v>
      </c>
      <c r="Z206" s="12"/>
      <c r="AA206" s="22" t="str">
        <f aca="false">IF(P206="OD500 US (submitted)", "5", " ")</f>
        <v>5</v>
      </c>
      <c r="AB206" s="12"/>
      <c r="AC206" s="12"/>
      <c r="AD206" s="12"/>
      <c r="AE206" s="12"/>
    </row>
    <row r="207" customFormat="false" ht="15.75" hidden="false" customHeight="false" outlineLevel="0" collapsed="false">
      <c r="A207" s="12" t="str">
        <f aca="false">IF((AA207&gt;=4), "Y", "N")</f>
        <v>Y</v>
      </c>
      <c r="B207" s="12"/>
      <c r="C207" s="23" t="s">
        <v>1079</v>
      </c>
      <c r="D207" s="24" t="s">
        <v>94</v>
      </c>
      <c r="E207" s="25" t="s">
        <v>1080</v>
      </c>
      <c r="F207" s="17" t="s">
        <v>1081</v>
      </c>
      <c r="G207" s="17" t="s">
        <v>1082</v>
      </c>
      <c r="H207" s="17" t="s">
        <v>341</v>
      </c>
      <c r="I207" s="17" t="s">
        <v>36</v>
      </c>
      <c r="J207" s="32" t="s">
        <v>205</v>
      </c>
      <c r="K207" s="17" t="n">
        <v>1996</v>
      </c>
      <c r="L207" s="38" t="s">
        <v>109</v>
      </c>
      <c r="M207" s="27"/>
      <c r="N207" s="17" t="s">
        <v>315</v>
      </c>
      <c r="O207" s="17"/>
      <c r="P207" s="40" t="s">
        <v>111</v>
      </c>
      <c r="Q207" s="20"/>
      <c r="R207" s="20"/>
      <c r="S207" s="20"/>
      <c r="T207" s="20"/>
      <c r="U207" s="20"/>
      <c r="V207" s="45"/>
      <c r="Z207" s="20"/>
      <c r="AA207" s="22" t="n">
        <v>5</v>
      </c>
      <c r="AB207" s="20"/>
      <c r="AC207" s="20"/>
      <c r="AD207" s="20"/>
      <c r="AE207" s="20"/>
    </row>
    <row r="208" customFormat="false" ht="15.75" hidden="false" customHeight="false" outlineLevel="0" collapsed="false">
      <c r="A208" s="12" t="str">
        <f aca="false">IF((AA208&gt;=4), "Y", "N")</f>
        <v>Y</v>
      </c>
      <c r="B208" s="12"/>
      <c r="C208" s="23" t="s">
        <v>1083</v>
      </c>
      <c r="D208" s="24" t="s">
        <v>94</v>
      </c>
      <c r="E208" s="25" t="s">
        <v>1084</v>
      </c>
      <c r="F208" s="17" t="s">
        <v>1085</v>
      </c>
      <c r="G208" s="17" t="s">
        <v>71</v>
      </c>
      <c r="H208" s="17" t="s">
        <v>72</v>
      </c>
      <c r="I208" s="17" t="s">
        <v>36</v>
      </c>
      <c r="J208" s="32" t="s">
        <v>205</v>
      </c>
      <c r="K208" s="17" t="n">
        <v>2008</v>
      </c>
      <c r="L208" s="38" t="s">
        <v>330</v>
      </c>
      <c r="M208" s="27"/>
      <c r="N208" s="17" t="s">
        <v>478</v>
      </c>
      <c r="O208" s="17"/>
      <c r="P208" s="40" t="s">
        <v>111</v>
      </c>
      <c r="Q208" s="12"/>
      <c r="R208" s="12"/>
      <c r="S208" s="12"/>
      <c r="T208" s="12"/>
      <c r="U208" s="12"/>
      <c r="V208" s="21"/>
      <c r="Z208" s="12"/>
      <c r="AA208" s="29" t="n">
        <v>5</v>
      </c>
      <c r="AB208" s="12"/>
      <c r="AC208" s="12"/>
      <c r="AD208" s="12"/>
      <c r="AE208" s="12"/>
    </row>
    <row r="209" customFormat="false" ht="15.75" hidden="false" customHeight="false" outlineLevel="0" collapsed="false">
      <c r="A209" s="12" t="str">
        <f aca="false">IF((AA209&gt;=4), "Y", "N")</f>
        <v>Y</v>
      </c>
      <c r="B209" s="12"/>
      <c r="C209" s="23" t="s">
        <v>1086</v>
      </c>
      <c r="D209" s="24" t="s">
        <v>94</v>
      </c>
      <c r="E209" s="25" t="s">
        <v>1087</v>
      </c>
      <c r="F209" s="17" t="s">
        <v>1088</v>
      </c>
      <c r="G209" s="17" t="s">
        <v>405</v>
      </c>
      <c r="H209" s="17" t="s">
        <v>72</v>
      </c>
      <c r="I209" s="17" t="s">
        <v>36</v>
      </c>
      <c r="J209" s="32" t="s">
        <v>205</v>
      </c>
      <c r="K209" s="17" t="n">
        <v>2009</v>
      </c>
      <c r="L209" s="33" t="s">
        <v>275</v>
      </c>
      <c r="M209" s="27"/>
      <c r="N209" s="17" t="s">
        <v>478</v>
      </c>
      <c r="O209" s="17"/>
      <c r="P209" s="40" t="s">
        <v>111</v>
      </c>
      <c r="Q209" s="12"/>
      <c r="R209" s="12"/>
      <c r="S209" s="12"/>
      <c r="T209" s="12"/>
      <c r="U209" s="12"/>
      <c r="V209" s="21"/>
      <c r="Z209" s="12"/>
      <c r="AA209" s="29" t="n">
        <v>5</v>
      </c>
      <c r="AB209" s="12"/>
      <c r="AC209" s="12"/>
      <c r="AD209" s="12"/>
      <c r="AE209" s="12"/>
    </row>
    <row r="210" customFormat="false" ht="15.75" hidden="false" customHeight="false" outlineLevel="0" collapsed="false">
      <c r="A210" s="12" t="str">
        <f aca="false">IF((AA210&gt;=4), "Y", "N")</f>
        <v>Y</v>
      </c>
      <c r="B210" s="13"/>
      <c r="C210" s="31" t="s">
        <v>1089</v>
      </c>
      <c r="D210" s="16" t="s">
        <v>94</v>
      </c>
      <c r="E210" s="32" t="s">
        <v>1090</v>
      </c>
      <c r="F210" s="32" t="s">
        <v>1091</v>
      </c>
      <c r="G210" s="32" t="s">
        <v>1092</v>
      </c>
      <c r="H210" s="17" t="s">
        <v>1093</v>
      </c>
      <c r="I210" s="17" t="s">
        <v>36</v>
      </c>
      <c r="J210" s="32" t="s">
        <v>205</v>
      </c>
      <c r="K210" s="33" t="n">
        <v>2000</v>
      </c>
      <c r="L210" s="33" t="s">
        <v>109</v>
      </c>
      <c r="M210" s="27"/>
      <c r="N210" s="37" t="s">
        <v>1094</v>
      </c>
      <c r="O210" s="17"/>
      <c r="P210" s="19" t="s">
        <v>76</v>
      </c>
      <c r="Q210" s="12"/>
      <c r="R210" s="12" t="s">
        <v>1095</v>
      </c>
      <c r="S210" s="12"/>
      <c r="T210" s="12" t="s">
        <v>1096</v>
      </c>
      <c r="U210" s="12"/>
      <c r="V210" s="21" t="s">
        <v>31</v>
      </c>
      <c r="Z210" s="12"/>
      <c r="AA210" s="22" t="str">
        <f aca="false">IF(P210="OD500 US (submitted)", "5", " ")</f>
        <v>5</v>
      </c>
      <c r="AB210" s="12"/>
      <c r="AC210" s="12"/>
      <c r="AD210" s="12"/>
      <c r="AE210" s="12"/>
    </row>
    <row r="211" customFormat="false" ht="15.75" hidden="false" customHeight="false" outlineLevel="0" collapsed="false">
      <c r="A211" s="12" t="s">
        <v>31</v>
      </c>
      <c r="B211" s="12" t="s">
        <v>32</v>
      </c>
      <c r="C211" s="35" t="s">
        <v>1097</v>
      </c>
      <c r="D211" s="24" t="s">
        <v>94</v>
      </c>
      <c r="E211" s="25" t="s">
        <v>1098</v>
      </c>
      <c r="F211" s="36" t="s">
        <v>1099</v>
      </c>
      <c r="G211" s="17" t="s">
        <v>1100</v>
      </c>
      <c r="H211" s="17"/>
      <c r="I211" s="26" t="s">
        <v>82</v>
      </c>
      <c r="J211" s="32" t="s">
        <v>205</v>
      </c>
      <c r="K211" s="17"/>
      <c r="L211" s="17"/>
      <c r="M211" s="27" t="s">
        <v>147</v>
      </c>
      <c r="N211" s="17" t="s">
        <v>1101</v>
      </c>
      <c r="O211" s="17" t="s">
        <v>675</v>
      </c>
      <c r="P211" s="19" t="s">
        <v>84</v>
      </c>
      <c r="Q211" s="12"/>
      <c r="R211" s="12"/>
      <c r="S211" s="12"/>
      <c r="T211" s="12"/>
      <c r="U211" s="12"/>
      <c r="V211" s="21"/>
      <c r="Z211" s="12"/>
      <c r="AA211" s="29" t="n">
        <v>4</v>
      </c>
      <c r="AB211" s="12"/>
      <c r="AC211" s="12"/>
      <c r="AD211" s="12"/>
      <c r="AE211" s="12"/>
    </row>
    <row r="212" customFormat="false" ht="15.75" hidden="false" customHeight="false" outlineLevel="0" collapsed="false">
      <c r="A212" s="12" t="str">
        <f aca="false">IF((AA212&gt;=4), "Y", "N")</f>
        <v>Y</v>
      </c>
      <c r="B212" s="13"/>
      <c r="C212" s="31" t="s">
        <v>1102</v>
      </c>
      <c r="D212" s="16" t="s">
        <v>94</v>
      </c>
      <c r="E212" s="32" t="s">
        <v>1103</v>
      </c>
      <c r="F212" s="32" t="s">
        <v>1104</v>
      </c>
      <c r="G212" s="32" t="s">
        <v>1105</v>
      </c>
      <c r="H212" s="17" t="s">
        <v>439</v>
      </c>
      <c r="I212" s="17" t="s">
        <v>36</v>
      </c>
      <c r="J212" s="32" t="s">
        <v>205</v>
      </c>
      <c r="K212" s="33" t="n">
        <v>1895</v>
      </c>
      <c r="L212" s="33" t="s">
        <v>275</v>
      </c>
      <c r="M212" s="27"/>
      <c r="N212" s="37" t="s">
        <v>110</v>
      </c>
      <c r="O212" s="17"/>
      <c r="P212" s="19" t="s">
        <v>76</v>
      </c>
      <c r="Q212" s="12"/>
      <c r="R212" s="12" t="s">
        <v>1106</v>
      </c>
      <c r="S212" s="12"/>
      <c r="T212" s="12" t="s">
        <v>1107</v>
      </c>
      <c r="U212" s="12"/>
      <c r="V212" s="21" t="s">
        <v>31</v>
      </c>
      <c r="Z212" s="12"/>
      <c r="AA212" s="22" t="str">
        <f aca="false">IF(P212="OD500 US (submitted)", "5", " ")</f>
        <v>5</v>
      </c>
      <c r="AB212" s="12"/>
      <c r="AC212" s="12"/>
      <c r="AD212" s="12"/>
      <c r="AE212" s="12"/>
    </row>
    <row r="213" customFormat="false" ht="15.75" hidden="false" customHeight="false" outlineLevel="0" collapsed="false">
      <c r="A213" s="12" t="str">
        <f aca="false">IF((AA213&gt;=4), "Y", "N")</f>
        <v>Y</v>
      </c>
      <c r="B213" s="13"/>
      <c r="C213" s="31" t="s">
        <v>1108</v>
      </c>
      <c r="D213" s="16" t="s">
        <v>94</v>
      </c>
      <c r="E213" s="32" t="s">
        <v>1109</v>
      </c>
      <c r="F213" s="32" t="s">
        <v>1110</v>
      </c>
      <c r="G213" s="32" t="s">
        <v>1111</v>
      </c>
      <c r="H213" s="17" t="s">
        <v>146</v>
      </c>
      <c r="I213" s="17" t="s">
        <v>36</v>
      </c>
      <c r="J213" s="32" t="s">
        <v>205</v>
      </c>
      <c r="K213" s="33" t="n">
        <v>1912</v>
      </c>
      <c r="L213" s="33" t="s">
        <v>275</v>
      </c>
      <c r="M213" s="27"/>
      <c r="N213" s="37" t="s">
        <v>1112</v>
      </c>
      <c r="O213" s="17"/>
      <c r="P213" s="19" t="s">
        <v>76</v>
      </c>
      <c r="Q213" s="20"/>
      <c r="R213" s="20" t="s">
        <v>1113</v>
      </c>
      <c r="S213" s="20"/>
      <c r="T213" s="20" t="s">
        <v>1114</v>
      </c>
      <c r="U213" s="20"/>
      <c r="V213" s="21" t="s">
        <v>31</v>
      </c>
      <c r="Z213" s="20"/>
      <c r="AA213" s="22" t="n">
        <v>5</v>
      </c>
      <c r="AB213" s="20"/>
      <c r="AC213" s="20"/>
      <c r="AD213" s="20"/>
      <c r="AE213" s="20"/>
    </row>
    <row r="214" customFormat="false" ht="15.75" hidden="false" customHeight="false" outlineLevel="0" collapsed="false">
      <c r="A214" s="12" t="str">
        <f aca="false">IF((AA214&gt;=4), "Y", "N")</f>
        <v>Y</v>
      </c>
      <c r="B214" s="13"/>
      <c r="C214" s="31" t="s">
        <v>1115</v>
      </c>
      <c r="D214" s="16" t="s">
        <v>94</v>
      </c>
      <c r="E214" s="32" t="s">
        <v>1116</v>
      </c>
      <c r="F214" s="32" t="s">
        <v>1117</v>
      </c>
      <c r="G214" s="32" t="s">
        <v>71</v>
      </c>
      <c r="H214" s="17" t="s">
        <v>72</v>
      </c>
      <c r="I214" s="17" t="s">
        <v>36</v>
      </c>
      <c r="J214" s="32" t="s">
        <v>205</v>
      </c>
      <c r="K214" s="33" t="n">
        <v>2012</v>
      </c>
      <c r="L214" s="33" t="s">
        <v>99</v>
      </c>
      <c r="M214" s="27"/>
      <c r="N214" s="17" t="s">
        <v>478</v>
      </c>
      <c r="O214" s="17"/>
      <c r="P214" s="19" t="s">
        <v>76</v>
      </c>
      <c r="Q214" s="12"/>
      <c r="R214" s="12" t="s">
        <v>1118</v>
      </c>
      <c r="S214" s="12"/>
      <c r="T214" s="12" t="s">
        <v>1119</v>
      </c>
      <c r="U214" s="12"/>
      <c r="V214" s="21" t="s">
        <v>31</v>
      </c>
      <c r="Z214" s="12"/>
      <c r="AA214" s="22" t="str">
        <f aca="false">IF(P214="OD500 US (submitted)", "5", " ")</f>
        <v>5</v>
      </c>
      <c r="AB214" s="12"/>
      <c r="AC214" s="12"/>
      <c r="AD214" s="12"/>
      <c r="AE214" s="12"/>
    </row>
    <row r="215" customFormat="false" ht="15.75" hidden="false" customHeight="false" outlineLevel="0" collapsed="false">
      <c r="A215" s="12" t="str">
        <f aca="false">IF((AA215&gt;=4), "Y", "N")</f>
        <v>Y</v>
      </c>
      <c r="B215" s="12"/>
      <c r="C215" s="23" t="s">
        <v>1120</v>
      </c>
      <c r="D215" s="24" t="s">
        <v>94</v>
      </c>
      <c r="E215" s="25" t="s">
        <v>1121</v>
      </c>
      <c r="F215" s="17" t="s">
        <v>1122</v>
      </c>
      <c r="G215" s="17" t="s">
        <v>1123</v>
      </c>
      <c r="H215" s="26" t="s">
        <v>353</v>
      </c>
      <c r="I215" s="17" t="s">
        <v>36</v>
      </c>
      <c r="J215" s="32" t="s">
        <v>205</v>
      </c>
      <c r="K215" s="17" t="n">
        <v>2012</v>
      </c>
      <c r="L215" s="38" t="s">
        <v>109</v>
      </c>
      <c r="M215" s="27"/>
      <c r="N215" s="17" t="s">
        <v>478</v>
      </c>
      <c r="O215" s="17"/>
      <c r="P215" s="40" t="s">
        <v>111</v>
      </c>
      <c r="Q215" s="12"/>
      <c r="R215" s="12"/>
      <c r="S215" s="12"/>
      <c r="T215" s="12"/>
      <c r="U215" s="12"/>
      <c r="V215" s="21"/>
      <c r="Z215" s="12"/>
      <c r="AA215" s="29" t="n">
        <v>5</v>
      </c>
      <c r="AB215" s="12"/>
      <c r="AC215" s="12"/>
      <c r="AD215" s="12"/>
      <c r="AE215" s="12"/>
    </row>
    <row r="216" customFormat="false" ht="26.3" hidden="false" customHeight="false" outlineLevel="0" collapsed="false">
      <c r="A216" s="12" t="str">
        <f aca="false">IF((AA216&gt;=4), "Y", "N")</f>
        <v>Y</v>
      </c>
      <c r="B216" s="12"/>
      <c r="C216" s="23" t="s">
        <v>1124</v>
      </c>
      <c r="D216" s="24" t="s">
        <v>94</v>
      </c>
      <c r="E216" s="25" t="s">
        <v>1125</v>
      </c>
      <c r="F216" s="17" t="s">
        <v>1126</v>
      </c>
      <c r="G216" s="17" t="s">
        <v>1061</v>
      </c>
      <c r="H216" s="26" t="s">
        <v>72</v>
      </c>
      <c r="I216" s="17" t="s">
        <v>36</v>
      </c>
      <c r="J216" s="32" t="s">
        <v>205</v>
      </c>
      <c r="K216" s="17" t="n">
        <v>1993</v>
      </c>
      <c r="L216" s="33" t="s">
        <v>275</v>
      </c>
      <c r="M216" s="27"/>
      <c r="N216" s="0" t="s">
        <v>478</v>
      </c>
      <c r="O216" s="79" t="s">
        <v>1127</v>
      </c>
      <c r="P216" s="40" t="s">
        <v>111</v>
      </c>
      <c r="Q216" s="12"/>
      <c r="R216" s="12"/>
      <c r="S216" s="12"/>
      <c r="T216" s="12"/>
      <c r="U216" s="12"/>
      <c r="V216" s="21"/>
      <c r="Z216" s="12"/>
      <c r="AA216" s="29" t="n">
        <v>5</v>
      </c>
      <c r="AB216" s="12"/>
      <c r="AC216" s="12"/>
      <c r="AD216" s="12"/>
      <c r="AE216" s="12"/>
    </row>
    <row r="217" customFormat="false" ht="15.75" hidden="false" customHeight="false" outlineLevel="0" collapsed="false">
      <c r="A217" s="12" t="str">
        <f aca="false">IF((AA217&gt;=4), "Y", "N")</f>
        <v>Y</v>
      </c>
      <c r="B217" s="13"/>
      <c r="C217" s="31" t="s">
        <v>1128</v>
      </c>
      <c r="D217" s="16" t="s">
        <v>94</v>
      </c>
      <c r="E217" s="32" t="s">
        <v>1129</v>
      </c>
      <c r="F217" s="32" t="s">
        <v>1130</v>
      </c>
      <c r="G217" s="32" t="s">
        <v>1131</v>
      </c>
      <c r="H217" s="26" t="s">
        <v>353</v>
      </c>
      <c r="I217" s="17" t="s">
        <v>36</v>
      </c>
      <c r="J217" s="32" t="s">
        <v>205</v>
      </c>
      <c r="K217" s="33" t="n">
        <v>2004</v>
      </c>
      <c r="L217" s="33" t="s">
        <v>109</v>
      </c>
      <c r="M217" s="27"/>
      <c r="N217" s="65" t="s">
        <v>1132</v>
      </c>
      <c r="O217" s="17"/>
      <c r="P217" s="19" t="s">
        <v>76</v>
      </c>
      <c r="Q217" s="12"/>
      <c r="R217" s="12" t="s">
        <v>1133</v>
      </c>
      <c r="S217" s="12"/>
      <c r="T217" s="12" t="s">
        <v>1134</v>
      </c>
      <c r="U217" s="12"/>
      <c r="V217" s="21" t="s">
        <v>31</v>
      </c>
      <c r="Z217" s="12"/>
      <c r="AA217" s="63" t="s">
        <v>478</v>
      </c>
      <c r="AB217" s="12"/>
      <c r="AC217" s="12"/>
      <c r="AD217" s="12"/>
      <c r="AE217" s="12"/>
    </row>
    <row r="218" customFormat="false" ht="15.75" hidden="false" customHeight="false" outlineLevel="0" collapsed="false">
      <c r="A218" s="12" t="str">
        <f aca="false">IF((AA218&gt;=4), "Y", "N")</f>
        <v>Y</v>
      </c>
      <c r="B218" s="13"/>
      <c r="C218" s="31" t="s">
        <v>1135</v>
      </c>
      <c r="D218" s="16" t="s">
        <v>94</v>
      </c>
      <c r="E218" s="32" t="s">
        <v>1136</v>
      </c>
      <c r="F218" s="32" t="s">
        <v>1137</v>
      </c>
      <c r="G218" s="32" t="s">
        <v>1138</v>
      </c>
      <c r="H218" s="26" t="s">
        <v>297</v>
      </c>
      <c r="I218" s="17" t="s">
        <v>36</v>
      </c>
      <c r="J218" s="32" t="s">
        <v>205</v>
      </c>
      <c r="K218" s="33" t="n">
        <v>2000</v>
      </c>
      <c r="L218" s="33" t="s">
        <v>99</v>
      </c>
      <c r="M218" s="27"/>
      <c r="N218" s="39" t="s">
        <v>1139</v>
      </c>
      <c r="O218" s="17"/>
      <c r="P218" s="19" t="s">
        <v>76</v>
      </c>
      <c r="Q218" s="12"/>
      <c r="R218" s="12" t="s">
        <v>1140</v>
      </c>
      <c r="S218" s="12"/>
      <c r="T218" s="12" t="s">
        <v>1141</v>
      </c>
      <c r="U218" s="12"/>
      <c r="V218" s="21" t="s">
        <v>31</v>
      </c>
      <c r="Z218" s="12"/>
      <c r="AA218" s="22" t="str">
        <f aca="false">IF(P218="OD500 US (submitted)", "5", " ")</f>
        <v>5</v>
      </c>
      <c r="AB218" s="12"/>
      <c r="AC218" s="12"/>
      <c r="AD218" s="12"/>
      <c r="AE218" s="12"/>
    </row>
    <row r="219" customFormat="false" ht="15.75" hidden="false" customHeight="false" outlineLevel="0" collapsed="false">
      <c r="A219" s="12" t="str">
        <f aca="false">IF((AA219&gt;=4), "Y", "N")</f>
        <v>Y</v>
      </c>
      <c r="B219" s="13"/>
      <c r="C219" s="31" t="s">
        <v>1142</v>
      </c>
      <c r="D219" s="16" t="s">
        <v>94</v>
      </c>
      <c r="E219" s="32" t="s">
        <v>1143</v>
      </c>
      <c r="F219" s="32" t="s">
        <v>1144</v>
      </c>
      <c r="G219" s="32" t="s">
        <v>1145</v>
      </c>
      <c r="H219" s="26" t="s">
        <v>390</v>
      </c>
      <c r="I219" s="17" t="s">
        <v>36</v>
      </c>
      <c r="J219" s="32" t="s">
        <v>205</v>
      </c>
      <c r="K219" s="33" t="n">
        <v>2010</v>
      </c>
      <c r="L219" s="33" t="s">
        <v>109</v>
      </c>
      <c r="M219" s="27"/>
      <c r="N219" s="44" t="s">
        <v>1146</v>
      </c>
      <c r="O219" s="17"/>
      <c r="P219" s="19" t="s">
        <v>76</v>
      </c>
      <c r="Q219" s="12"/>
      <c r="R219" s="12" t="s">
        <v>1147</v>
      </c>
      <c r="S219" s="12"/>
      <c r="T219" s="12" t="s">
        <v>1148</v>
      </c>
      <c r="U219" s="12"/>
      <c r="V219" s="21" t="s">
        <v>31</v>
      </c>
      <c r="Z219" s="12"/>
      <c r="AA219" s="22" t="str">
        <f aca="false">IF(P219="OD500 US (submitted)", "5", " ")</f>
        <v>5</v>
      </c>
      <c r="AB219" s="12"/>
      <c r="AC219" s="12"/>
      <c r="AD219" s="12"/>
      <c r="AE219" s="12"/>
    </row>
    <row r="220" customFormat="false" ht="15.75" hidden="false" customHeight="false" outlineLevel="0" collapsed="false">
      <c r="A220" s="12" t="str">
        <f aca="false">IF((AA220&gt;=4), "Y", "N")</f>
        <v>Y</v>
      </c>
      <c r="B220" s="13"/>
      <c r="C220" s="31" t="s">
        <v>1149</v>
      </c>
      <c r="D220" s="16" t="s">
        <v>94</v>
      </c>
      <c r="E220" s="32" t="s">
        <v>1150</v>
      </c>
      <c r="F220" s="32" t="s">
        <v>1151</v>
      </c>
      <c r="G220" s="32" t="s">
        <v>71</v>
      </c>
      <c r="H220" s="26" t="s">
        <v>72</v>
      </c>
      <c r="I220" s="17" t="s">
        <v>36</v>
      </c>
      <c r="J220" s="32" t="s">
        <v>205</v>
      </c>
      <c r="K220" s="33" t="n">
        <v>2014</v>
      </c>
      <c r="L220" s="33" t="s">
        <v>109</v>
      </c>
      <c r="M220" s="27"/>
      <c r="N220" s="39" t="s">
        <v>1152</v>
      </c>
      <c r="O220" s="17"/>
      <c r="P220" s="19" t="s">
        <v>76</v>
      </c>
      <c r="Q220" s="20"/>
      <c r="R220" s="20" t="s">
        <v>1153</v>
      </c>
      <c r="S220" s="20"/>
      <c r="T220" s="20" t="s">
        <v>1154</v>
      </c>
      <c r="U220" s="20"/>
      <c r="V220" s="21" t="s">
        <v>31</v>
      </c>
      <c r="Z220" s="20"/>
      <c r="AA220" s="22" t="str">
        <f aca="false">IF(P220="OD500 US (submitted)", "5", " ")</f>
        <v>5</v>
      </c>
      <c r="AB220" s="20"/>
      <c r="AC220" s="20"/>
      <c r="AD220" s="20"/>
      <c r="AE220" s="20"/>
    </row>
    <row r="221" customFormat="false" ht="15.75" hidden="false" customHeight="false" outlineLevel="0" collapsed="false">
      <c r="A221" s="12" t="str">
        <f aca="false">IF((AA221&gt;=4), "Y", "N")</f>
        <v>Y</v>
      </c>
      <c r="B221" s="12"/>
      <c r="C221" s="23" t="s">
        <v>1155</v>
      </c>
      <c r="D221" s="24" t="s">
        <v>94</v>
      </c>
      <c r="E221" s="25" t="s">
        <v>1156</v>
      </c>
      <c r="F221" s="17" t="s">
        <v>1157</v>
      </c>
      <c r="G221" s="17" t="s">
        <v>368</v>
      </c>
      <c r="H221" s="26" t="s">
        <v>369</v>
      </c>
      <c r="I221" s="17" t="s">
        <v>36</v>
      </c>
      <c r="J221" s="32" t="s">
        <v>205</v>
      </c>
      <c r="K221" s="17" t="n">
        <v>2011</v>
      </c>
      <c r="L221" s="38" t="s">
        <v>73</v>
      </c>
      <c r="M221" s="27"/>
      <c r="N221" s="17" t="s">
        <v>478</v>
      </c>
      <c r="O221" s="17"/>
      <c r="P221" s="40" t="s">
        <v>111</v>
      </c>
      <c r="Q221" s="20"/>
      <c r="R221" s="20"/>
      <c r="S221" s="20"/>
      <c r="T221" s="20"/>
      <c r="U221" s="20"/>
      <c r="V221" s="45"/>
      <c r="Z221" s="20"/>
      <c r="AA221" s="22" t="n">
        <v>5</v>
      </c>
      <c r="AB221" s="20"/>
      <c r="AC221" s="20"/>
      <c r="AD221" s="20"/>
      <c r="AE221" s="20"/>
    </row>
    <row r="222" customFormat="false" ht="15.75" hidden="false" customHeight="false" outlineLevel="0" collapsed="false">
      <c r="A222" s="12" t="str">
        <f aca="false">IF((AA222&gt;=4), "Y", "N")</f>
        <v>Y</v>
      </c>
      <c r="B222" s="12"/>
      <c r="C222" s="23" t="s">
        <v>1158</v>
      </c>
      <c r="D222" s="24" t="s">
        <v>94</v>
      </c>
      <c r="E222" s="25" t="s">
        <v>1159</v>
      </c>
      <c r="F222" s="17" t="s">
        <v>1160</v>
      </c>
      <c r="G222" s="17" t="s">
        <v>1161</v>
      </c>
      <c r="H222" s="26" t="s">
        <v>1093</v>
      </c>
      <c r="I222" s="17" t="s">
        <v>36</v>
      </c>
      <c r="J222" s="32" t="s">
        <v>205</v>
      </c>
      <c r="K222" s="17" t="n">
        <v>1999</v>
      </c>
      <c r="L222" s="38" t="s">
        <v>109</v>
      </c>
      <c r="M222" s="27"/>
      <c r="N222" s="17" t="s">
        <v>377</v>
      </c>
      <c r="O222" s="17"/>
      <c r="P222" s="40" t="s">
        <v>111</v>
      </c>
      <c r="Q222" s="20"/>
      <c r="R222" s="20"/>
      <c r="S222" s="20"/>
      <c r="T222" s="20"/>
      <c r="U222" s="20"/>
      <c r="V222" s="45"/>
      <c r="Z222" s="20"/>
      <c r="AA222" s="22" t="n">
        <v>5</v>
      </c>
      <c r="AB222" s="20"/>
      <c r="AC222" s="20"/>
      <c r="AD222" s="20"/>
      <c r="AE222" s="20"/>
    </row>
    <row r="223" customFormat="false" ht="15.75" hidden="false" customHeight="false" outlineLevel="0" collapsed="false">
      <c r="A223" s="12" t="str">
        <f aca="false">IF((AA223&gt;=4), "Y", "N")</f>
        <v>Y</v>
      </c>
      <c r="B223" s="13"/>
      <c r="C223" s="31" t="s">
        <v>1162</v>
      </c>
      <c r="D223" s="16" t="s">
        <v>94</v>
      </c>
      <c r="E223" s="32" t="s">
        <v>1163</v>
      </c>
      <c r="F223" s="32" t="s">
        <v>1164</v>
      </c>
      <c r="G223" s="32" t="s">
        <v>1165</v>
      </c>
      <c r="H223" s="26" t="s">
        <v>98</v>
      </c>
      <c r="I223" s="17" t="s">
        <v>36</v>
      </c>
      <c r="J223" s="32" t="s">
        <v>205</v>
      </c>
      <c r="K223" s="33" t="n">
        <v>2010</v>
      </c>
      <c r="L223" s="33" t="s">
        <v>109</v>
      </c>
      <c r="M223" s="27"/>
      <c r="N223" s="17" t="s">
        <v>478</v>
      </c>
      <c r="O223" s="17"/>
      <c r="P223" s="19" t="s">
        <v>76</v>
      </c>
      <c r="Q223" s="12"/>
      <c r="R223" s="12" t="s">
        <v>1166</v>
      </c>
      <c r="S223" s="12"/>
      <c r="T223" s="12" t="s">
        <v>1167</v>
      </c>
      <c r="U223" s="12"/>
      <c r="V223" s="21" t="s">
        <v>31</v>
      </c>
      <c r="Z223" s="12"/>
      <c r="AA223" s="22" t="str">
        <f aca="false">IF(P223="OD500 US (submitted)", "5", " ")</f>
        <v>5</v>
      </c>
      <c r="AB223" s="12"/>
      <c r="AC223" s="12"/>
      <c r="AD223" s="12"/>
      <c r="AE223" s="12"/>
    </row>
    <row r="224" customFormat="false" ht="15.75" hidden="false" customHeight="false" outlineLevel="0" collapsed="false">
      <c r="A224" s="12" t="str">
        <f aca="false">IF((AA224&gt;=4), "Y", "N")</f>
        <v>Y</v>
      </c>
      <c r="B224" s="13"/>
      <c r="C224" s="31" t="s">
        <v>1168</v>
      </c>
      <c r="D224" s="16" t="s">
        <v>94</v>
      </c>
      <c r="E224" s="32" t="s">
        <v>1169</v>
      </c>
      <c r="F224" s="32" t="s">
        <v>1170</v>
      </c>
      <c r="G224" s="32" t="s">
        <v>1171</v>
      </c>
      <c r="H224" s="26" t="s">
        <v>1172</v>
      </c>
      <c r="I224" s="17" t="s">
        <v>36</v>
      </c>
      <c r="J224" s="32" t="s">
        <v>205</v>
      </c>
      <c r="K224" s="33" t="n">
        <v>2010</v>
      </c>
      <c r="L224" s="33" t="s">
        <v>99</v>
      </c>
      <c r="M224" s="27"/>
      <c r="N224" s="39" t="s">
        <v>1173</v>
      </c>
      <c r="O224" s="17"/>
      <c r="P224" s="19" t="s">
        <v>76</v>
      </c>
      <c r="Q224" s="12"/>
      <c r="R224" s="12" t="s">
        <v>1174</v>
      </c>
      <c r="S224" s="12"/>
      <c r="T224" s="12" t="s">
        <v>1175</v>
      </c>
      <c r="U224" s="12"/>
      <c r="V224" s="21" t="s">
        <v>31</v>
      </c>
      <c r="Z224" s="12"/>
      <c r="AA224" s="22" t="str">
        <f aca="false">IF(P224="OD500 US (submitted)", "5", " ")</f>
        <v>5</v>
      </c>
      <c r="AB224" s="12"/>
      <c r="AC224" s="12"/>
      <c r="AD224" s="12"/>
      <c r="AE224" s="12"/>
    </row>
    <row r="225" customFormat="false" ht="15.75" hidden="false" customHeight="false" outlineLevel="0" collapsed="false">
      <c r="A225" s="12" t="str">
        <f aca="false">IF((AA225&gt;=4), "Y", "N")</f>
        <v>Y</v>
      </c>
      <c r="B225" s="12"/>
      <c r="C225" s="23" t="s">
        <v>1176</v>
      </c>
      <c r="D225" s="24" t="s">
        <v>94</v>
      </c>
      <c r="E225" s="25" t="s">
        <v>1177</v>
      </c>
      <c r="F225" s="17" t="s">
        <v>1178</v>
      </c>
      <c r="G225" s="17" t="s">
        <v>462</v>
      </c>
      <c r="H225" s="26" t="s">
        <v>72</v>
      </c>
      <c r="I225" s="17" t="s">
        <v>36</v>
      </c>
      <c r="J225" s="32" t="s">
        <v>205</v>
      </c>
      <c r="K225" s="17" t="n">
        <v>2001</v>
      </c>
      <c r="L225" s="38" t="s">
        <v>330</v>
      </c>
      <c r="M225" s="27"/>
      <c r="N225" s="17" t="s">
        <v>478</v>
      </c>
      <c r="O225" s="17"/>
      <c r="P225" s="40" t="s">
        <v>111</v>
      </c>
      <c r="Q225" s="12"/>
      <c r="R225" s="12"/>
      <c r="S225" s="12"/>
      <c r="T225" s="12"/>
      <c r="U225" s="12"/>
      <c r="V225" s="21"/>
      <c r="Z225" s="12"/>
      <c r="AA225" s="29" t="n">
        <v>5</v>
      </c>
      <c r="AB225" s="12"/>
      <c r="AC225" s="12"/>
      <c r="AD225" s="12"/>
      <c r="AE225" s="12"/>
    </row>
    <row r="226" customFormat="false" ht="15.75" hidden="false" customHeight="false" outlineLevel="0" collapsed="false">
      <c r="A226" s="12" t="str">
        <f aca="false">IF((AA226&gt;=4), "Y", "N")</f>
        <v>Y</v>
      </c>
      <c r="B226" s="12"/>
      <c r="C226" s="23" t="s">
        <v>1179</v>
      </c>
      <c r="D226" s="24" t="s">
        <v>94</v>
      </c>
      <c r="E226" s="25" t="s">
        <v>1180</v>
      </c>
      <c r="F226" s="17" t="s">
        <v>1181</v>
      </c>
      <c r="G226" s="17" t="s">
        <v>1182</v>
      </c>
      <c r="H226" s="26" t="s">
        <v>516</v>
      </c>
      <c r="I226" s="17" t="s">
        <v>36</v>
      </c>
      <c r="J226" s="32" t="s">
        <v>205</v>
      </c>
      <c r="K226" s="17" t="n">
        <v>1968</v>
      </c>
      <c r="L226" s="33" t="s">
        <v>275</v>
      </c>
      <c r="M226" s="27"/>
      <c r="N226" s="17" t="s">
        <v>298</v>
      </c>
      <c r="O226" s="17"/>
      <c r="P226" s="40" t="s">
        <v>111</v>
      </c>
      <c r="Q226" s="12"/>
      <c r="R226" s="12"/>
      <c r="S226" s="12"/>
      <c r="T226" s="12"/>
      <c r="U226" s="12"/>
      <c r="V226" s="21"/>
      <c r="Z226" s="12"/>
      <c r="AA226" s="29" t="n">
        <v>5</v>
      </c>
      <c r="AB226" s="12"/>
      <c r="AC226" s="12"/>
      <c r="AD226" s="12"/>
      <c r="AE226" s="12"/>
    </row>
    <row r="227" customFormat="false" ht="15.75" hidden="false" customHeight="false" outlineLevel="0" collapsed="false">
      <c r="A227" s="12" t="str">
        <f aca="false">IF((AA227&gt;=4), "Y", "N")</f>
        <v>Y</v>
      </c>
      <c r="B227" s="12"/>
      <c r="C227" s="23" t="s">
        <v>1183</v>
      </c>
      <c r="D227" s="24" t="s">
        <v>94</v>
      </c>
      <c r="E227" s="25" t="s">
        <v>1184</v>
      </c>
      <c r="F227" s="17" t="s">
        <v>1185</v>
      </c>
      <c r="G227" s="17" t="s">
        <v>977</v>
      </c>
      <c r="H227" s="26" t="s">
        <v>303</v>
      </c>
      <c r="I227" s="17" t="s">
        <v>36</v>
      </c>
      <c r="J227" s="32" t="s">
        <v>205</v>
      </c>
      <c r="K227" s="17" t="n">
        <v>2010</v>
      </c>
      <c r="L227" s="33" t="s">
        <v>275</v>
      </c>
      <c r="M227" s="27"/>
      <c r="N227" s="17" t="s">
        <v>478</v>
      </c>
      <c r="O227" s="17"/>
      <c r="P227" s="40" t="s">
        <v>111</v>
      </c>
      <c r="Q227" s="12"/>
      <c r="R227" s="12"/>
      <c r="S227" s="12"/>
      <c r="T227" s="12"/>
      <c r="U227" s="12"/>
      <c r="V227" s="21"/>
      <c r="Z227" s="12"/>
      <c r="AA227" s="29" t="n">
        <v>4</v>
      </c>
      <c r="AB227" s="12"/>
      <c r="AC227" s="12"/>
      <c r="AD227" s="12"/>
      <c r="AE227" s="12"/>
    </row>
    <row r="228" customFormat="false" ht="15.75" hidden="false" customHeight="false" outlineLevel="0" collapsed="false">
      <c r="A228" s="12" t="str">
        <f aca="false">IF((AA228&gt;=4), "Y", "N")</f>
        <v>Y</v>
      </c>
      <c r="B228" s="12"/>
      <c r="C228" s="23" t="s">
        <v>1186</v>
      </c>
      <c r="D228" s="24" t="s">
        <v>94</v>
      </c>
      <c r="E228" s="25" t="s">
        <v>1187</v>
      </c>
      <c r="F228" s="17" t="s">
        <v>1188</v>
      </c>
      <c r="G228" s="17" t="s">
        <v>296</v>
      </c>
      <c r="H228" s="26" t="s">
        <v>297</v>
      </c>
      <c r="I228" s="17" t="s">
        <v>36</v>
      </c>
      <c r="J228" s="32" t="s">
        <v>205</v>
      </c>
      <c r="K228" s="17" t="n">
        <v>2013</v>
      </c>
      <c r="L228" s="38" t="s">
        <v>109</v>
      </c>
      <c r="M228" s="27"/>
      <c r="N228" s="39" t="s">
        <v>121</v>
      </c>
      <c r="O228" s="17"/>
      <c r="P228" s="40" t="s">
        <v>111</v>
      </c>
      <c r="Q228" s="12"/>
      <c r="R228" s="12"/>
      <c r="S228" s="12"/>
      <c r="T228" s="12"/>
      <c r="U228" s="12"/>
      <c r="V228" s="21"/>
      <c r="Z228" s="12"/>
      <c r="AA228" s="29" t="n">
        <v>5</v>
      </c>
      <c r="AB228" s="12"/>
      <c r="AC228" s="12"/>
      <c r="AD228" s="12"/>
      <c r="AE228" s="12"/>
    </row>
    <row r="229" customFormat="false" ht="15.75" hidden="false" customHeight="false" outlineLevel="0" collapsed="false">
      <c r="A229" s="12" t="str">
        <f aca="false">IF((AA229&gt;=4), "Y", "N")</f>
        <v>Y</v>
      </c>
      <c r="B229" s="13"/>
      <c r="C229" s="31" t="s">
        <v>1189</v>
      </c>
      <c r="D229" s="16" t="s">
        <v>94</v>
      </c>
      <c r="E229" s="32" t="s">
        <v>1190</v>
      </c>
      <c r="F229" s="32" t="s">
        <v>1191</v>
      </c>
      <c r="G229" s="32" t="s">
        <v>368</v>
      </c>
      <c r="H229" s="26" t="s">
        <v>369</v>
      </c>
      <c r="I229" s="17" t="s">
        <v>36</v>
      </c>
      <c r="J229" s="32" t="s">
        <v>205</v>
      </c>
      <c r="K229" s="33" t="n">
        <v>2013</v>
      </c>
      <c r="L229" s="33" t="s">
        <v>109</v>
      </c>
      <c r="M229" s="27"/>
      <c r="N229" s="39" t="s">
        <v>354</v>
      </c>
      <c r="O229" s="17"/>
      <c r="P229" s="19" t="s">
        <v>76</v>
      </c>
      <c r="Q229" s="20"/>
      <c r="R229" s="20" t="s">
        <v>1192</v>
      </c>
      <c r="S229" s="20"/>
      <c r="T229" s="20" t="s">
        <v>1193</v>
      </c>
      <c r="U229" s="20"/>
      <c r="V229" s="21" t="s">
        <v>31</v>
      </c>
      <c r="Z229" s="20"/>
      <c r="AA229" s="22" t="str">
        <f aca="false">IF(P229="OD500 US (submitted)", "5", " ")</f>
        <v>5</v>
      </c>
      <c r="AB229" s="20"/>
      <c r="AC229" s="20"/>
      <c r="AD229" s="20"/>
      <c r="AE229" s="20"/>
    </row>
    <row r="230" customFormat="false" ht="15.75" hidden="false" customHeight="false" outlineLevel="0" collapsed="false">
      <c r="A230" s="12" t="str">
        <f aca="false">IF((AA230&gt;=4), "Y", "N")</f>
        <v>Y</v>
      </c>
      <c r="B230" s="13"/>
      <c r="C230" s="31" t="s">
        <v>1194</v>
      </c>
      <c r="D230" s="16" t="s">
        <v>94</v>
      </c>
      <c r="E230" s="32" t="s">
        <v>1195</v>
      </c>
      <c r="F230" s="32" t="s">
        <v>1196</v>
      </c>
      <c r="G230" s="32" t="s">
        <v>145</v>
      </c>
      <c r="H230" s="26" t="s">
        <v>146</v>
      </c>
      <c r="I230" s="17" t="s">
        <v>36</v>
      </c>
      <c r="J230" s="32" t="s">
        <v>205</v>
      </c>
      <c r="K230" s="33" t="n">
        <v>2011</v>
      </c>
      <c r="L230" s="33" t="s">
        <v>109</v>
      </c>
      <c r="M230" s="27"/>
      <c r="N230" s="39" t="s">
        <v>377</v>
      </c>
      <c r="O230" s="17"/>
      <c r="P230" s="19" t="s">
        <v>76</v>
      </c>
      <c r="Q230" s="12"/>
      <c r="R230" s="12" t="s">
        <v>1197</v>
      </c>
      <c r="S230" s="12"/>
      <c r="T230" s="12" t="s">
        <v>1198</v>
      </c>
      <c r="U230" s="12"/>
      <c r="V230" s="21" t="s">
        <v>31</v>
      </c>
      <c r="Z230" s="12"/>
      <c r="AA230" s="22" t="str">
        <f aca="false">IF(P230="OD500 US (submitted)", "5", " ")</f>
        <v>5</v>
      </c>
      <c r="AB230" s="12"/>
      <c r="AC230" s="12"/>
      <c r="AD230" s="12"/>
      <c r="AE230" s="12"/>
    </row>
    <row r="231" customFormat="false" ht="15.75" hidden="false" customHeight="false" outlineLevel="0" collapsed="false">
      <c r="A231" s="12" t="str">
        <f aca="false">IF((AA231&gt;=4), "Y", "N")</f>
        <v>Y</v>
      </c>
      <c r="B231" s="12"/>
      <c r="C231" s="23" t="s">
        <v>1199</v>
      </c>
      <c r="D231" s="24" t="s">
        <v>94</v>
      </c>
      <c r="E231" s="25" t="s">
        <v>1200</v>
      </c>
      <c r="F231" s="17" t="s">
        <v>1201</v>
      </c>
      <c r="G231" s="17" t="s">
        <v>1202</v>
      </c>
      <c r="H231" s="26" t="s">
        <v>353</v>
      </c>
      <c r="I231" s="17" t="s">
        <v>36</v>
      </c>
      <c r="J231" s="32" t="s">
        <v>205</v>
      </c>
      <c r="K231" s="17" t="n">
        <v>2010</v>
      </c>
      <c r="L231" s="38" t="s">
        <v>109</v>
      </c>
      <c r="M231" s="27"/>
      <c r="N231" s="17" t="s">
        <v>478</v>
      </c>
      <c r="O231" s="17"/>
      <c r="P231" s="40" t="s">
        <v>111</v>
      </c>
      <c r="Q231" s="20"/>
      <c r="R231" s="20"/>
      <c r="S231" s="20"/>
      <c r="T231" s="20"/>
      <c r="U231" s="20"/>
      <c r="V231" s="45"/>
      <c r="Z231" s="20"/>
      <c r="AA231" s="22" t="n">
        <v>5</v>
      </c>
      <c r="AB231" s="20"/>
      <c r="AC231" s="20"/>
      <c r="AD231" s="20"/>
      <c r="AE231" s="20"/>
    </row>
    <row r="232" customFormat="false" ht="15.75" hidden="false" customHeight="false" outlineLevel="0" collapsed="false">
      <c r="A232" s="12" t="str">
        <f aca="false">IF((AA232&gt;=4), "Y", "N")</f>
        <v>Y</v>
      </c>
      <c r="B232" s="12"/>
      <c r="C232" s="23" t="s">
        <v>1203</v>
      </c>
      <c r="D232" s="24" t="s">
        <v>94</v>
      </c>
      <c r="E232" s="25" t="s">
        <v>1204</v>
      </c>
      <c r="F232" s="17" t="s">
        <v>1205</v>
      </c>
      <c r="G232" s="17" t="s">
        <v>1070</v>
      </c>
      <c r="H232" s="26" t="s">
        <v>72</v>
      </c>
      <c r="I232" s="17" t="s">
        <v>36</v>
      </c>
      <c r="J232" s="32" t="s">
        <v>205</v>
      </c>
      <c r="K232" s="17" t="n">
        <v>2005</v>
      </c>
      <c r="L232" s="38" t="s">
        <v>109</v>
      </c>
      <c r="M232" s="27"/>
      <c r="N232" s="39" t="s">
        <v>663</v>
      </c>
      <c r="O232" s="17"/>
      <c r="P232" s="40" t="s">
        <v>111</v>
      </c>
      <c r="Q232" s="17"/>
      <c r="R232" s="17"/>
      <c r="S232" s="17"/>
      <c r="T232" s="17"/>
      <c r="U232" s="17"/>
      <c r="V232" s="27"/>
      <c r="Z232" s="17"/>
      <c r="AA232" s="29" t="n">
        <v>5</v>
      </c>
      <c r="AB232" s="17"/>
      <c r="AC232" s="17"/>
      <c r="AD232" s="17"/>
      <c r="AE232" s="17"/>
    </row>
    <row r="233" customFormat="false" ht="15.75" hidden="false" customHeight="false" outlineLevel="0" collapsed="false">
      <c r="A233" s="12" t="str">
        <f aca="false">IF((AA233&gt;=4), "Y", "N")</f>
        <v>Y</v>
      </c>
      <c r="B233" s="13"/>
      <c r="C233" s="31" t="s">
        <v>1206</v>
      </c>
      <c r="D233" s="16" t="s">
        <v>94</v>
      </c>
      <c r="E233" s="32" t="s">
        <v>1207</v>
      </c>
      <c r="F233" s="32" t="s">
        <v>1208</v>
      </c>
      <c r="G233" s="32" t="s">
        <v>1209</v>
      </c>
      <c r="H233" s="26" t="s">
        <v>120</v>
      </c>
      <c r="I233" s="17" t="s">
        <v>36</v>
      </c>
      <c r="J233" s="32" t="s">
        <v>205</v>
      </c>
      <c r="K233" s="33" t="n">
        <v>2000</v>
      </c>
      <c r="L233" s="33" t="s">
        <v>109</v>
      </c>
      <c r="M233" s="27"/>
      <c r="N233" s="44" t="s">
        <v>1210</v>
      </c>
      <c r="O233" s="17"/>
      <c r="P233" s="19" t="s">
        <v>76</v>
      </c>
      <c r="Q233" s="17"/>
      <c r="R233" s="17" t="s">
        <v>1211</v>
      </c>
      <c r="S233" s="17"/>
      <c r="T233" s="17" t="s">
        <v>1212</v>
      </c>
      <c r="U233" s="17"/>
      <c r="V233" s="21" t="s">
        <v>31</v>
      </c>
      <c r="Z233" s="17"/>
      <c r="AA233" s="22" t="str">
        <f aca="false">IF(P233="OD500 US (submitted)", "5", " ")</f>
        <v>5</v>
      </c>
      <c r="AB233" s="17"/>
      <c r="AC233" s="17"/>
      <c r="AD233" s="17"/>
      <c r="AE233" s="17"/>
    </row>
    <row r="234" customFormat="false" ht="15.75" hidden="false" customHeight="false" outlineLevel="0" collapsed="false">
      <c r="A234" s="12" t="str">
        <f aca="false">IF((AA234&gt;=4), "Y", "N")</f>
        <v>Y</v>
      </c>
      <c r="B234" s="12"/>
      <c r="C234" s="23" t="s">
        <v>1213</v>
      </c>
      <c r="D234" s="24" t="s">
        <v>94</v>
      </c>
      <c r="E234" s="25" t="s">
        <v>1214</v>
      </c>
      <c r="F234" s="17" t="s">
        <v>1215</v>
      </c>
      <c r="G234" s="17" t="s">
        <v>495</v>
      </c>
      <c r="H234" s="26" t="s">
        <v>72</v>
      </c>
      <c r="I234" s="17" t="s">
        <v>36</v>
      </c>
      <c r="J234" s="32" t="s">
        <v>205</v>
      </c>
      <c r="K234" s="17" t="n">
        <v>2004</v>
      </c>
      <c r="L234" s="38" t="s">
        <v>482</v>
      </c>
      <c r="M234" s="27"/>
      <c r="N234" s="17" t="s">
        <v>919</v>
      </c>
      <c r="O234" s="17"/>
      <c r="P234" s="40" t="s">
        <v>111</v>
      </c>
      <c r="Q234" s="12"/>
      <c r="R234" s="12"/>
      <c r="S234" s="12"/>
      <c r="T234" s="12"/>
      <c r="U234" s="12"/>
      <c r="V234" s="21"/>
      <c r="Z234" s="12"/>
      <c r="AA234" s="29" t="n">
        <v>5</v>
      </c>
      <c r="AB234" s="12"/>
      <c r="AC234" s="12"/>
      <c r="AD234" s="12"/>
      <c r="AE234" s="12"/>
    </row>
    <row r="235" customFormat="false" ht="15.75" hidden="false" customHeight="false" outlineLevel="0" collapsed="false">
      <c r="A235" s="12" t="str">
        <f aca="false">IF((AA235&gt;=4), "Y", "N")</f>
        <v>Y</v>
      </c>
      <c r="B235" s="13"/>
      <c r="C235" s="31" t="s">
        <v>1216</v>
      </c>
      <c r="D235" s="16" t="s">
        <v>94</v>
      </c>
      <c r="E235" s="32" t="s">
        <v>1217</v>
      </c>
      <c r="F235" s="32" t="s">
        <v>1218</v>
      </c>
      <c r="G235" s="32" t="s">
        <v>1061</v>
      </c>
      <c r="H235" s="26" t="s">
        <v>72</v>
      </c>
      <c r="I235" s="17" t="s">
        <v>36</v>
      </c>
      <c r="J235" s="32" t="s">
        <v>205</v>
      </c>
      <c r="K235" s="33" t="n">
        <v>2012</v>
      </c>
      <c r="L235" s="33" t="s">
        <v>99</v>
      </c>
      <c r="M235" s="27"/>
      <c r="N235" s="39" t="s">
        <v>478</v>
      </c>
      <c r="O235" s="17"/>
      <c r="P235" s="19" t="s">
        <v>76</v>
      </c>
      <c r="Q235" s="12"/>
      <c r="R235" s="12" t="s">
        <v>1219</v>
      </c>
      <c r="S235" s="12"/>
      <c r="T235" s="12" t="s">
        <v>1220</v>
      </c>
      <c r="U235" s="12"/>
      <c r="V235" s="21" t="s">
        <v>31</v>
      </c>
      <c r="Z235" s="12"/>
      <c r="AA235" s="22" t="str">
        <f aca="false">IF(P235="OD500 US (submitted)", "5", " ")</f>
        <v>5</v>
      </c>
      <c r="AB235" s="12"/>
      <c r="AC235" s="12"/>
      <c r="AD235" s="12"/>
      <c r="AE235" s="12"/>
    </row>
    <row r="236" customFormat="false" ht="15.75" hidden="false" customHeight="false" outlineLevel="0" collapsed="false">
      <c r="A236" s="12" t="str">
        <f aca="false">IF((AA236&gt;=4), "Y", "N")</f>
        <v>Y</v>
      </c>
      <c r="B236" s="13"/>
      <c r="C236" s="31" t="s">
        <v>1221</v>
      </c>
      <c r="D236" s="16" t="s">
        <v>94</v>
      </c>
      <c r="E236" s="32" t="s">
        <v>1222</v>
      </c>
      <c r="F236" s="32" t="s">
        <v>1223</v>
      </c>
      <c r="G236" s="32" t="s">
        <v>368</v>
      </c>
      <c r="H236" s="26" t="s">
        <v>369</v>
      </c>
      <c r="I236" s="17" t="s">
        <v>36</v>
      </c>
      <c r="J236" s="32" t="s">
        <v>205</v>
      </c>
      <c r="K236" s="33" t="n">
        <v>2009</v>
      </c>
      <c r="L236" s="33" t="s">
        <v>99</v>
      </c>
      <c r="M236" s="27"/>
      <c r="N236" s="39" t="s">
        <v>1224</v>
      </c>
      <c r="O236" s="17"/>
      <c r="P236" s="19" t="s">
        <v>76</v>
      </c>
      <c r="Q236" s="20"/>
      <c r="R236" s="20" t="s">
        <v>1225</v>
      </c>
      <c r="S236" s="20"/>
      <c r="T236" s="20" t="s">
        <v>1226</v>
      </c>
      <c r="U236" s="20"/>
      <c r="V236" s="21" t="s">
        <v>31</v>
      </c>
      <c r="Z236" s="20"/>
      <c r="AA236" s="22" t="str">
        <f aca="false">IF(P236="OD500 US (submitted)", "5", " ")</f>
        <v>5</v>
      </c>
      <c r="AB236" s="20"/>
      <c r="AC236" s="20"/>
      <c r="AD236" s="20"/>
      <c r="AE236" s="20"/>
    </row>
    <row r="237" customFormat="false" ht="15.75" hidden="false" customHeight="false" outlineLevel="0" collapsed="false">
      <c r="A237" s="12" t="str">
        <f aca="false">IF((AA237&gt;=4), "Y", "N")</f>
        <v>Y</v>
      </c>
      <c r="B237" s="13"/>
      <c r="C237" s="31" t="s">
        <v>1227</v>
      </c>
      <c r="D237" s="16" t="s">
        <v>94</v>
      </c>
      <c r="E237" s="32" t="s">
        <v>1228</v>
      </c>
      <c r="F237" s="32" t="s">
        <v>1229</v>
      </c>
      <c r="G237" s="32" t="s">
        <v>1230</v>
      </c>
      <c r="H237" s="26" t="s">
        <v>353</v>
      </c>
      <c r="I237" s="17" t="s">
        <v>36</v>
      </c>
      <c r="J237" s="32" t="s">
        <v>205</v>
      </c>
      <c r="K237" s="33" t="n">
        <v>1999</v>
      </c>
      <c r="L237" s="33" t="s">
        <v>73</v>
      </c>
      <c r="M237" s="27"/>
      <c r="N237" s="39" t="s">
        <v>478</v>
      </c>
      <c r="O237" s="17"/>
      <c r="P237" s="19" t="s">
        <v>76</v>
      </c>
      <c r="Q237" s="17"/>
      <c r="R237" s="17" t="s">
        <v>1231</v>
      </c>
      <c r="S237" s="17"/>
      <c r="T237" s="17" t="s">
        <v>1232</v>
      </c>
      <c r="U237" s="17"/>
      <c r="V237" s="21" t="s">
        <v>31</v>
      </c>
      <c r="Z237" s="17"/>
      <c r="AA237" s="22" t="str">
        <f aca="false">IF(P237="OD500 US (submitted)", "5", " ")</f>
        <v>5</v>
      </c>
      <c r="AB237" s="17"/>
      <c r="AC237" s="17"/>
      <c r="AD237" s="17"/>
      <c r="AE237" s="17"/>
    </row>
    <row r="238" customFormat="false" ht="15.75" hidden="false" customHeight="false" outlineLevel="0" collapsed="false">
      <c r="A238" s="12" t="str">
        <f aca="false">IF((AA238&gt;=4), "Y", "N")</f>
        <v>Y</v>
      </c>
      <c r="B238" s="12"/>
      <c r="C238" s="23" t="s">
        <v>1233</v>
      </c>
      <c r="D238" s="24" t="s">
        <v>94</v>
      </c>
      <c r="E238" s="25" t="s">
        <v>1234</v>
      </c>
      <c r="F238" s="17" t="s">
        <v>1235</v>
      </c>
      <c r="G238" s="17" t="s">
        <v>145</v>
      </c>
      <c r="H238" s="26" t="s">
        <v>146</v>
      </c>
      <c r="I238" s="17" t="s">
        <v>36</v>
      </c>
      <c r="J238" s="32" t="s">
        <v>205</v>
      </c>
      <c r="K238" s="17" t="n">
        <v>2011</v>
      </c>
      <c r="L238" s="38" t="s">
        <v>109</v>
      </c>
      <c r="M238" s="27"/>
      <c r="N238" s="17" t="s">
        <v>478</v>
      </c>
      <c r="O238" s="17"/>
      <c r="P238" s="40" t="s">
        <v>111</v>
      </c>
      <c r="Q238" s="12"/>
      <c r="R238" s="12"/>
      <c r="S238" s="12"/>
      <c r="T238" s="12"/>
      <c r="U238" s="12"/>
      <c r="V238" s="21"/>
      <c r="Z238" s="12"/>
      <c r="AA238" s="29" t="n">
        <v>5</v>
      </c>
      <c r="AB238" s="12"/>
      <c r="AC238" s="12"/>
      <c r="AD238" s="12"/>
      <c r="AE238" s="12"/>
    </row>
    <row r="239" customFormat="false" ht="15.75" hidden="false" customHeight="false" outlineLevel="0" collapsed="false">
      <c r="A239" s="12" t="str">
        <f aca="false">IF((AA239&gt;=4), "Y", "N")</f>
        <v>Y</v>
      </c>
      <c r="B239" s="12"/>
      <c r="C239" s="23" t="s">
        <v>1236</v>
      </c>
      <c r="D239" s="24" t="s">
        <v>94</v>
      </c>
      <c r="E239" s="25" t="s">
        <v>1237</v>
      </c>
      <c r="F239" s="17" t="s">
        <v>1238</v>
      </c>
      <c r="G239" s="17" t="s">
        <v>302</v>
      </c>
      <c r="H239" s="26" t="s">
        <v>303</v>
      </c>
      <c r="I239" s="17" t="s">
        <v>36</v>
      </c>
      <c r="J239" s="32" t="s">
        <v>205</v>
      </c>
      <c r="K239" s="17" t="n">
        <v>2005</v>
      </c>
      <c r="L239" s="38" t="s">
        <v>99</v>
      </c>
      <c r="M239" s="27"/>
      <c r="N239" s="17" t="s">
        <v>478</v>
      </c>
      <c r="O239" s="17"/>
      <c r="P239" s="40" t="s">
        <v>111</v>
      </c>
      <c r="Q239" s="12"/>
      <c r="R239" s="12"/>
      <c r="S239" s="12"/>
      <c r="T239" s="12"/>
      <c r="U239" s="12"/>
      <c r="V239" s="21"/>
      <c r="Z239" s="12"/>
      <c r="AA239" s="29" t="n">
        <v>5</v>
      </c>
      <c r="AB239" s="12"/>
      <c r="AC239" s="12"/>
      <c r="AD239" s="12"/>
      <c r="AE239" s="12"/>
    </row>
    <row r="240" customFormat="false" ht="15.75" hidden="false" customHeight="false" outlineLevel="0" collapsed="false">
      <c r="A240" s="12" t="str">
        <f aca="false">IF((AA240&gt;=4), "Y", "N")</f>
        <v>Y</v>
      </c>
      <c r="B240" s="12"/>
      <c r="C240" s="23" t="s">
        <v>1239</v>
      </c>
      <c r="D240" s="24" t="s">
        <v>94</v>
      </c>
      <c r="E240" s="25" t="s">
        <v>1240</v>
      </c>
      <c r="F240" s="17" t="s">
        <v>1241</v>
      </c>
      <c r="G240" s="17" t="s">
        <v>1242</v>
      </c>
      <c r="H240" s="26" t="s">
        <v>1243</v>
      </c>
      <c r="I240" s="26" t="s">
        <v>561</v>
      </c>
      <c r="J240" s="32" t="s">
        <v>205</v>
      </c>
      <c r="K240" s="17" t="n">
        <v>2011</v>
      </c>
      <c r="L240" s="38" t="s">
        <v>109</v>
      </c>
      <c r="M240" s="27"/>
      <c r="N240" s="44" t="s">
        <v>1244</v>
      </c>
      <c r="O240" s="17"/>
      <c r="P240" s="40" t="s">
        <v>111</v>
      </c>
      <c r="Q240" s="20"/>
      <c r="R240" s="20"/>
      <c r="S240" s="20"/>
      <c r="T240" s="20"/>
      <c r="U240" s="20"/>
      <c r="V240" s="45"/>
      <c r="Z240" s="20"/>
      <c r="AA240" s="22" t="n">
        <v>5</v>
      </c>
      <c r="AB240" s="20"/>
      <c r="AC240" s="20"/>
      <c r="AD240" s="20"/>
      <c r="AE240" s="20"/>
    </row>
    <row r="241" customFormat="false" ht="15.75" hidden="false" customHeight="false" outlineLevel="0" collapsed="false">
      <c r="A241" s="12" t="str">
        <f aca="false">IF((AA241&gt;=4), "Y", "N")</f>
        <v>Y</v>
      </c>
      <c r="B241" s="13"/>
      <c r="C241" s="31" t="s">
        <v>1245</v>
      </c>
      <c r="D241" s="16" t="s">
        <v>94</v>
      </c>
      <c r="E241" s="32" t="s">
        <v>1246</v>
      </c>
      <c r="F241" s="32" t="s">
        <v>1247</v>
      </c>
      <c r="G241" s="32" t="s">
        <v>1248</v>
      </c>
      <c r="H241" s="26" t="s">
        <v>1249</v>
      </c>
      <c r="I241" s="17" t="s">
        <v>36</v>
      </c>
      <c r="J241" s="32" t="s">
        <v>205</v>
      </c>
      <c r="K241" s="33" t="n">
        <v>2008</v>
      </c>
      <c r="L241" s="33" t="s">
        <v>99</v>
      </c>
      <c r="M241" s="27"/>
      <c r="N241" s="44" t="s">
        <v>663</v>
      </c>
      <c r="O241" s="17"/>
      <c r="P241" s="19" t="s">
        <v>76</v>
      </c>
      <c r="Q241" s="20"/>
      <c r="R241" s="20" t="s">
        <v>1250</v>
      </c>
      <c r="S241" s="20"/>
      <c r="T241" s="20" t="s">
        <v>1251</v>
      </c>
      <c r="U241" s="20"/>
      <c r="V241" s="21" t="s">
        <v>31</v>
      </c>
      <c r="Z241" s="20"/>
      <c r="AA241" s="22" t="str">
        <f aca="false">IF(P241="OD500 US (submitted)", "5", " ")</f>
        <v>5</v>
      </c>
      <c r="AB241" s="20"/>
      <c r="AC241" s="20"/>
      <c r="AD241" s="20"/>
      <c r="AE241" s="20"/>
    </row>
    <row r="242" customFormat="false" ht="15.75" hidden="false" customHeight="false" outlineLevel="0" collapsed="false">
      <c r="A242" s="12" t="str">
        <f aca="false">IF((AA242&gt;=4), "Y", "N")</f>
        <v>Y</v>
      </c>
      <c r="B242" s="12"/>
      <c r="C242" s="23" t="s">
        <v>1252</v>
      </c>
      <c r="D242" s="24" t="s">
        <v>94</v>
      </c>
      <c r="E242" s="25" t="s">
        <v>1253</v>
      </c>
      <c r="F242" s="17" t="s">
        <v>1254</v>
      </c>
      <c r="G242" s="17" t="s">
        <v>71</v>
      </c>
      <c r="H242" s="26" t="s">
        <v>72</v>
      </c>
      <c r="I242" s="17" t="s">
        <v>36</v>
      </c>
      <c r="J242" s="32" t="s">
        <v>205</v>
      </c>
      <c r="K242" s="17" t="n">
        <v>1999</v>
      </c>
      <c r="L242" s="38" t="s">
        <v>73</v>
      </c>
      <c r="M242" s="27"/>
      <c r="N242" s="17" t="s">
        <v>478</v>
      </c>
      <c r="O242" s="17"/>
      <c r="P242" s="40" t="s">
        <v>111</v>
      </c>
      <c r="Q242" s="20"/>
      <c r="R242" s="20"/>
      <c r="S242" s="20"/>
      <c r="T242" s="20"/>
      <c r="U242" s="20"/>
      <c r="V242" s="45"/>
      <c r="Z242" s="20"/>
      <c r="AA242" s="22" t="n">
        <v>5</v>
      </c>
      <c r="AB242" s="20"/>
      <c r="AC242" s="20"/>
      <c r="AD242" s="20"/>
      <c r="AE242" s="20"/>
    </row>
    <row r="243" customFormat="false" ht="15.75" hidden="false" customHeight="false" outlineLevel="0" collapsed="false">
      <c r="A243" s="12" t="str">
        <f aca="false">IF((AA243&gt;=4), "Y", "N")</f>
        <v>Y</v>
      </c>
      <c r="B243" s="13"/>
      <c r="C243" s="31" t="s">
        <v>1255</v>
      </c>
      <c r="D243" s="16" t="s">
        <v>94</v>
      </c>
      <c r="E243" s="32" t="s">
        <v>1256</v>
      </c>
      <c r="F243" s="32" t="s">
        <v>1257</v>
      </c>
      <c r="G243" s="32" t="s">
        <v>1258</v>
      </c>
      <c r="H243" s="26" t="s">
        <v>353</v>
      </c>
      <c r="I243" s="17" t="s">
        <v>36</v>
      </c>
      <c r="J243" s="32" t="s">
        <v>205</v>
      </c>
      <c r="K243" s="33" t="n">
        <v>2013</v>
      </c>
      <c r="L243" s="33" t="s">
        <v>109</v>
      </c>
      <c r="M243" s="27"/>
      <c r="N243" s="44" t="s">
        <v>110</v>
      </c>
      <c r="O243" s="17"/>
      <c r="P243" s="19" t="s">
        <v>76</v>
      </c>
      <c r="Q243" s="12"/>
      <c r="R243" s="12" t="s">
        <v>1259</v>
      </c>
      <c r="S243" s="12"/>
      <c r="T243" s="12" t="s">
        <v>1260</v>
      </c>
      <c r="U243" s="12"/>
      <c r="V243" s="21" t="s">
        <v>31</v>
      </c>
      <c r="Z243" s="12"/>
      <c r="AA243" s="22" t="str">
        <f aca="false">IF(P243="OD500 US (submitted)", "5", " ")</f>
        <v>5</v>
      </c>
      <c r="AB243" s="12"/>
      <c r="AC243" s="12"/>
      <c r="AD243" s="12"/>
      <c r="AE243" s="12"/>
    </row>
    <row r="244" customFormat="false" ht="15.75" hidden="false" customHeight="false" outlineLevel="0" collapsed="false">
      <c r="A244" s="12" t="str">
        <f aca="false">IF((AA244&gt;=4), "Y", "N")</f>
        <v>Y</v>
      </c>
      <c r="B244" s="13"/>
      <c r="C244" s="31" t="s">
        <v>1261</v>
      </c>
      <c r="D244" s="16" t="s">
        <v>94</v>
      </c>
      <c r="E244" s="32" t="s">
        <v>1262</v>
      </c>
      <c r="F244" s="32" t="s">
        <v>1263</v>
      </c>
      <c r="G244" s="32" t="s">
        <v>1264</v>
      </c>
      <c r="H244" s="26" t="s">
        <v>353</v>
      </c>
      <c r="I244" s="17" t="s">
        <v>36</v>
      </c>
      <c r="J244" s="32" t="s">
        <v>205</v>
      </c>
      <c r="K244" s="33" t="n">
        <v>1989</v>
      </c>
      <c r="L244" s="38" t="s">
        <v>482</v>
      </c>
      <c r="M244" s="27"/>
      <c r="N244" s="44" t="s">
        <v>1265</v>
      </c>
      <c r="O244" s="17"/>
      <c r="P244" s="19" t="s">
        <v>76</v>
      </c>
      <c r="Q244" s="12"/>
      <c r="R244" s="12" t="s">
        <v>1266</v>
      </c>
      <c r="S244" s="12"/>
      <c r="T244" s="12" t="s">
        <v>1267</v>
      </c>
      <c r="U244" s="12"/>
      <c r="V244" s="21" t="s">
        <v>31</v>
      </c>
      <c r="Z244" s="12"/>
      <c r="AA244" s="22" t="str">
        <f aca="false">IF(P244="OD500 US (submitted)", "5", " ")</f>
        <v>5</v>
      </c>
      <c r="AB244" s="12"/>
      <c r="AC244" s="12"/>
      <c r="AD244" s="12"/>
      <c r="AE244" s="12"/>
    </row>
    <row r="245" customFormat="false" ht="15.75" hidden="false" customHeight="false" outlineLevel="0" collapsed="false">
      <c r="A245" s="12" t="str">
        <f aca="false">IF((AA245&gt;=4), "Y", "N")</f>
        <v>Y</v>
      </c>
      <c r="B245" s="12"/>
      <c r="C245" s="23" t="s">
        <v>1268</v>
      </c>
      <c r="D245" s="24" t="s">
        <v>94</v>
      </c>
      <c r="E245" s="25" t="s">
        <v>1269</v>
      </c>
      <c r="F245" s="17" t="s">
        <v>1270</v>
      </c>
      <c r="G245" s="17" t="s">
        <v>1271</v>
      </c>
      <c r="H245" s="26" t="s">
        <v>423</v>
      </c>
      <c r="I245" s="17" t="s">
        <v>36</v>
      </c>
      <c r="J245" s="32" t="s">
        <v>205</v>
      </c>
      <c r="K245" s="17" t="n">
        <v>1972</v>
      </c>
      <c r="L245" s="33" t="s">
        <v>275</v>
      </c>
      <c r="M245" s="27"/>
      <c r="N245" s="17" t="s">
        <v>478</v>
      </c>
      <c r="O245" s="17"/>
      <c r="P245" s="40" t="s">
        <v>111</v>
      </c>
      <c r="Q245" s="12"/>
      <c r="R245" s="12"/>
      <c r="S245" s="12"/>
      <c r="T245" s="12"/>
      <c r="U245" s="12"/>
      <c r="V245" s="21"/>
      <c r="Z245" s="12"/>
      <c r="AA245" s="29" t="n">
        <v>5</v>
      </c>
      <c r="AB245" s="12"/>
      <c r="AC245" s="12"/>
      <c r="AD245" s="12"/>
      <c r="AE245" s="12"/>
    </row>
    <row r="246" customFormat="false" ht="15.75" hidden="false" customHeight="false" outlineLevel="0" collapsed="false">
      <c r="A246" s="12" t="str">
        <f aca="false">IF((AA246&gt;=4), "Y", "N")</f>
        <v>Y</v>
      </c>
      <c r="B246" s="12"/>
      <c r="C246" s="23" t="s">
        <v>1272</v>
      </c>
      <c r="D246" s="24" t="s">
        <v>94</v>
      </c>
      <c r="E246" s="25" t="s">
        <v>1273</v>
      </c>
      <c r="F246" s="17" t="s">
        <v>1274</v>
      </c>
      <c r="G246" s="17" t="s">
        <v>1275</v>
      </c>
      <c r="H246" s="26" t="s">
        <v>376</v>
      </c>
      <c r="I246" s="17" t="s">
        <v>36</v>
      </c>
      <c r="J246" s="32" t="s">
        <v>205</v>
      </c>
      <c r="K246" s="17" t="n">
        <v>1976</v>
      </c>
      <c r="L246" s="33" t="s">
        <v>275</v>
      </c>
      <c r="M246" s="27"/>
      <c r="N246" s="39" t="s">
        <v>663</v>
      </c>
      <c r="O246" s="17"/>
      <c r="P246" s="40" t="s">
        <v>111</v>
      </c>
      <c r="Q246" s="12"/>
      <c r="R246" s="12"/>
      <c r="S246" s="12"/>
      <c r="T246" s="12"/>
      <c r="U246" s="12"/>
      <c r="V246" s="21"/>
      <c r="Z246" s="12"/>
      <c r="AA246" s="29" t="n">
        <v>4</v>
      </c>
      <c r="AB246" s="12"/>
      <c r="AC246" s="12"/>
      <c r="AD246" s="12"/>
      <c r="AE246" s="12"/>
    </row>
    <row r="247" customFormat="false" ht="15.75" hidden="false" customHeight="false" outlineLevel="0" collapsed="false">
      <c r="A247" s="12" t="str">
        <f aca="false">IF((AA247&gt;=4), "Y", "N")</f>
        <v>Y</v>
      </c>
      <c r="B247" s="12"/>
      <c r="C247" s="23" t="s">
        <v>1276</v>
      </c>
      <c r="D247" s="24" t="s">
        <v>94</v>
      </c>
      <c r="E247" s="25" t="s">
        <v>1277</v>
      </c>
      <c r="F247" s="17" t="s">
        <v>1278</v>
      </c>
      <c r="G247" s="17" t="s">
        <v>368</v>
      </c>
      <c r="H247" s="26" t="s">
        <v>369</v>
      </c>
      <c r="I247" s="17" t="s">
        <v>36</v>
      </c>
      <c r="J247" s="32" t="s">
        <v>205</v>
      </c>
      <c r="K247" s="17" t="n">
        <v>2010</v>
      </c>
      <c r="L247" s="38" t="s">
        <v>330</v>
      </c>
      <c r="M247" s="27"/>
      <c r="N247" s="17" t="s">
        <v>478</v>
      </c>
      <c r="O247" s="17"/>
      <c r="P247" s="40" t="s">
        <v>111</v>
      </c>
      <c r="Q247" s="12"/>
      <c r="R247" s="12"/>
      <c r="S247" s="12"/>
      <c r="T247" s="12"/>
      <c r="U247" s="12"/>
      <c r="V247" s="21"/>
      <c r="Z247" s="12"/>
      <c r="AA247" s="29" t="n">
        <v>5</v>
      </c>
      <c r="AB247" s="12"/>
      <c r="AC247" s="12"/>
      <c r="AD247" s="12"/>
      <c r="AE247" s="12"/>
    </row>
    <row r="248" customFormat="false" ht="15.75" hidden="false" customHeight="false" outlineLevel="0" collapsed="false">
      <c r="A248" s="12" t="str">
        <f aca="false">IF((AA248&gt;=4), "Y", "N")</f>
        <v>Y</v>
      </c>
      <c r="B248" s="13"/>
      <c r="C248" s="31" t="s">
        <v>1279</v>
      </c>
      <c r="D248" s="16" t="s">
        <v>94</v>
      </c>
      <c r="E248" s="32" t="s">
        <v>1280</v>
      </c>
      <c r="F248" s="32" t="s">
        <v>1281</v>
      </c>
      <c r="G248" s="32" t="s">
        <v>1282</v>
      </c>
      <c r="H248" s="26" t="s">
        <v>341</v>
      </c>
      <c r="I248" s="17" t="s">
        <v>36</v>
      </c>
      <c r="J248" s="32" t="s">
        <v>205</v>
      </c>
      <c r="K248" s="33" t="n">
        <v>2010</v>
      </c>
      <c r="L248" s="33" t="s">
        <v>109</v>
      </c>
      <c r="M248" s="27"/>
      <c r="N248" s="39" t="s">
        <v>377</v>
      </c>
      <c r="O248" s="17"/>
      <c r="P248" s="19" t="s">
        <v>76</v>
      </c>
      <c r="Q248" s="20"/>
      <c r="R248" s="20" t="s">
        <v>1283</v>
      </c>
      <c r="S248" s="20"/>
      <c r="T248" s="20" t="s">
        <v>1284</v>
      </c>
      <c r="U248" s="20"/>
      <c r="V248" s="21" t="s">
        <v>31</v>
      </c>
      <c r="Z248" s="20"/>
      <c r="AA248" s="22" t="str">
        <f aca="false">IF(P248="OD500 US (submitted)", "5", " ")</f>
        <v>5</v>
      </c>
      <c r="AB248" s="20"/>
      <c r="AC248" s="20"/>
      <c r="AD248" s="20"/>
      <c r="AE248" s="20"/>
    </row>
    <row r="249" customFormat="false" ht="15.75" hidden="false" customHeight="false" outlineLevel="0" collapsed="false">
      <c r="A249" s="12" t="str">
        <f aca="false">IF((AA249&gt;=4), "Y", "N")</f>
        <v>Y</v>
      </c>
      <c r="B249" s="12"/>
      <c r="C249" s="23" t="s">
        <v>1285</v>
      </c>
      <c r="D249" s="24" t="s">
        <v>94</v>
      </c>
      <c r="E249" s="25" t="s">
        <v>1286</v>
      </c>
      <c r="F249" s="17" t="s">
        <v>1287</v>
      </c>
      <c r="G249" s="17" t="s">
        <v>1288</v>
      </c>
      <c r="H249" s="26" t="s">
        <v>120</v>
      </c>
      <c r="I249" s="17" t="s">
        <v>36</v>
      </c>
      <c r="J249" s="32" t="s">
        <v>205</v>
      </c>
      <c r="K249" s="17" t="n">
        <v>1995</v>
      </c>
      <c r="L249" s="38" t="s">
        <v>482</v>
      </c>
      <c r="M249" s="27"/>
      <c r="N249" s="17" t="s">
        <v>478</v>
      </c>
      <c r="O249" s="17"/>
      <c r="P249" s="40" t="s">
        <v>111</v>
      </c>
      <c r="Q249" s="12"/>
      <c r="R249" s="12"/>
      <c r="S249" s="12"/>
      <c r="T249" s="12"/>
      <c r="U249" s="12"/>
      <c r="V249" s="21"/>
      <c r="Z249" s="12"/>
      <c r="AA249" s="29" t="n">
        <v>5</v>
      </c>
      <c r="AB249" s="12"/>
      <c r="AC249" s="12"/>
      <c r="AD249" s="12"/>
      <c r="AE249" s="12"/>
    </row>
    <row r="250" customFormat="false" ht="15.75" hidden="false" customHeight="false" outlineLevel="0" collapsed="false">
      <c r="A250" s="12" t="str">
        <f aca="false">IF((AA250&gt;=4), "Y", "N")</f>
        <v>Y</v>
      </c>
      <c r="B250" s="13"/>
      <c r="C250" s="31" t="s">
        <v>1289</v>
      </c>
      <c r="D250" s="16" t="s">
        <v>94</v>
      </c>
      <c r="E250" s="32" t="s">
        <v>1290</v>
      </c>
      <c r="F250" s="32" t="s">
        <v>1291</v>
      </c>
      <c r="G250" s="32" t="s">
        <v>145</v>
      </c>
      <c r="H250" s="26" t="s">
        <v>146</v>
      </c>
      <c r="I250" s="17" t="s">
        <v>36</v>
      </c>
      <c r="J250" s="32" t="s">
        <v>205</v>
      </c>
      <c r="K250" s="33" t="n">
        <v>2007</v>
      </c>
      <c r="L250" s="33" t="s">
        <v>99</v>
      </c>
      <c r="M250" s="27"/>
      <c r="N250" s="39" t="s">
        <v>1292</v>
      </c>
      <c r="O250" s="17"/>
      <c r="P250" s="19" t="s">
        <v>76</v>
      </c>
      <c r="Q250" s="12"/>
      <c r="R250" s="12" t="s">
        <v>1293</v>
      </c>
      <c r="S250" s="12"/>
      <c r="T250" s="12" t="s">
        <v>1294</v>
      </c>
      <c r="U250" s="12"/>
      <c r="V250" s="21" t="s">
        <v>31</v>
      </c>
      <c r="Z250" s="12"/>
      <c r="AA250" s="22" t="str">
        <f aca="false">IF(P250="OD500 US (submitted)", "5", " ")</f>
        <v>5</v>
      </c>
      <c r="AB250" s="12"/>
      <c r="AC250" s="12"/>
      <c r="AD250" s="12"/>
      <c r="AE250" s="12"/>
    </row>
    <row r="251" customFormat="false" ht="15.75" hidden="false" customHeight="false" outlineLevel="0" collapsed="false">
      <c r="A251" s="12" t="str">
        <f aca="false">IF((AA251&gt;=4), "Y", "N")</f>
        <v>Y</v>
      </c>
      <c r="B251" s="13"/>
      <c r="C251" s="31" t="s">
        <v>1295</v>
      </c>
      <c r="D251" s="16" t="s">
        <v>94</v>
      </c>
      <c r="E251" s="32" t="s">
        <v>1296</v>
      </c>
      <c r="F251" s="32" t="s">
        <v>1297</v>
      </c>
      <c r="G251" s="32" t="s">
        <v>302</v>
      </c>
      <c r="H251" s="26" t="s">
        <v>303</v>
      </c>
      <c r="I251" s="17" t="s">
        <v>36</v>
      </c>
      <c r="J251" s="32" t="s">
        <v>205</v>
      </c>
      <c r="K251" s="33" t="n">
        <v>2007</v>
      </c>
      <c r="L251" s="33" t="s">
        <v>73</v>
      </c>
      <c r="M251" s="27"/>
      <c r="N251" s="39" t="s">
        <v>968</v>
      </c>
      <c r="O251" s="17"/>
      <c r="P251" s="19" t="s">
        <v>76</v>
      </c>
      <c r="Q251" s="12"/>
      <c r="R251" s="12" t="s">
        <v>1298</v>
      </c>
      <c r="S251" s="12"/>
      <c r="T251" s="12" t="s">
        <v>1299</v>
      </c>
      <c r="U251" s="12"/>
      <c r="V251" s="21" t="s">
        <v>31</v>
      </c>
      <c r="Z251" s="12"/>
      <c r="AA251" s="22" t="str">
        <f aca="false">IF(P251="OD500 US (submitted)", "5", " ")</f>
        <v>5</v>
      </c>
      <c r="AB251" s="12"/>
      <c r="AC251" s="12"/>
      <c r="AD251" s="12"/>
      <c r="AE251" s="12"/>
    </row>
    <row r="252" customFormat="false" ht="15.75" hidden="false" customHeight="false" outlineLevel="0" collapsed="false">
      <c r="A252" s="12" t="str">
        <f aca="false">IF((AA252&gt;=4), "Y", "N")</f>
        <v>Y</v>
      </c>
      <c r="B252" s="13"/>
      <c r="C252" s="31" t="s">
        <v>1300</v>
      </c>
      <c r="D252" s="16" t="s">
        <v>94</v>
      </c>
      <c r="E252" s="32" t="s">
        <v>1301</v>
      </c>
      <c r="F252" s="32" t="s">
        <v>1302</v>
      </c>
      <c r="G252" s="32" t="s">
        <v>302</v>
      </c>
      <c r="H252" s="26" t="s">
        <v>303</v>
      </c>
      <c r="I252" s="17" t="s">
        <v>36</v>
      </c>
      <c r="J252" s="32" t="s">
        <v>205</v>
      </c>
      <c r="K252" s="33" t="n">
        <v>2009</v>
      </c>
      <c r="L252" s="33" t="s">
        <v>99</v>
      </c>
      <c r="M252" s="27"/>
      <c r="N252" s="44" t="s">
        <v>1303</v>
      </c>
      <c r="O252" s="17"/>
      <c r="P252" s="19" t="s">
        <v>76</v>
      </c>
      <c r="Q252" s="20"/>
      <c r="R252" s="20" t="s">
        <v>1304</v>
      </c>
      <c r="S252" s="20"/>
      <c r="T252" s="20" t="s">
        <v>1305</v>
      </c>
      <c r="U252" s="20"/>
      <c r="V252" s="21" t="s">
        <v>31</v>
      </c>
      <c r="Z252" s="20"/>
      <c r="AA252" s="22" t="str">
        <f aca="false">IF(P252="OD500 US (submitted)", "5", " ")</f>
        <v>5</v>
      </c>
      <c r="AB252" s="20"/>
      <c r="AC252" s="20"/>
      <c r="AD252" s="20"/>
      <c r="AE252" s="20"/>
    </row>
    <row r="253" customFormat="false" ht="15.75" hidden="false" customHeight="false" outlineLevel="0" collapsed="false">
      <c r="A253" s="12" t="str">
        <f aca="false">IF((AA253&gt;=4), "Y", "N")</f>
        <v>Y</v>
      </c>
      <c r="B253" s="13"/>
      <c r="C253" s="31" t="s">
        <v>1306</v>
      </c>
      <c r="D253" s="16" t="s">
        <v>94</v>
      </c>
      <c r="E253" s="32" t="s">
        <v>1307</v>
      </c>
      <c r="F253" s="32" t="s">
        <v>1308</v>
      </c>
      <c r="G253" s="32" t="s">
        <v>1309</v>
      </c>
      <c r="H253" s="26" t="s">
        <v>353</v>
      </c>
      <c r="I253" s="17" t="s">
        <v>36</v>
      </c>
      <c r="J253" s="32" t="s">
        <v>205</v>
      </c>
      <c r="K253" s="33" t="n">
        <v>2003</v>
      </c>
      <c r="L253" s="33" t="s">
        <v>99</v>
      </c>
      <c r="M253" s="27"/>
      <c r="N253" s="39" t="s">
        <v>478</v>
      </c>
      <c r="O253" s="17"/>
      <c r="P253" s="19" t="s">
        <v>76</v>
      </c>
      <c r="Q253" s="12"/>
      <c r="R253" s="12" t="s">
        <v>1310</v>
      </c>
      <c r="S253" s="12"/>
      <c r="T253" s="12" t="s">
        <v>1311</v>
      </c>
      <c r="U253" s="12"/>
      <c r="V253" s="21" t="s">
        <v>31</v>
      </c>
      <c r="Z253" s="12"/>
      <c r="AA253" s="22" t="str">
        <f aca="false">IF(P253="OD500 US (submitted)", "5", " ")</f>
        <v>5</v>
      </c>
      <c r="AB253" s="12"/>
      <c r="AC253" s="12"/>
      <c r="AD253" s="12"/>
      <c r="AE253" s="12"/>
    </row>
    <row r="254" customFormat="false" ht="15.75" hidden="false" customHeight="false" outlineLevel="0" collapsed="false">
      <c r="A254" s="12" t="str">
        <f aca="false">IF((AA254&gt;=4), "Y", "N")</f>
        <v>Y</v>
      </c>
      <c r="B254" s="13"/>
      <c r="C254" s="31" t="s">
        <v>1312</v>
      </c>
      <c r="D254" s="16" t="s">
        <v>94</v>
      </c>
      <c r="E254" s="32" t="s">
        <v>1313</v>
      </c>
      <c r="F254" s="32" t="s">
        <v>1314</v>
      </c>
      <c r="G254" s="32" t="s">
        <v>71</v>
      </c>
      <c r="H254" s="26" t="s">
        <v>72</v>
      </c>
      <c r="I254" s="17" t="s">
        <v>36</v>
      </c>
      <c r="J254" s="32" t="s">
        <v>205</v>
      </c>
      <c r="K254" s="33" t="n">
        <v>2003</v>
      </c>
      <c r="L254" s="38" t="s">
        <v>482</v>
      </c>
      <c r="M254" s="27"/>
      <c r="N254" s="39" t="s">
        <v>478</v>
      </c>
      <c r="O254" s="17"/>
      <c r="P254" s="19" t="s">
        <v>76</v>
      </c>
      <c r="Q254" s="12"/>
      <c r="R254" s="12" t="s">
        <v>1315</v>
      </c>
      <c r="S254" s="12"/>
      <c r="T254" s="12" t="s">
        <v>1316</v>
      </c>
      <c r="U254" s="12"/>
      <c r="V254" s="21" t="s">
        <v>31</v>
      </c>
      <c r="Z254" s="12"/>
      <c r="AA254" s="22" t="str">
        <f aca="false">IF(P254="OD500 US (submitted)", "5", " ")</f>
        <v>5</v>
      </c>
      <c r="AB254" s="12"/>
      <c r="AC254" s="12"/>
      <c r="AD254" s="12"/>
      <c r="AE254" s="12"/>
    </row>
    <row r="255" customFormat="false" ht="15.75" hidden="false" customHeight="false" outlineLevel="0" collapsed="false">
      <c r="A255" s="12" t="str">
        <f aca="false">IF((AA255&gt;=4), "Y", "N")</f>
        <v>Y</v>
      </c>
      <c r="B255" s="13"/>
      <c r="C255" s="31" t="s">
        <v>1317</v>
      </c>
      <c r="D255" s="16" t="s">
        <v>94</v>
      </c>
      <c r="E255" s="32" t="s">
        <v>1318</v>
      </c>
      <c r="F255" s="32" t="s">
        <v>1319</v>
      </c>
      <c r="G255" s="32" t="s">
        <v>1320</v>
      </c>
      <c r="H255" s="26" t="s">
        <v>336</v>
      </c>
      <c r="I255" s="17" t="s">
        <v>36</v>
      </c>
      <c r="J255" s="32" t="s">
        <v>205</v>
      </c>
      <c r="K255" s="33" t="n">
        <v>2008</v>
      </c>
      <c r="L255" s="33" t="s">
        <v>99</v>
      </c>
      <c r="M255" s="27"/>
      <c r="N255" s="39" t="s">
        <v>478</v>
      </c>
      <c r="O255" s="17"/>
      <c r="P255" s="19" t="s">
        <v>76</v>
      </c>
      <c r="Q255" s="12"/>
      <c r="R255" s="12" t="s">
        <v>1321</v>
      </c>
      <c r="S255" s="12"/>
      <c r="T255" s="12" t="s">
        <v>1322</v>
      </c>
      <c r="U255" s="12"/>
      <c r="V255" s="21" t="s">
        <v>31</v>
      </c>
      <c r="Z255" s="12"/>
      <c r="AA255" s="22" t="str">
        <f aca="false">IF(P255="OD500 US (submitted)", "5", " ")</f>
        <v>5</v>
      </c>
      <c r="AB255" s="12"/>
      <c r="AC255" s="12"/>
      <c r="AD255" s="12"/>
      <c r="AE255" s="12"/>
    </row>
    <row r="256" customFormat="false" ht="15.75" hidden="false" customHeight="false" outlineLevel="0" collapsed="false">
      <c r="A256" s="12" t="str">
        <f aca="false">IF((AA256&gt;=4), "Y", "N")</f>
        <v>Y</v>
      </c>
      <c r="B256" s="12"/>
      <c r="C256" s="23" t="s">
        <v>1323</v>
      </c>
      <c r="D256" s="24" t="s">
        <v>94</v>
      </c>
      <c r="E256" s="25" t="s">
        <v>1324</v>
      </c>
      <c r="F256" s="17" t="s">
        <v>1325</v>
      </c>
      <c r="G256" s="17" t="s">
        <v>302</v>
      </c>
      <c r="H256" s="26" t="s">
        <v>303</v>
      </c>
      <c r="I256" s="17" t="s">
        <v>36</v>
      </c>
      <c r="J256" s="32" t="s">
        <v>205</v>
      </c>
      <c r="K256" s="17" t="n">
        <v>2003</v>
      </c>
      <c r="L256" s="33" t="s">
        <v>275</v>
      </c>
      <c r="M256" s="27"/>
      <c r="N256" s="17" t="s">
        <v>478</v>
      </c>
      <c r="O256" s="17"/>
      <c r="P256" s="40" t="s">
        <v>111</v>
      </c>
      <c r="Q256" s="12"/>
      <c r="R256" s="12"/>
      <c r="S256" s="12"/>
      <c r="T256" s="12"/>
      <c r="U256" s="12"/>
      <c r="V256" s="21"/>
      <c r="Z256" s="12"/>
      <c r="AA256" s="29" t="n">
        <v>5</v>
      </c>
      <c r="AB256" s="12"/>
      <c r="AC256" s="12"/>
      <c r="AD256" s="12"/>
      <c r="AE256" s="12"/>
    </row>
    <row r="257" customFormat="false" ht="15.75" hidden="false" customHeight="false" outlineLevel="0" collapsed="false">
      <c r="A257" s="12" t="str">
        <f aca="false">IF((AA257&gt;=4), "Y", "N")</f>
        <v>Y</v>
      </c>
      <c r="B257" s="12"/>
      <c r="C257" s="23" t="s">
        <v>1326</v>
      </c>
      <c r="D257" s="24" t="s">
        <v>94</v>
      </c>
      <c r="E257" s="25" t="s">
        <v>1327</v>
      </c>
      <c r="F257" s="17" t="s">
        <v>1328</v>
      </c>
      <c r="G257" s="17" t="s">
        <v>1329</v>
      </c>
      <c r="H257" s="26" t="s">
        <v>336</v>
      </c>
      <c r="I257" s="17" t="s">
        <v>36</v>
      </c>
      <c r="J257" s="32" t="s">
        <v>205</v>
      </c>
      <c r="K257" s="17" t="n">
        <v>1979</v>
      </c>
      <c r="L257" s="33"/>
      <c r="M257" s="27"/>
      <c r="N257" s="17" t="s">
        <v>478</v>
      </c>
      <c r="O257" s="17"/>
      <c r="P257" s="40" t="s">
        <v>111</v>
      </c>
      <c r="Q257" s="12"/>
      <c r="R257" s="12"/>
      <c r="S257" s="12"/>
      <c r="T257" s="12"/>
      <c r="U257" s="12"/>
      <c r="V257" s="21"/>
      <c r="Z257" s="12"/>
      <c r="AA257" s="29" t="n">
        <v>5</v>
      </c>
      <c r="AB257" s="12"/>
      <c r="AC257" s="12"/>
      <c r="AD257" s="12"/>
      <c r="AE257" s="12"/>
    </row>
    <row r="258" customFormat="false" ht="15.75" hidden="false" customHeight="false" outlineLevel="0" collapsed="false">
      <c r="A258" s="12" t="str">
        <f aca="false">IF((AA258&gt;=4), "Y", "N")</f>
        <v>Y</v>
      </c>
      <c r="B258" s="13"/>
      <c r="C258" s="31" t="s">
        <v>1330</v>
      </c>
      <c r="D258" s="16" t="s">
        <v>94</v>
      </c>
      <c r="E258" s="32" t="s">
        <v>1331</v>
      </c>
      <c r="F258" s="32" t="s">
        <v>1332</v>
      </c>
      <c r="G258" s="32" t="s">
        <v>405</v>
      </c>
      <c r="H258" s="26" t="s">
        <v>72</v>
      </c>
      <c r="I258" s="17" t="s">
        <v>36</v>
      </c>
      <c r="J258" s="32" t="s">
        <v>205</v>
      </c>
      <c r="K258" s="33" t="n">
        <v>1998</v>
      </c>
      <c r="L258" s="33" t="s">
        <v>109</v>
      </c>
      <c r="M258" s="27"/>
      <c r="N258" s="39" t="s">
        <v>304</v>
      </c>
      <c r="O258" s="17"/>
      <c r="P258" s="19" t="s">
        <v>76</v>
      </c>
      <c r="Q258" s="17"/>
      <c r="R258" s="17" t="s">
        <v>1333</v>
      </c>
      <c r="S258" s="17"/>
      <c r="T258" s="17" t="s">
        <v>1334</v>
      </c>
      <c r="U258" s="17"/>
      <c r="V258" s="21" t="s">
        <v>31</v>
      </c>
      <c r="Z258" s="17"/>
      <c r="AA258" s="22" t="str">
        <f aca="false">IF(P258="OD500 US (submitted)", "5", " ")</f>
        <v>5</v>
      </c>
      <c r="AB258" s="17"/>
      <c r="AC258" s="17"/>
      <c r="AD258" s="17"/>
      <c r="AE258" s="17"/>
    </row>
    <row r="259" customFormat="false" ht="15.75" hidden="false" customHeight="false" outlineLevel="0" collapsed="false">
      <c r="A259" s="12" t="str">
        <f aca="false">IF((AA259&gt;=4), "Y", "N")</f>
        <v>Y</v>
      </c>
      <c r="B259" s="12"/>
      <c r="C259" s="23" t="s">
        <v>1335</v>
      </c>
      <c r="D259" s="24"/>
      <c r="E259" s="25" t="s">
        <v>1336</v>
      </c>
      <c r="F259" s="17" t="s">
        <v>1337</v>
      </c>
      <c r="G259" s="17" t="s">
        <v>71</v>
      </c>
      <c r="H259" s="17" t="s">
        <v>72</v>
      </c>
      <c r="I259" s="17" t="s">
        <v>36</v>
      </c>
      <c r="J259" s="32" t="s">
        <v>205</v>
      </c>
      <c r="K259" s="17" t="n">
        <v>2001</v>
      </c>
      <c r="L259" s="38" t="s">
        <v>73</v>
      </c>
      <c r="M259" s="27"/>
      <c r="N259" s="39" t="s">
        <v>1338</v>
      </c>
      <c r="O259" s="17"/>
      <c r="P259" s="40" t="s">
        <v>111</v>
      </c>
      <c r="Q259" s="12"/>
      <c r="R259" s="12"/>
      <c r="S259" s="12"/>
      <c r="T259" s="12"/>
      <c r="U259" s="12"/>
      <c r="V259" s="21"/>
      <c r="Z259" s="12"/>
      <c r="AA259" s="29" t="n">
        <v>5</v>
      </c>
      <c r="AB259" s="12"/>
      <c r="AC259" s="12"/>
      <c r="AD259" s="12"/>
      <c r="AE259" s="12"/>
    </row>
    <row r="260" customFormat="false" ht="15.75" hidden="false" customHeight="false" outlineLevel="0" collapsed="false">
      <c r="A260" s="12" t="str">
        <f aca="false">IF((AA260&gt;=4), "Y", "N")</f>
        <v>Y</v>
      </c>
      <c r="B260" s="13"/>
      <c r="C260" s="31" t="s">
        <v>1339</v>
      </c>
      <c r="D260" s="16" t="s">
        <v>94</v>
      </c>
      <c r="E260" s="32" t="s">
        <v>1340</v>
      </c>
      <c r="F260" s="32" t="s">
        <v>1341</v>
      </c>
      <c r="G260" s="32" t="s">
        <v>71</v>
      </c>
      <c r="H260" s="26" t="s">
        <v>303</v>
      </c>
      <c r="I260" s="17" t="s">
        <v>36</v>
      </c>
      <c r="J260" s="32" t="s">
        <v>205</v>
      </c>
      <c r="K260" s="33" t="n">
        <v>2009</v>
      </c>
      <c r="L260" s="33" t="s">
        <v>109</v>
      </c>
      <c r="M260" s="27"/>
      <c r="N260" s="39" t="s">
        <v>1342</v>
      </c>
      <c r="O260" s="17"/>
      <c r="P260" s="19" t="s">
        <v>76</v>
      </c>
      <c r="Q260" s="12"/>
      <c r="R260" s="12" t="s">
        <v>1343</v>
      </c>
      <c r="S260" s="12"/>
      <c r="T260" s="12" t="s">
        <v>1344</v>
      </c>
      <c r="U260" s="12"/>
      <c r="V260" s="21" t="s">
        <v>31</v>
      </c>
      <c r="Z260" s="12"/>
      <c r="AA260" s="22" t="str">
        <f aca="false">IF(P260="OD500 US (submitted)", "5", " ")</f>
        <v>5</v>
      </c>
      <c r="AB260" s="12"/>
      <c r="AC260" s="12"/>
      <c r="AD260" s="12"/>
      <c r="AE260" s="12"/>
    </row>
    <row r="261" customFormat="false" ht="23.65" hidden="false" customHeight="false" outlineLevel="0" collapsed="false">
      <c r="A261" s="12" t="str">
        <f aca="false">IF((AA261&gt;=4), "Y", "N")</f>
        <v>Y</v>
      </c>
      <c r="B261" s="13"/>
      <c r="C261" s="31" t="s">
        <v>1345</v>
      </c>
      <c r="D261" s="16" t="s">
        <v>94</v>
      </c>
      <c r="E261" s="32" t="s">
        <v>1346</v>
      </c>
      <c r="F261" s="32" t="s">
        <v>1347</v>
      </c>
      <c r="G261" s="32" t="s">
        <v>476</v>
      </c>
      <c r="H261" s="26" t="s">
        <v>353</v>
      </c>
      <c r="I261" s="17" t="s">
        <v>36</v>
      </c>
      <c r="J261" s="32" t="s">
        <v>205</v>
      </c>
      <c r="K261" s="33" t="n">
        <v>2012</v>
      </c>
      <c r="L261" s="33" t="s">
        <v>109</v>
      </c>
      <c r="M261" s="27"/>
      <c r="N261" s="79" t="s">
        <v>478</v>
      </c>
      <c r="O261" s="79" t="s">
        <v>1127</v>
      </c>
      <c r="P261" s="19" t="s">
        <v>76</v>
      </c>
      <c r="Q261" s="12"/>
      <c r="R261" s="12" t="s">
        <v>1348</v>
      </c>
      <c r="S261" s="12"/>
      <c r="T261" s="12" t="s">
        <v>1349</v>
      </c>
      <c r="U261" s="12"/>
      <c r="V261" s="21" t="s">
        <v>31</v>
      </c>
      <c r="Z261" s="12"/>
      <c r="AA261" s="22" t="str">
        <f aca="false">IF(P261="OD500 US (submitted)", "5", " ")</f>
        <v>5</v>
      </c>
      <c r="AB261" s="12"/>
      <c r="AC261" s="12"/>
      <c r="AD261" s="12"/>
      <c r="AE261" s="12"/>
    </row>
    <row r="262" customFormat="false" ht="15.75" hidden="false" customHeight="false" outlineLevel="0" collapsed="false">
      <c r="A262" s="12" t="str">
        <f aca="false">IF((AA262&gt;=4), "Y", "N")</f>
        <v>Y</v>
      </c>
      <c r="B262" s="13"/>
      <c r="C262" s="31" t="s">
        <v>1350</v>
      </c>
      <c r="D262" s="16" t="s">
        <v>94</v>
      </c>
      <c r="E262" s="32" t="s">
        <v>1351</v>
      </c>
      <c r="F262" s="32" t="s">
        <v>1352</v>
      </c>
      <c r="G262" s="32" t="s">
        <v>476</v>
      </c>
      <c r="H262" s="26" t="s">
        <v>477</v>
      </c>
      <c r="I262" s="17" t="s">
        <v>36</v>
      </c>
      <c r="J262" s="32" t="s">
        <v>205</v>
      </c>
      <c r="K262" s="33" t="n">
        <v>1998</v>
      </c>
      <c r="L262" s="33" t="s">
        <v>99</v>
      </c>
      <c r="M262" s="27"/>
      <c r="N262" s="39" t="s">
        <v>1353</v>
      </c>
      <c r="O262" s="17"/>
      <c r="P262" s="19" t="s">
        <v>76</v>
      </c>
      <c r="Q262" s="17"/>
      <c r="R262" s="17" t="s">
        <v>1354</v>
      </c>
      <c r="S262" s="17"/>
      <c r="T262" s="17" t="s">
        <v>1355</v>
      </c>
      <c r="U262" s="17"/>
      <c r="V262" s="21" t="s">
        <v>31</v>
      </c>
      <c r="Z262" s="17"/>
      <c r="AA262" s="22" t="str">
        <f aca="false">IF(P262="OD500 US (submitted)", "5", " ")</f>
        <v>5</v>
      </c>
      <c r="AB262" s="17"/>
      <c r="AC262" s="17"/>
      <c r="AD262" s="17"/>
      <c r="AE262" s="17"/>
    </row>
    <row r="263" customFormat="false" ht="15.75" hidden="false" customHeight="false" outlineLevel="0" collapsed="false">
      <c r="A263" s="12"/>
      <c r="B263" s="12"/>
      <c r="C263" s="23" t="s">
        <v>1356</v>
      </c>
      <c r="D263" s="24" t="s">
        <v>94</v>
      </c>
      <c r="E263" s="25" t="s">
        <v>1357</v>
      </c>
      <c r="F263" s="17" t="s">
        <v>1358</v>
      </c>
      <c r="G263" s="17" t="s">
        <v>1359</v>
      </c>
      <c r="H263" s="26" t="s">
        <v>477</v>
      </c>
      <c r="I263" s="17" t="s">
        <v>36</v>
      </c>
      <c r="J263" s="32" t="s">
        <v>205</v>
      </c>
      <c r="K263" s="17" t="n">
        <v>1987</v>
      </c>
      <c r="L263" s="38" t="s">
        <v>482</v>
      </c>
      <c r="M263" s="27"/>
      <c r="N263" s="17" t="s">
        <v>478</v>
      </c>
      <c r="O263" s="17"/>
      <c r="P263" s="40" t="s">
        <v>111</v>
      </c>
      <c r="Q263" s="12"/>
      <c r="R263" s="12"/>
      <c r="S263" s="12"/>
      <c r="T263" s="12"/>
      <c r="U263" s="12"/>
      <c r="V263" s="21"/>
      <c r="Z263" s="12"/>
      <c r="AA263" s="29" t="n">
        <v>5</v>
      </c>
      <c r="AB263" s="12"/>
      <c r="AC263" s="12"/>
      <c r="AD263" s="12"/>
      <c r="AE263" s="12"/>
    </row>
    <row r="264" customFormat="false" ht="15.75" hidden="false" customHeight="false" outlineLevel="0" collapsed="false">
      <c r="A264" s="12" t="str">
        <f aca="false">IF((AA264&gt;=4), "Y", "N")</f>
        <v>Y</v>
      </c>
      <c r="B264" s="13"/>
      <c r="C264" s="31" t="s">
        <v>1360</v>
      </c>
      <c r="D264" s="16" t="s">
        <v>94</v>
      </c>
      <c r="E264" s="32" t="s">
        <v>1361</v>
      </c>
      <c r="F264" s="32" t="s">
        <v>1362</v>
      </c>
      <c r="G264" s="32" t="s">
        <v>1363</v>
      </c>
      <c r="H264" s="26" t="s">
        <v>1364</v>
      </c>
      <c r="I264" s="17" t="s">
        <v>36</v>
      </c>
      <c r="J264" s="32" t="s">
        <v>205</v>
      </c>
      <c r="K264" s="33" t="n">
        <v>2013</v>
      </c>
      <c r="L264" s="33" t="s">
        <v>109</v>
      </c>
      <c r="M264" s="27"/>
      <c r="N264" s="39" t="s">
        <v>478</v>
      </c>
      <c r="O264" s="17"/>
      <c r="P264" s="19" t="s">
        <v>76</v>
      </c>
      <c r="Q264" s="12"/>
      <c r="R264" s="12" t="s">
        <v>1365</v>
      </c>
      <c r="S264" s="12"/>
      <c r="T264" s="12" t="s">
        <v>1366</v>
      </c>
      <c r="U264" s="12"/>
      <c r="V264" s="21" t="s">
        <v>31</v>
      </c>
      <c r="Z264" s="12"/>
      <c r="AA264" s="22" t="str">
        <f aca="false">IF(P264="OD500 US (submitted)", "5", " ")</f>
        <v>5</v>
      </c>
      <c r="AB264" s="12"/>
      <c r="AC264" s="12"/>
      <c r="AD264" s="12"/>
      <c r="AE264" s="12"/>
    </row>
    <row r="265" customFormat="false" ht="15.75" hidden="false" customHeight="false" outlineLevel="0" collapsed="false">
      <c r="A265" s="12"/>
      <c r="B265" s="12"/>
      <c r="C265" s="23" t="s">
        <v>1367</v>
      </c>
      <c r="D265" s="24" t="s">
        <v>94</v>
      </c>
      <c r="E265" s="25" t="s">
        <v>1368</v>
      </c>
      <c r="F265" s="17" t="s">
        <v>1369</v>
      </c>
      <c r="G265" s="17" t="s">
        <v>1076</v>
      </c>
      <c r="H265" s="26" t="s">
        <v>72</v>
      </c>
      <c r="I265" s="17" t="s">
        <v>36</v>
      </c>
      <c r="J265" s="32" t="s">
        <v>205</v>
      </c>
      <c r="K265" s="17" t="n">
        <v>1994</v>
      </c>
      <c r="L265" s="33" t="s">
        <v>275</v>
      </c>
      <c r="M265" s="27"/>
      <c r="N265" s="17" t="s">
        <v>478</v>
      </c>
      <c r="O265" s="17"/>
      <c r="P265" s="40" t="s">
        <v>111</v>
      </c>
      <c r="Q265" s="12"/>
      <c r="R265" s="12"/>
      <c r="S265" s="12"/>
      <c r="T265" s="12"/>
      <c r="U265" s="12"/>
      <c r="V265" s="21"/>
      <c r="Z265" s="12"/>
      <c r="AA265" s="29" t="n">
        <v>4</v>
      </c>
      <c r="AB265" s="12"/>
      <c r="AC265" s="12"/>
      <c r="AD265" s="12"/>
      <c r="AE265" s="12"/>
    </row>
    <row r="266" customFormat="false" ht="15.75" hidden="false" customHeight="false" outlineLevel="0" collapsed="false">
      <c r="A266" s="12" t="s">
        <v>31</v>
      </c>
      <c r="B266" s="13" t="s">
        <v>32</v>
      </c>
      <c r="C266" s="80" t="s">
        <v>1370</v>
      </c>
      <c r="D266" s="47" t="s">
        <v>620</v>
      </c>
      <c r="E266" s="69" t="s">
        <v>1371</v>
      </c>
      <c r="F266" s="17" t="s">
        <v>1372</v>
      </c>
      <c r="G266" s="47" t="s">
        <v>1373</v>
      </c>
      <c r="I266" s="47" t="s">
        <v>1374</v>
      </c>
      <c r="J266" s="32" t="s">
        <v>205</v>
      </c>
      <c r="L266" s="47" t="s">
        <v>99</v>
      </c>
      <c r="M266" s="81" t="s">
        <v>147</v>
      </c>
      <c r="N266" s="47" t="s">
        <v>1375</v>
      </c>
      <c r="O266" s="47" t="s">
        <v>149</v>
      </c>
      <c r="P266" s="82" t="s">
        <v>526</v>
      </c>
      <c r="Q266" s="12"/>
      <c r="R266" s="12"/>
      <c r="S266" s="12"/>
      <c r="T266" s="12"/>
      <c r="U266" s="12"/>
      <c r="V266" s="21"/>
      <c r="Z266" s="12"/>
      <c r="AA266" s="29" t="n">
        <v>5</v>
      </c>
      <c r="AB266" s="12"/>
      <c r="AC266" s="12"/>
      <c r="AD266" s="12"/>
      <c r="AE266" s="12"/>
    </row>
    <row r="267" customFormat="false" ht="15.75" hidden="false" customHeight="false" outlineLevel="0" collapsed="false">
      <c r="A267" s="12" t="s">
        <v>31</v>
      </c>
      <c r="B267" s="13" t="s">
        <v>1376</v>
      </c>
      <c r="C267" s="80" t="s">
        <v>1377</v>
      </c>
      <c r="D267" s="47" t="s">
        <v>94</v>
      </c>
      <c r="E267" s="69" t="s">
        <v>1378</v>
      </c>
      <c r="F267" s="17" t="s">
        <v>1379</v>
      </c>
      <c r="G267" s="47" t="s">
        <v>1380</v>
      </c>
      <c r="H267" s="47" t="s">
        <v>500</v>
      </c>
      <c r="I267" s="47" t="s">
        <v>36</v>
      </c>
      <c r="J267" s="32" t="s">
        <v>205</v>
      </c>
      <c r="K267" s="47" t="n">
        <v>2011</v>
      </c>
      <c r="M267" s="60"/>
      <c r="O267" s="47" t="s">
        <v>675</v>
      </c>
      <c r="P267" s="82" t="s">
        <v>526</v>
      </c>
      <c r="Q267" s="12"/>
      <c r="R267" s="12"/>
      <c r="S267" s="12"/>
      <c r="T267" s="12"/>
      <c r="U267" s="12"/>
      <c r="V267" s="21"/>
      <c r="Z267" s="12"/>
      <c r="AA267" s="29" t="n">
        <v>5</v>
      </c>
      <c r="AB267" s="12"/>
      <c r="AC267" s="59" t="s">
        <v>1381</v>
      </c>
      <c r="AD267" s="12"/>
      <c r="AE267" s="12"/>
    </row>
    <row r="268" customFormat="false" ht="15.75" hidden="false" customHeight="false" outlineLevel="0" collapsed="false">
      <c r="A268" s="12" t="s">
        <v>31</v>
      </c>
      <c r="B268" s="13" t="s">
        <v>1376</v>
      </c>
      <c r="C268" s="83" t="s">
        <v>1382</v>
      </c>
      <c r="D268" s="24" t="s">
        <v>94</v>
      </c>
      <c r="E268" s="17" t="s">
        <v>478</v>
      </c>
      <c r="F268" s="17" t="s">
        <v>1383</v>
      </c>
      <c r="G268" s="17" t="s">
        <v>478</v>
      </c>
      <c r="H268" s="17" t="s">
        <v>478</v>
      </c>
      <c r="I268" s="26" t="s">
        <v>525</v>
      </c>
      <c r="J268" s="32" t="s">
        <v>205</v>
      </c>
      <c r="K268" s="17"/>
      <c r="L268" s="17"/>
      <c r="M268" s="27"/>
      <c r="N268" s="17" t="s">
        <v>1384</v>
      </c>
      <c r="O268" s="17"/>
      <c r="P268" s="40" t="s">
        <v>526</v>
      </c>
      <c r="Q268" s="12"/>
      <c r="R268" s="12"/>
      <c r="S268" s="12"/>
      <c r="T268" s="12"/>
      <c r="U268" s="12"/>
      <c r="V268" s="21"/>
      <c r="Z268" s="12"/>
      <c r="AA268" s="29" t="n">
        <v>5</v>
      </c>
      <c r="AB268" s="12"/>
      <c r="AC268" s="59" t="s">
        <v>1385</v>
      </c>
      <c r="AD268" s="12"/>
      <c r="AE268" s="12"/>
    </row>
    <row r="269" customFormat="false" ht="15.75" hidden="false" customHeight="false" outlineLevel="0" collapsed="false">
      <c r="A269" s="12" t="s">
        <v>31</v>
      </c>
      <c r="B269" s="13" t="s">
        <v>1376</v>
      </c>
      <c r="C269" s="14" t="s">
        <v>1386</v>
      </c>
      <c r="D269" s="24" t="s">
        <v>94</v>
      </c>
      <c r="E269" s="25" t="s">
        <v>1387</v>
      </c>
      <c r="F269" s="17" t="s">
        <v>1388</v>
      </c>
      <c r="G269" s="17" t="s">
        <v>478</v>
      </c>
      <c r="H269" s="17" t="s">
        <v>478</v>
      </c>
      <c r="I269" s="26" t="s">
        <v>525</v>
      </c>
      <c r="J269" s="32" t="s">
        <v>205</v>
      </c>
      <c r="K269" s="17"/>
      <c r="L269" s="17"/>
      <c r="M269" s="27"/>
      <c r="N269" s="65" t="s">
        <v>1389</v>
      </c>
      <c r="O269" s="17"/>
      <c r="P269" s="40" t="s">
        <v>526</v>
      </c>
      <c r="Q269" s="12"/>
      <c r="R269" s="12"/>
      <c r="S269" s="12"/>
      <c r="T269" s="12"/>
      <c r="U269" s="12"/>
      <c r="V269" s="21"/>
      <c r="Z269" s="12"/>
      <c r="AA269" s="29" t="n">
        <v>5</v>
      </c>
      <c r="AB269" s="12"/>
      <c r="AC269" s="59" t="s">
        <v>527</v>
      </c>
      <c r="AD269" s="12"/>
      <c r="AE269" s="12"/>
    </row>
    <row r="270" customFormat="false" ht="15.75" hidden="false" customHeight="false" outlineLevel="0" collapsed="false">
      <c r="A270" s="12" t="str">
        <f aca="false">IF((AA270&gt;=4), "Y", "N")</f>
        <v>Y</v>
      </c>
      <c r="B270" s="13"/>
      <c r="C270" s="14" t="s">
        <v>1390</v>
      </c>
      <c r="D270" s="24" t="s">
        <v>51</v>
      </c>
      <c r="E270" s="25" t="s">
        <v>1391</v>
      </c>
      <c r="F270" s="17" t="s">
        <v>1392</v>
      </c>
      <c r="G270" s="17" t="s">
        <v>1393</v>
      </c>
      <c r="H270" s="17"/>
      <c r="I270" s="17" t="s">
        <v>131</v>
      </c>
      <c r="J270" s="32" t="s">
        <v>205</v>
      </c>
      <c r="K270" s="17"/>
      <c r="L270" s="17"/>
      <c r="M270" s="27"/>
      <c r="N270" s="17"/>
      <c r="O270" s="17"/>
      <c r="P270" s="52" t="s">
        <v>185</v>
      </c>
      <c r="Q270" s="12"/>
      <c r="R270" s="12"/>
      <c r="S270" s="12"/>
      <c r="T270" s="12"/>
      <c r="U270" s="12"/>
      <c r="V270" s="21"/>
      <c r="Z270" s="12"/>
      <c r="AA270" s="29" t="n">
        <v>4</v>
      </c>
      <c r="AB270" s="12"/>
      <c r="AC270" s="12"/>
      <c r="AD270" s="12"/>
      <c r="AE270" s="12"/>
    </row>
    <row r="271" customFormat="false" ht="15.75" hidden="false" customHeight="false" outlineLevel="0" collapsed="false">
      <c r="A271" s="12"/>
      <c r="B271" s="13" t="s">
        <v>141</v>
      </c>
      <c r="C271" s="14" t="s">
        <v>1394</v>
      </c>
      <c r="D271" s="24" t="s">
        <v>94</v>
      </c>
      <c r="E271" s="25" t="s">
        <v>1395</v>
      </c>
      <c r="F271" s="17" t="s">
        <v>1396</v>
      </c>
      <c r="G271" s="17" t="s">
        <v>1397</v>
      </c>
      <c r="H271" s="17" t="s">
        <v>72</v>
      </c>
      <c r="I271" s="17" t="s">
        <v>36</v>
      </c>
      <c r="J271" s="32" t="s">
        <v>205</v>
      </c>
      <c r="K271" s="17" t="n">
        <v>2006</v>
      </c>
      <c r="L271" s="17" t="s">
        <v>73</v>
      </c>
      <c r="M271" s="27" t="s">
        <v>74</v>
      </c>
      <c r="N271" s="17" t="s">
        <v>1398</v>
      </c>
      <c r="O271" s="17" t="s">
        <v>157</v>
      </c>
      <c r="P271" s="40" t="s">
        <v>1399</v>
      </c>
      <c r="Q271" s="12"/>
      <c r="R271" s="12"/>
      <c r="S271" s="12"/>
      <c r="T271" s="12"/>
      <c r="U271" s="12"/>
      <c r="V271" s="21"/>
      <c r="Z271" s="12"/>
      <c r="AA271" s="29" t="n">
        <v>5</v>
      </c>
      <c r="AB271" s="12"/>
      <c r="AC271" s="12"/>
      <c r="AD271" s="12"/>
      <c r="AE271" s="12"/>
    </row>
    <row r="272" customFormat="false" ht="15.75" hidden="false" customHeight="false" outlineLevel="0" collapsed="false">
      <c r="A272" s="12"/>
      <c r="B272" s="13" t="s">
        <v>141</v>
      </c>
      <c r="C272" s="14" t="s">
        <v>1400</v>
      </c>
      <c r="D272" s="24" t="s">
        <v>94</v>
      </c>
      <c r="E272" s="25" t="s">
        <v>1401</v>
      </c>
      <c r="F272" s="17" t="s">
        <v>1402</v>
      </c>
      <c r="G272" s="17" t="s">
        <v>499</v>
      </c>
      <c r="H272" s="17" t="s">
        <v>500</v>
      </c>
      <c r="I272" s="17" t="s">
        <v>36</v>
      </c>
      <c r="J272" s="32" t="s">
        <v>205</v>
      </c>
      <c r="K272" s="17" t="n">
        <v>2007</v>
      </c>
      <c r="L272" s="17" t="s">
        <v>99</v>
      </c>
      <c r="M272" s="27" t="s">
        <v>74</v>
      </c>
      <c r="N272" s="17" t="s">
        <v>1403</v>
      </c>
      <c r="O272" s="17" t="s">
        <v>1404</v>
      </c>
      <c r="P272" s="40" t="s">
        <v>150</v>
      </c>
      <c r="Q272" s="12"/>
      <c r="R272" s="12"/>
      <c r="S272" s="12"/>
      <c r="T272" s="12"/>
      <c r="U272" s="12"/>
      <c r="V272" s="21"/>
      <c r="Z272" s="12"/>
      <c r="AA272" s="29" t="n">
        <v>5</v>
      </c>
      <c r="AB272" s="12"/>
      <c r="AC272" s="12"/>
      <c r="AD272" s="12"/>
      <c r="AE272" s="12"/>
    </row>
    <row r="273" customFormat="false" ht="15.75" hidden="false" customHeight="false" outlineLevel="0" collapsed="false">
      <c r="A273" s="12"/>
      <c r="B273" s="13" t="s">
        <v>141</v>
      </c>
      <c r="C273" s="14" t="s">
        <v>1405</v>
      </c>
      <c r="D273" s="24" t="s">
        <v>94</v>
      </c>
      <c r="E273" s="25" t="s">
        <v>1406</v>
      </c>
      <c r="F273" s="17" t="s">
        <v>1407</v>
      </c>
      <c r="G273" s="17" t="s">
        <v>1408</v>
      </c>
      <c r="H273" s="17" t="s">
        <v>353</v>
      </c>
      <c r="I273" s="17" t="s">
        <v>36</v>
      </c>
      <c r="J273" s="32" t="s">
        <v>205</v>
      </c>
      <c r="K273" s="17" t="n">
        <v>2005</v>
      </c>
      <c r="L273" s="17" t="s">
        <v>330</v>
      </c>
      <c r="M273" s="27" t="s">
        <v>74</v>
      </c>
      <c r="N273" s="17" t="s">
        <v>1409</v>
      </c>
      <c r="O273" s="17"/>
      <c r="P273" s="40" t="s">
        <v>150</v>
      </c>
      <c r="Q273" s="12"/>
      <c r="R273" s="12"/>
      <c r="S273" s="12"/>
      <c r="T273" s="12"/>
      <c r="U273" s="12"/>
      <c r="V273" s="21"/>
      <c r="Z273" s="12"/>
      <c r="AA273" s="29" t="n">
        <v>4</v>
      </c>
      <c r="AB273" s="12"/>
      <c r="AC273" s="12"/>
      <c r="AD273" s="12"/>
      <c r="AE273" s="12"/>
    </row>
    <row r="274" customFormat="false" ht="15.75" hidden="false" customHeight="false" outlineLevel="0" collapsed="false">
      <c r="A274" s="12"/>
      <c r="B274" s="13" t="s">
        <v>141</v>
      </c>
      <c r="C274" s="14" t="s">
        <v>1410</v>
      </c>
      <c r="D274" s="24" t="s">
        <v>51</v>
      </c>
      <c r="E274" s="25" t="s">
        <v>1411</v>
      </c>
      <c r="F274" s="17" t="s">
        <v>1412</v>
      </c>
      <c r="G274" s="17" t="s">
        <v>126</v>
      </c>
      <c r="H274" s="17"/>
      <c r="I274" s="17" t="s">
        <v>36</v>
      </c>
      <c r="J274" s="32" t="s">
        <v>205</v>
      </c>
      <c r="K274" s="17" t="n">
        <v>2008</v>
      </c>
      <c r="L274" s="17" t="s">
        <v>99</v>
      </c>
      <c r="M274" s="27" t="s">
        <v>147</v>
      </c>
      <c r="N274" s="17"/>
      <c r="O274" s="17"/>
      <c r="P274" s="40" t="s">
        <v>150</v>
      </c>
      <c r="Q274" s="12"/>
      <c r="R274" s="12"/>
      <c r="S274" s="12"/>
      <c r="T274" s="12"/>
      <c r="U274" s="12"/>
      <c r="V274" s="21"/>
      <c r="Z274" s="12"/>
      <c r="AA274" s="29" t="n">
        <v>3</v>
      </c>
      <c r="AB274" s="12" t="s">
        <v>1413</v>
      </c>
      <c r="AC274" s="12"/>
      <c r="AD274" s="12"/>
      <c r="AE274" s="12"/>
    </row>
    <row r="275" customFormat="false" ht="15.75" hidden="false" customHeight="false" outlineLevel="0" collapsed="false">
      <c r="A275" s="12"/>
      <c r="B275" s="13" t="s">
        <v>141</v>
      </c>
      <c r="C275" s="14" t="s">
        <v>1414</v>
      </c>
      <c r="D275" s="24" t="s">
        <v>94</v>
      </c>
      <c r="E275" s="25" t="s">
        <v>1415</v>
      </c>
      <c r="F275" s="17" t="s">
        <v>1416</v>
      </c>
      <c r="G275" s="17" t="s">
        <v>458</v>
      </c>
      <c r="H275" s="17" t="s">
        <v>444</v>
      </c>
      <c r="I275" s="17" t="s">
        <v>36</v>
      </c>
      <c r="J275" s="32" t="s">
        <v>205</v>
      </c>
      <c r="K275" s="17" t="n">
        <v>2010</v>
      </c>
      <c r="L275" s="17" t="s">
        <v>73</v>
      </c>
      <c r="M275" s="27" t="s">
        <v>74</v>
      </c>
      <c r="N275" s="17" t="s">
        <v>1417</v>
      </c>
      <c r="O275" s="17" t="s">
        <v>149</v>
      </c>
      <c r="P275" s="40" t="s">
        <v>150</v>
      </c>
      <c r="Q275" s="12"/>
      <c r="R275" s="12"/>
      <c r="S275" s="12"/>
      <c r="T275" s="12"/>
      <c r="U275" s="12"/>
      <c r="V275" s="21"/>
      <c r="Z275" s="12"/>
      <c r="AA275" s="29" t="n">
        <v>5</v>
      </c>
      <c r="AC275" s="12"/>
      <c r="AD275" s="12"/>
      <c r="AE275" s="12"/>
    </row>
    <row r="276" customFormat="false" ht="15.75" hidden="false" customHeight="false" outlineLevel="0" collapsed="false">
      <c r="A276" s="12"/>
      <c r="B276" s="13" t="s">
        <v>141</v>
      </c>
      <c r="C276" s="14" t="s">
        <v>1418</v>
      </c>
      <c r="D276" s="24" t="s">
        <v>94</v>
      </c>
      <c r="E276" s="25" t="s">
        <v>1419</v>
      </c>
      <c r="F276" s="17" t="s">
        <v>1420</v>
      </c>
      <c r="G276" s="17" t="s">
        <v>145</v>
      </c>
      <c r="H276" s="17" t="s">
        <v>146</v>
      </c>
      <c r="I276" s="17" t="s">
        <v>36</v>
      </c>
      <c r="J276" s="32" t="s">
        <v>205</v>
      </c>
      <c r="K276" s="17" t="n">
        <v>2013</v>
      </c>
      <c r="L276" s="17" t="s">
        <v>99</v>
      </c>
      <c r="M276" s="27" t="s">
        <v>74</v>
      </c>
      <c r="N276" s="17" t="s">
        <v>1421</v>
      </c>
      <c r="O276" s="17"/>
      <c r="P276" s="40" t="s">
        <v>150</v>
      </c>
      <c r="Q276" s="12"/>
      <c r="R276" s="12"/>
      <c r="S276" s="12"/>
      <c r="T276" s="12"/>
      <c r="U276" s="12"/>
      <c r="V276" s="21"/>
      <c r="Z276" s="12"/>
      <c r="AA276" s="29" t="n">
        <v>3</v>
      </c>
      <c r="AB276" s="12"/>
      <c r="AC276" s="12"/>
      <c r="AD276" s="12"/>
      <c r="AE276" s="12"/>
    </row>
    <row r="277" customFormat="false" ht="15.75" hidden="false" customHeight="false" outlineLevel="0" collapsed="false">
      <c r="A277" s="12"/>
      <c r="B277" s="13" t="s">
        <v>528</v>
      </c>
      <c r="C277" s="14" t="s">
        <v>1422</v>
      </c>
      <c r="D277" s="24" t="s">
        <v>94</v>
      </c>
      <c r="E277" s="25" t="s">
        <v>1423</v>
      </c>
      <c r="F277" s="17" t="s">
        <v>1424</v>
      </c>
      <c r="G277" s="26" t="s">
        <v>1061</v>
      </c>
      <c r="H277" s="17" t="s">
        <v>72</v>
      </c>
      <c r="I277" s="17" t="s">
        <v>36</v>
      </c>
      <c r="J277" s="32" t="s">
        <v>205</v>
      </c>
      <c r="K277" s="17" t="n">
        <v>2006</v>
      </c>
      <c r="L277" s="17"/>
      <c r="M277" s="27" t="s">
        <v>74</v>
      </c>
      <c r="N277" s="17" t="s">
        <v>1425</v>
      </c>
      <c r="O277" s="17" t="s">
        <v>1426</v>
      </c>
      <c r="P277" s="40" t="s">
        <v>150</v>
      </c>
      <c r="Q277" s="12"/>
      <c r="R277" s="12"/>
      <c r="S277" s="12"/>
      <c r="T277" s="12"/>
      <c r="U277" s="12"/>
      <c r="V277" s="21"/>
      <c r="Z277" s="12"/>
      <c r="AA277" s="29" t="n">
        <v>5</v>
      </c>
      <c r="AB277" s="12" t="s">
        <v>1427</v>
      </c>
      <c r="AC277" s="12"/>
      <c r="AD277" s="12"/>
      <c r="AE277" s="12"/>
    </row>
    <row r="278" customFormat="false" ht="15.75" hidden="false" customHeight="false" outlineLevel="0" collapsed="false">
      <c r="A278" s="12"/>
      <c r="B278" s="13" t="s">
        <v>528</v>
      </c>
      <c r="C278" s="14" t="s">
        <v>1428</v>
      </c>
      <c r="D278" s="24" t="s">
        <v>1429</v>
      </c>
      <c r="E278" s="25" t="s">
        <v>1430</v>
      </c>
      <c r="F278" s="17" t="s">
        <v>1431</v>
      </c>
      <c r="G278" s="17" t="s">
        <v>145</v>
      </c>
      <c r="H278" s="17" t="s">
        <v>146</v>
      </c>
      <c r="I278" s="17" t="s">
        <v>36</v>
      </c>
      <c r="J278" s="32" t="s">
        <v>205</v>
      </c>
      <c r="K278" s="17" t="n">
        <v>2012</v>
      </c>
      <c r="L278" s="17" t="s">
        <v>109</v>
      </c>
      <c r="M278" s="27" t="s">
        <v>74</v>
      </c>
      <c r="N278" s="17" t="s">
        <v>1425</v>
      </c>
      <c r="O278" s="17" t="s">
        <v>1432</v>
      </c>
      <c r="P278" s="40" t="s">
        <v>150</v>
      </c>
      <c r="Q278" s="12"/>
      <c r="R278" s="12"/>
      <c r="S278" s="12"/>
      <c r="T278" s="12"/>
      <c r="U278" s="12"/>
      <c r="V278" s="21"/>
      <c r="Z278" s="12"/>
      <c r="AA278" s="29" t="n">
        <v>5</v>
      </c>
      <c r="AB278" s="12" t="s">
        <v>1427</v>
      </c>
      <c r="AC278" s="12"/>
      <c r="AD278" s="12"/>
      <c r="AE278" s="12"/>
    </row>
    <row r="279" customFormat="false" ht="15.75" hidden="false" customHeight="false" outlineLevel="0" collapsed="false">
      <c r="A279" s="12"/>
      <c r="B279" s="12"/>
      <c r="C279" s="23" t="s">
        <v>1433</v>
      </c>
      <c r="D279" s="24" t="s">
        <v>61</v>
      </c>
      <c r="E279" s="25" t="s">
        <v>1434</v>
      </c>
      <c r="F279" s="17" t="s">
        <v>1435</v>
      </c>
      <c r="G279" s="17"/>
      <c r="H279" s="17"/>
      <c r="I279" s="17" t="s">
        <v>260</v>
      </c>
      <c r="J279" s="32" t="s">
        <v>205</v>
      </c>
      <c r="K279" s="17"/>
      <c r="L279" s="17"/>
      <c r="M279" s="27"/>
      <c r="N279" s="17"/>
      <c r="O279" s="17"/>
      <c r="P279" s="40" t="s">
        <v>261</v>
      </c>
      <c r="V279" s="60"/>
      <c r="AA279" s="63" t="n">
        <v>2</v>
      </c>
      <c r="AB279" s="47" t="s">
        <v>1436</v>
      </c>
    </row>
    <row r="280" customFormat="false" ht="15.75" hidden="false" customHeight="false" outlineLevel="0" collapsed="false">
      <c r="A280" s="12" t="str">
        <f aca="false">IF((AA280&gt;=4), "Y", "N")</f>
        <v>Y</v>
      </c>
      <c r="B280" s="13"/>
      <c r="C280" s="31" t="s">
        <v>1437</v>
      </c>
      <c r="D280" s="16" t="s">
        <v>61</v>
      </c>
      <c r="E280" s="32" t="s">
        <v>1438</v>
      </c>
      <c r="F280" s="17" t="s">
        <v>1439</v>
      </c>
      <c r="G280" s="17"/>
      <c r="H280" s="17"/>
      <c r="I280" s="26" t="s">
        <v>266</v>
      </c>
      <c r="J280" s="32" t="s">
        <v>205</v>
      </c>
      <c r="K280" s="33" t="n">
        <v>2012</v>
      </c>
      <c r="L280" s="33" t="s">
        <v>99</v>
      </c>
      <c r="M280" s="27"/>
      <c r="N280" s="17" t="s">
        <v>1440</v>
      </c>
      <c r="O280" s="17"/>
      <c r="P280" s="40" t="s">
        <v>268</v>
      </c>
      <c r="Q280" s="12"/>
      <c r="R280" s="12"/>
      <c r="S280" s="12"/>
      <c r="T280" s="12"/>
      <c r="U280" s="12"/>
      <c r="V280" s="21"/>
      <c r="Z280" s="12"/>
      <c r="AA280" s="29" t="str">
        <f aca="false">IF(P280="OD500 MX", "5", " ")</f>
        <v>5</v>
      </c>
      <c r="AB280" s="12" t="s">
        <v>1441</v>
      </c>
      <c r="AC280" s="12"/>
      <c r="AD280" s="12"/>
      <c r="AE280" s="12"/>
    </row>
    <row r="281" customFormat="false" ht="15.75" hidden="false" customHeight="false" outlineLevel="0" collapsed="false">
      <c r="A281" s="12"/>
      <c r="B281" s="12"/>
      <c r="C281" s="23" t="s">
        <v>1442</v>
      </c>
      <c r="D281" s="24" t="s">
        <v>61</v>
      </c>
      <c r="E281" s="25" t="s">
        <v>1443</v>
      </c>
      <c r="F281" s="17" t="s">
        <v>1444</v>
      </c>
      <c r="G281" s="17"/>
      <c r="H281" s="17"/>
      <c r="I281" s="17" t="s">
        <v>260</v>
      </c>
      <c r="J281" s="32" t="s">
        <v>205</v>
      </c>
      <c r="K281" s="17"/>
      <c r="L281" s="17"/>
      <c r="M281" s="27"/>
      <c r="N281" s="17"/>
      <c r="O281" s="17"/>
      <c r="P281" s="40" t="s">
        <v>261</v>
      </c>
      <c r="Q281" s="12"/>
      <c r="R281" s="12"/>
      <c r="S281" s="12"/>
      <c r="T281" s="12"/>
      <c r="U281" s="12"/>
      <c r="V281" s="21"/>
      <c r="Z281" s="12"/>
      <c r="AA281" s="29" t="n">
        <v>2</v>
      </c>
      <c r="AB281" s="12" t="s">
        <v>1445</v>
      </c>
      <c r="AC281" s="12"/>
      <c r="AD281" s="12"/>
      <c r="AE281" s="12"/>
    </row>
    <row r="282" customFormat="false" ht="15.75" hidden="false" customHeight="false" outlineLevel="0" collapsed="false">
      <c r="A282" s="12" t="str">
        <f aca="false">IF((AA282&gt;=4), "Y", "N")</f>
        <v>Y</v>
      </c>
      <c r="B282" s="13"/>
      <c r="C282" s="31" t="s">
        <v>1446</v>
      </c>
      <c r="D282" s="24" t="s">
        <v>94</v>
      </c>
      <c r="E282" s="32" t="s">
        <v>1447</v>
      </c>
      <c r="F282" s="17"/>
      <c r="G282" s="17"/>
      <c r="H282" s="17"/>
      <c r="I282" s="26" t="s">
        <v>266</v>
      </c>
      <c r="J282" s="32" t="s">
        <v>205</v>
      </c>
      <c r="K282" s="33" t="n">
        <v>2011</v>
      </c>
      <c r="L282" s="33" t="s">
        <v>109</v>
      </c>
      <c r="M282" s="27"/>
      <c r="N282" s="17" t="s">
        <v>1448</v>
      </c>
      <c r="O282" s="17"/>
      <c r="P282" s="40" t="s">
        <v>268</v>
      </c>
      <c r="V282" s="60"/>
      <c r="AA282" s="29" t="str">
        <f aca="false">IF(P282="OD500 MX", "5", " ")</f>
        <v>5</v>
      </c>
      <c r="AB282" s="17"/>
    </row>
    <row r="283" customFormat="false" ht="15.75" hidden="false" customHeight="false" outlineLevel="0" collapsed="false">
      <c r="A283" s="12" t="str">
        <f aca="false">IF((AA283&gt;=4), "Y", "N")</f>
        <v>Y</v>
      </c>
      <c r="B283" s="13"/>
      <c r="C283" s="31" t="s">
        <v>1449</v>
      </c>
      <c r="D283" s="24" t="s">
        <v>94</v>
      </c>
      <c r="E283" s="32" t="s">
        <v>1450</v>
      </c>
      <c r="F283" s="17"/>
      <c r="G283" s="17"/>
      <c r="H283" s="17"/>
      <c r="I283" s="26" t="s">
        <v>266</v>
      </c>
      <c r="J283" s="32" t="s">
        <v>205</v>
      </c>
      <c r="K283" s="33" t="n">
        <v>2012</v>
      </c>
      <c r="L283" s="33" t="s">
        <v>109</v>
      </c>
      <c r="M283" s="27"/>
      <c r="N283" s="17" t="s">
        <v>1451</v>
      </c>
      <c r="O283" s="17"/>
      <c r="P283" s="40" t="s">
        <v>268</v>
      </c>
      <c r="Q283" s="12"/>
      <c r="R283" s="12"/>
      <c r="S283" s="12"/>
      <c r="T283" s="12"/>
      <c r="U283" s="12"/>
      <c r="V283" s="21"/>
      <c r="Z283" s="12"/>
      <c r="AA283" s="29" t="str">
        <f aca="false">IF(P283="OD500 MX", "5", " ")</f>
        <v>5</v>
      </c>
      <c r="AB283" s="12"/>
      <c r="AC283" s="12"/>
      <c r="AD283" s="12"/>
      <c r="AE283" s="12"/>
    </row>
    <row r="284" customFormat="false" ht="15.75" hidden="false" customHeight="false" outlineLevel="0" collapsed="false">
      <c r="A284" s="12"/>
      <c r="B284" s="12"/>
      <c r="C284" s="23" t="s">
        <v>1452</v>
      </c>
      <c r="D284" s="24"/>
      <c r="E284" s="17"/>
      <c r="F284" s="17"/>
      <c r="G284" s="17"/>
      <c r="H284" s="17"/>
      <c r="I284" s="17" t="s">
        <v>260</v>
      </c>
      <c r="J284" s="32" t="s">
        <v>205</v>
      </c>
      <c r="K284" s="17"/>
      <c r="L284" s="17"/>
      <c r="M284" s="27"/>
      <c r="N284" s="17"/>
      <c r="O284" s="17"/>
      <c r="P284" s="40" t="s">
        <v>261</v>
      </c>
      <c r="V284" s="60"/>
      <c r="AA284" s="63"/>
    </row>
    <row r="285" customFormat="false" ht="15.75" hidden="false" customHeight="false" outlineLevel="0" collapsed="false">
      <c r="A285" s="12" t="str">
        <f aca="false">IF((AA285&gt;=4), "Y", "N")</f>
        <v>Y</v>
      </c>
      <c r="B285" s="13"/>
      <c r="C285" s="31" t="s">
        <v>1453</v>
      </c>
      <c r="D285" s="24" t="s">
        <v>94</v>
      </c>
      <c r="E285" s="32" t="s">
        <v>1454</v>
      </c>
      <c r="F285" s="17"/>
      <c r="G285" s="17"/>
      <c r="H285" s="17"/>
      <c r="I285" s="26" t="s">
        <v>266</v>
      </c>
      <c r="J285" s="32" t="s">
        <v>205</v>
      </c>
      <c r="K285" s="33" t="n">
        <v>1998</v>
      </c>
      <c r="L285" s="33" t="s">
        <v>73</v>
      </c>
      <c r="M285" s="27"/>
      <c r="N285" s="17" t="s">
        <v>1455</v>
      </c>
      <c r="O285" s="17"/>
      <c r="P285" s="40" t="s">
        <v>268</v>
      </c>
      <c r="Q285" s="12"/>
      <c r="R285" s="12"/>
      <c r="S285" s="12"/>
      <c r="T285" s="12"/>
      <c r="U285" s="12"/>
      <c r="V285" s="21"/>
      <c r="Z285" s="12"/>
      <c r="AA285" s="29" t="str">
        <f aca="false">IF(P285="OD500 MX", "5", " ")</f>
        <v>5</v>
      </c>
      <c r="AB285" s="12"/>
      <c r="AC285" s="12"/>
      <c r="AD285" s="12"/>
      <c r="AE285" s="12"/>
    </row>
    <row r="286" customFormat="false" ht="15.75" hidden="false" customHeight="false" outlineLevel="0" collapsed="false">
      <c r="A286" s="12" t="str">
        <f aca="false">IF((AA286&gt;=4), "Y", "N")</f>
        <v>Y</v>
      </c>
      <c r="B286" s="13"/>
      <c r="C286" s="31" t="s">
        <v>1456</v>
      </c>
      <c r="D286" s="24" t="s">
        <v>94</v>
      </c>
      <c r="E286" s="32" t="s">
        <v>1457</v>
      </c>
      <c r="F286" s="17"/>
      <c r="G286" s="17"/>
      <c r="H286" s="17"/>
      <c r="I286" s="26" t="s">
        <v>266</v>
      </c>
      <c r="J286" s="32" t="s">
        <v>205</v>
      </c>
      <c r="K286" s="33" t="n">
        <v>2014</v>
      </c>
      <c r="L286" s="33" t="s">
        <v>109</v>
      </c>
      <c r="M286" s="27"/>
      <c r="N286" s="17" t="s">
        <v>1458</v>
      </c>
      <c r="O286" s="17"/>
      <c r="P286" s="40" t="s">
        <v>268</v>
      </c>
      <c r="V286" s="60"/>
      <c r="AA286" s="29" t="str">
        <f aca="false">IF(P286="OD500 MX", "5", " ")</f>
        <v>5</v>
      </c>
      <c r="AB286" s="17"/>
    </row>
    <row r="287" customFormat="false" ht="15.75" hidden="false" customHeight="false" outlineLevel="0" collapsed="false">
      <c r="A287" s="12" t="s">
        <v>31</v>
      </c>
      <c r="B287" s="12" t="s">
        <v>32</v>
      </c>
      <c r="C287" s="23" t="s">
        <v>1459</v>
      </c>
      <c r="D287" s="24" t="s">
        <v>620</v>
      </c>
      <c r="E287" s="25" t="s">
        <v>1460</v>
      </c>
      <c r="F287" s="17" t="s">
        <v>1461</v>
      </c>
      <c r="G287" s="17" t="s">
        <v>478</v>
      </c>
      <c r="H287" s="17" t="s">
        <v>478</v>
      </c>
      <c r="I287" s="26" t="s">
        <v>127</v>
      </c>
      <c r="J287" s="32" t="s">
        <v>205</v>
      </c>
      <c r="K287" s="17"/>
      <c r="L287" s="17"/>
      <c r="M287" s="27"/>
      <c r="N287" s="17"/>
      <c r="O287" s="17"/>
      <c r="P287" s="28" t="s">
        <v>59</v>
      </c>
      <c r="Q287" s="20"/>
      <c r="R287" s="20"/>
      <c r="S287" s="20"/>
      <c r="T287" s="20"/>
      <c r="U287" s="20"/>
      <c r="V287" s="45"/>
      <c r="Z287" s="20"/>
      <c r="AA287" s="22" t="n">
        <v>5</v>
      </c>
      <c r="AB287" s="20" t="s">
        <v>1462</v>
      </c>
      <c r="AC287" s="20"/>
      <c r="AD287" s="20"/>
      <c r="AE287" s="20"/>
    </row>
    <row r="288" customFormat="false" ht="15.75" hidden="false" customHeight="false" outlineLevel="0" collapsed="false">
      <c r="A288" s="12" t="str">
        <f aca="false">IF((AA288&gt;=4), "Y", "N")</f>
        <v>Y</v>
      </c>
      <c r="B288" s="13"/>
      <c r="C288" s="31" t="s">
        <v>1463</v>
      </c>
      <c r="D288" s="16" t="s">
        <v>51</v>
      </c>
      <c r="E288" s="32" t="s">
        <v>1464</v>
      </c>
      <c r="F288" s="17"/>
      <c r="G288" s="17"/>
      <c r="H288" s="17"/>
      <c r="I288" s="26" t="s">
        <v>266</v>
      </c>
      <c r="J288" s="32" t="s">
        <v>205</v>
      </c>
      <c r="K288" s="33" t="n">
        <v>2013</v>
      </c>
      <c r="L288" s="33" t="s">
        <v>109</v>
      </c>
      <c r="M288" s="27"/>
      <c r="N288" s="17" t="s">
        <v>1465</v>
      </c>
      <c r="O288" s="17"/>
      <c r="P288" s="40" t="s">
        <v>268</v>
      </c>
      <c r="Q288" s="12"/>
      <c r="R288" s="12"/>
      <c r="S288" s="12"/>
      <c r="T288" s="12"/>
      <c r="U288" s="12"/>
      <c r="V288" s="21"/>
      <c r="Z288" s="12"/>
      <c r="AA288" s="29" t="str">
        <f aca="false">IF(P288="OD500 MX", "5", " ")</f>
        <v>5</v>
      </c>
      <c r="AB288" s="12"/>
      <c r="AC288" s="12"/>
      <c r="AD288" s="12"/>
      <c r="AE288" s="12"/>
    </row>
    <row r="289" customFormat="false" ht="15.75" hidden="false" customHeight="false" outlineLevel="0" collapsed="false">
      <c r="A289" s="12" t="s">
        <v>135</v>
      </c>
      <c r="B289" s="20" t="s">
        <v>32</v>
      </c>
      <c r="C289" s="48" t="s">
        <v>1466</v>
      </c>
      <c r="D289" s="24" t="s">
        <v>94</v>
      </c>
      <c r="E289" s="49" t="s">
        <v>1467</v>
      </c>
      <c r="F289" s="49" t="s">
        <v>1468</v>
      </c>
      <c r="G289" s="17" t="s">
        <v>1469</v>
      </c>
      <c r="H289" s="17"/>
      <c r="I289" s="26" t="s">
        <v>166</v>
      </c>
      <c r="J289" s="32" t="s">
        <v>205</v>
      </c>
      <c r="K289" s="17"/>
      <c r="L289" s="17"/>
      <c r="M289" s="50" t="s">
        <v>147</v>
      </c>
      <c r="N289" s="49" t="s">
        <v>1470</v>
      </c>
      <c r="O289" s="17" t="s">
        <v>1471</v>
      </c>
      <c r="P289" s="40" t="s">
        <v>168</v>
      </c>
      <c r="Q289" s="12"/>
      <c r="R289" s="12" t="s">
        <v>1472</v>
      </c>
      <c r="S289" s="12"/>
      <c r="T289" s="12" t="s">
        <v>1473</v>
      </c>
      <c r="U289" s="12"/>
      <c r="V289" s="21" t="s">
        <v>31</v>
      </c>
      <c r="Z289" s="12"/>
      <c r="AA289" s="29" t="n">
        <v>5</v>
      </c>
      <c r="AB289" s="12" t="s">
        <v>1474</v>
      </c>
      <c r="AC289" s="12"/>
      <c r="AD289" s="12"/>
      <c r="AE289" s="12"/>
      <c r="AG289" s="47"/>
    </row>
    <row r="290" customFormat="false" ht="15.75" hidden="false" customHeight="false" outlineLevel="0" collapsed="false">
      <c r="A290" s="12" t="str">
        <f aca="false">IF((AA290&gt;=4), "Y", "N")</f>
        <v>Y</v>
      </c>
      <c r="B290" s="13"/>
      <c r="C290" s="31" t="s">
        <v>1475</v>
      </c>
      <c r="D290" s="24" t="s">
        <v>94</v>
      </c>
      <c r="E290" s="32" t="s">
        <v>1476</v>
      </c>
      <c r="F290" s="17"/>
      <c r="G290" s="17"/>
      <c r="H290" s="17"/>
      <c r="I290" s="26" t="s">
        <v>266</v>
      </c>
      <c r="J290" s="32" t="s">
        <v>205</v>
      </c>
      <c r="K290" s="33" t="n">
        <v>2013</v>
      </c>
      <c r="L290" s="33" t="s">
        <v>109</v>
      </c>
      <c r="M290" s="27"/>
      <c r="N290" s="17" t="s">
        <v>1477</v>
      </c>
      <c r="O290" s="17"/>
      <c r="P290" s="40" t="s">
        <v>268</v>
      </c>
      <c r="Q290" s="20"/>
      <c r="R290" s="20"/>
      <c r="S290" s="20"/>
      <c r="T290" s="20"/>
      <c r="U290" s="20"/>
      <c r="V290" s="45"/>
      <c r="Z290" s="20"/>
      <c r="AA290" s="29" t="str">
        <f aca="false">IF(P290="OD500 MX", "5", " ")</f>
        <v>5</v>
      </c>
      <c r="AB290" s="20"/>
      <c r="AC290" s="20"/>
      <c r="AD290" s="20"/>
      <c r="AE290" s="20"/>
    </row>
    <row r="291" customFormat="false" ht="15.75" hidden="false" customHeight="false" outlineLevel="0" collapsed="false">
      <c r="A291" s="12" t="str">
        <f aca="false">IF((AA291&gt;=4), "Y", "N")</f>
        <v>Y</v>
      </c>
      <c r="B291" s="13"/>
      <c r="C291" s="31" t="s">
        <v>1478</v>
      </c>
      <c r="D291" s="24" t="s">
        <v>94</v>
      </c>
      <c r="E291" s="32" t="s">
        <v>1479</v>
      </c>
      <c r="F291" s="17"/>
      <c r="G291" s="17"/>
      <c r="H291" s="17"/>
      <c r="I291" s="26" t="s">
        <v>266</v>
      </c>
      <c r="J291" s="32" t="s">
        <v>205</v>
      </c>
      <c r="K291" s="33" t="n">
        <v>2014</v>
      </c>
      <c r="L291" s="33" t="s">
        <v>109</v>
      </c>
      <c r="M291" s="27"/>
      <c r="N291" s="17" t="s">
        <v>1480</v>
      </c>
      <c r="O291" s="17"/>
      <c r="P291" s="40" t="s">
        <v>268</v>
      </c>
      <c r="V291" s="60"/>
      <c r="AA291" s="29" t="str">
        <f aca="false">IF(P291="OD500 MX", "5", " ")</f>
        <v>5</v>
      </c>
      <c r="AB291" s="17"/>
    </row>
    <row r="292" customFormat="false" ht="15.75" hidden="false" customHeight="false" outlineLevel="0" collapsed="false">
      <c r="A292" s="12"/>
      <c r="B292" s="12"/>
      <c r="C292" s="23" t="s">
        <v>1481</v>
      </c>
      <c r="D292" s="24"/>
      <c r="E292" s="17"/>
      <c r="F292" s="17"/>
      <c r="G292" s="17"/>
      <c r="H292" s="17"/>
      <c r="I292" s="17" t="s">
        <v>260</v>
      </c>
      <c r="J292" s="32" t="s">
        <v>205</v>
      </c>
      <c r="K292" s="17"/>
      <c r="L292" s="17"/>
      <c r="M292" s="27"/>
      <c r="N292" s="17"/>
      <c r="O292" s="17"/>
      <c r="P292" s="40" t="s">
        <v>261</v>
      </c>
      <c r="V292" s="60"/>
      <c r="AA292" s="63"/>
    </row>
    <row r="293" customFormat="false" ht="15.75" hidden="false" customHeight="false" outlineLevel="0" collapsed="false">
      <c r="A293" s="12" t="str">
        <f aca="false">IF((AA293&gt;=4), "Y", "N")</f>
        <v>Y</v>
      </c>
      <c r="B293" s="13"/>
      <c r="C293" s="31" t="s">
        <v>384</v>
      </c>
      <c r="D293" s="24" t="s">
        <v>94</v>
      </c>
      <c r="E293" s="32" t="s">
        <v>1482</v>
      </c>
      <c r="F293" s="17"/>
      <c r="G293" s="17"/>
      <c r="H293" s="17"/>
      <c r="I293" s="26" t="s">
        <v>266</v>
      </c>
      <c r="J293" s="32" t="s">
        <v>205</v>
      </c>
      <c r="K293" s="33" t="n">
        <v>1998</v>
      </c>
      <c r="L293" s="33" t="s">
        <v>275</v>
      </c>
      <c r="M293" s="27"/>
      <c r="N293" s="17" t="s">
        <v>1483</v>
      </c>
      <c r="O293" s="17"/>
      <c r="P293" s="40" t="s">
        <v>268</v>
      </c>
      <c r="Q293" s="12"/>
      <c r="R293" s="12"/>
      <c r="S293" s="12"/>
      <c r="T293" s="12"/>
      <c r="U293" s="12"/>
      <c r="V293" s="21"/>
      <c r="Z293" s="12"/>
      <c r="AA293" s="29" t="str">
        <f aca="false">IF(P293="OD500 MX", "5", " ")</f>
        <v>5</v>
      </c>
      <c r="AB293" s="12"/>
      <c r="AC293" s="12"/>
      <c r="AD293" s="12"/>
      <c r="AE293" s="12"/>
    </row>
    <row r="294" customFormat="false" ht="15.75" hidden="false" customHeight="false" outlineLevel="0" collapsed="false">
      <c r="A294" s="12"/>
      <c r="B294" s="12"/>
      <c r="C294" s="23" t="s">
        <v>1484</v>
      </c>
      <c r="D294" s="24"/>
      <c r="E294" s="17"/>
      <c r="F294" s="17"/>
      <c r="G294" s="17"/>
      <c r="H294" s="17"/>
      <c r="I294" s="17" t="s">
        <v>260</v>
      </c>
      <c r="J294" s="32" t="s">
        <v>205</v>
      </c>
      <c r="K294" s="17"/>
      <c r="L294" s="17"/>
      <c r="M294" s="27"/>
      <c r="N294" s="17"/>
      <c r="O294" s="17"/>
      <c r="P294" s="40" t="s">
        <v>261</v>
      </c>
      <c r="Q294" s="12"/>
      <c r="R294" s="12"/>
      <c r="S294" s="12"/>
      <c r="T294" s="12"/>
      <c r="U294" s="12"/>
      <c r="V294" s="21"/>
      <c r="Z294" s="12"/>
      <c r="AA294" s="29"/>
      <c r="AB294" s="12"/>
      <c r="AC294" s="12"/>
      <c r="AD294" s="12"/>
      <c r="AE294" s="12"/>
    </row>
    <row r="295" customFormat="false" ht="15.75" hidden="false" customHeight="false" outlineLevel="0" collapsed="false">
      <c r="A295" s="12" t="str">
        <f aca="false">IF((AA295&gt;=4), "Y", "N")</f>
        <v>Y</v>
      </c>
      <c r="B295" s="13"/>
      <c r="C295" s="31" t="s">
        <v>1485</v>
      </c>
      <c r="D295" s="24" t="s">
        <v>94</v>
      </c>
      <c r="E295" s="32" t="s">
        <v>1486</v>
      </c>
      <c r="F295" s="17"/>
      <c r="G295" s="17"/>
      <c r="H295" s="17"/>
      <c r="I295" s="26" t="s">
        <v>266</v>
      </c>
      <c r="J295" s="32" t="s">
        <v>205</v>
      </c>
      <c r="K295" s="33" t="n">
        <v>2012</v>
      </c>
      <c r="L295" s="33" t="s">
        <v>109</v>
      </c>
      <c r="M295" s="27"/>
      <c r="N295" s="17" t="s">
        <v>1487</v>
      </c>
      <c r="O295" s="17"/>
      <c r="P295" s="40" t="s">
        <v>268</v>
      </c>
      <c r="Q295" s="12"/>
      <c r="R295" s="12"/>
      <c r="S295" s="12"/>
      <c r="T295" s="12"/>
      <c r="U295" s="12"/>
      <c r="V295" s="21"/>
      <c r="Z295" s="12"/>
      <c r="AA295" s="29" t="str">
        <f aca="false">IF(P295="OD500 MX", "5", " ")</f>
        <v>5</v>
      </c>
      <c r="AB295" s="12"/>
      <c r="AC295" s="12"/>
      <c r="AD295" s="12"/>
      <c r="AE295" s="12"/>
    </row>
    <row r="296" customFormat="false" ht="15.75" hidden="false" customHeight="false" outlineLevel="0" collapsed="false">
      <c r="A296" s="12" t="str">
        <f aca="false">IF((AA296&gt;=4), "Y", "N")</f>
        <v>Y</v>
      </c>
      <c r="B296" s="13"/>
      <c r="C296" s="31" t="s">
        <v>1488</v>
      </c>
      <c r="D296" s="24" t="s">
        <v>94</v>
      </c>
      <c r="E296" s="32" t="s">
        <v>1489</v>
      </c>
      <c r="F296" s="17"/>
      <c r="G296" s="17"/>
      <c r="H296" s="17"/>
      <c r="I296" s="26" t="s">
        <v>266</v>
      </c>
      <c r="J296" s="32" t="s">
        <v>205</v>
      </c>
      <c r="K296" s="33" t="n">
        <v>2008</v>
      </c>
      <c r="L296" s="33" t="s">
        <v>99</v>
      </c>
      <c r="M296" s="27"/>
      <c r="N296" s="17" t="s">
        <v>1490</v>
      </c>
      <c r="O296" s="17"/>
      <c r="P296" s="40" t="s">
        <v>268</v>
      </c>
      <c r="Q296" s="12"/>
      <c r="R296" s="12"/>
      <c r="S296" s="12"/>
      <c r="T296" s="12"/>
      <c r="U296" s="12"/>
      <c r="V296" s="21"/>
      <c r="Z296" s="12"/>
      <c r="AA296" s="29" t="str">
        <f aca="false">IF(P296="OD500 MX", "5", " ")</f>
        <v>5</v>
      </c>
      <c r="AB296" s="12"/>
      <c r="AC296" s="12"/>
      <c r="AD296" s="12"/>
      <c r="AE296" s="12"/>
    </row>
    <row r="297" customFormat="false" ht="15.75" hidden="false" customHeight="false" outlineLevel="0" collapsed="false">
      <c r="A297" s="12" t="s">
        <v>31</v>
      </c>
      <c r="B297" s="12" t="s">
        <v>32</v>
      </c>
      <c r="C297" s="23" t="s">
        <v>1491</v>
      </c>
      <c r="D297" s="24" t="s">
        <v>94</v>
      </c>
      <c r="E297" s="25" t="s">
        <v>1492</v>
      </c>
      <c r="F297" s="17" t="s">
        <v>1493</v>
      </c>
      <c r="G297" s="17" t="s">
        <v>754</v>
      </c>
      <c r="H297" s="17"/>
      <c r="I297" s="26" t="s">
        <v>166</v>
      </c>
      <c r="J297" s="32" t="s">
        <v>205</v>
      </c>
      <c r="K297" s="17"/>
      <c r="L297" s="17"/>
      <c r="M297" s="27" t="s">
        <v>74</v>
      </c>
      <c r="N297" s="17" t="s">
        <v>1494</v>
      </c>
      <c r="O297" s="17" t="s">
        <v>1495</v>
      </c>
      <c r="P297" s="28" t="s">
        <v>59</v>
      </c>
      <c r="Q297" s="12"/>
      <c r="R297" s="12"/>
      <c r="S297" s="12"/>
      <c r="T297" s="12"/>
      <c r="U297" s="12"/>
      <c r="V297" s="21"/>
      <c r="Z297" s="12"/>
      <c r="AA297" s="29" t="n">
        <v>5</v>
      </c>
      <c r="AB297" s="12"/>
      <c r="AC297" s="12"/>
      <c r="AD297" s="12"/>
      <c r="AE297" s="12"/>
    </row>
    <row r="298" customFormat="false" ht="15.75" hidden="false" customHeight="false" outlineLevel="0" collapsed="false">
      <c r="A298" s="12"/>
      <c r="B298" s="12"/>
      <c r="C298" s="23" t="s">
        <v>1496</v>
      </c>
      <c r="D298" s="24"/>
      <c r="E298" s="17"/>
      <c r="F298" s="17"/>
      <c r="G298" s="17"/>
      <c r="H298" s="17"/>
      <c r="I298" s="17" t="s">
        <v>260</v>
      </c>
      <c r="J298" s="32" t="s">
        <v>205</v>
      </c>
      <c r="K298" s="17"/>
      <c r="L298" s="17"/>
      <c r="M298" s="27"/>
      <c r="N298" s="17"/>
      <c r="O298" s="17"/>
      <c r="P298" s="40" t="s">
        <v>261</v>
      </c>
      <c r="Q298" s="12"/>
      <c r="R298" s="12"/>
      <c r="S298" s="12"/>
      <c r="T298" s="12"/>
      <c r="U298" s="12"/>
      <c r="V298" s="21"/>
      <c r="Z298" s="12"/>
      <c r="AA298" s="29"/>
      <c r="AB298" s="12"/>
      <c r="AC298" s="12"/>
      <c r="AD298" s="12"/>
      <c r="AE298" s="12"/>
    </row>
    <row r="299" customFormat="false" ht="15.75" hidden="false" customHeight="false" outlineLevel="0" collapsed="false">
      <c r="A299" s="12" t="str">
        <f aca="false">IF((AA299&gt;=4), "Y", "N")</f>
        <v>Y</v>
      </c>
      <c r="B299" s="13"/>
      <c r="C299" s="31" t="s">
        <v>1497</v>
      </c>
      <c r="D299" s="24" t="s">
        <v>94</v>
      </c>
      <c r="E299" s="32" t="s">
        <v>1498</v>
      </c>
      <c r="F299" s="17"/>
      <c r="G299" s="17"/>
      <c r="H299" s="17"/>
      <c r="I299" s="26" t="s">
        <v>266</v>
      </c>
      <c r="J299" s="32" t="s">
        <v>205</v>
      </c>
      <c r="K299" s="33" t="n">
        <v>2014</v>
      </c>
      <c r="L299" s="33" t="s">
        <v>109</v>
      </c>
      <c r="M299" s="27"/>
      <c r="N299" s="17" t="s">
        <v>1499</v>
      </c>
      <c r="O299" s="17"/>
      <c r="P299" s="40" t="s">
        <v>268</v>
      </c>
      <c r="Q299" s="12"/>
      <c r="R299" s="12"/>
      <c r="S299" s="12"/>
      <c r="T299" s="12"/>
      <c r="U299" s="12"/>
      <c r="V299" s="21"/>
      <c r="Z299" s="12"/>
      <c r="AA299" s="29" t="str">
        <f aca="false">IF(P299="OD500 MX", "5", " ")</f>
        <v>5</v>
      </c>
      <c r="AB299" s="12"/>
      <c r="AC299" s="12"/>
      <c r="AD299" s="12"/>
      <c r="AE299" s="12"/>
    </row>
    <row r="300" customFormat="false" ht="15.75" hidden="false" customHeight="false" outlineLevel="0" collapsed="false">
      <c r="A300" s="12" t="str">
        <f aca="false">IF((AA300&gt;=4), "Y", "N")</f>
        <v>Y</v>
      </c>
      <c r="B300" s="13"/>
      <c r="C300" s="31" t="s">
        <v>1500</v>
      </c>
      <c r="D300" s="24" t="s">
        <v>94</v>
      </c>
      <c r="E300" s="32" t="s">
        <v>1501</v>
      </c>
      <c r="F300" s="17"/>
      <c r="G300" s="17"/>
      <c r="H300" s="17"/>
      <c r="I300" s="26" t="s">
        <v>266</v>
      </c>
      <c r="J300" s="32" t="s">
        <v>205</v>
      </c>
      <c r="K300" s="33" t="n">
        <v>2010</v>
      </c>
      <c r="L300" s="33" t="s">
        <v>109</v>
      </c>
      <c r="M300" s="27"/>
      <c r="N300" s="17" t="s">
        <v>1502</v>
      </c>
      <c r="O300" s="17"/>
      <c r="P300" s="40" t="s">
        <v>268</v>
      </c>
      <c r="Q300" s="12"/>
      <c r="R300" s="12"/>
      <c r="S300" s="12"/>
      <c r="T300" s="12"/>
      <c r="U300" s="12"/>
      <c r="V300" s="21"/>
      <c r="Z300" s="12"/>
      <c r="AA300" s="29" t="str">
        <f aca="false">IF(P300="OD500 MX", "5", " ")</f>
        <v>5</v>
      </c>
      <c r="AB300" s="12"/>
      <c r="AC300" s="12"/>
      <c r="AD300" s="12"/>
      <c r="AE300" s="12"/>
    </row>
    <row r="301" customFormat="false" ht="15.75" hidden="false" customHeight="false" outlineLevel="0" collapsed="false">
      <c r="A301" s="12"/>
      <c r="B301" s="12"/>
      <c r="C301" s="23" t="s">
        <v>1503</v>
      </c>
      <c r="D301" s="24"/>
      <c r="E301" s="17"/>
      <c r="F301" s="17"/>
      <c r="G301" s="17"/>
      <c r="H301" s="17"/>
      <c r="I301" s="17" t="s">
        <v>260</v>
      </c>
      <c r="J301" s="32" t="s">
        <v>205</v>
      </c>
      <c r="K301" s="17"/>
      <c r="L301" s="17"/>
      <c r="M301" s="27"/>
      <c r="N301" s="17"/>
      <c r="O301" s="17"/>
      <c r="P301" s="40" t="s">
        <v>261</v>
      </c>
      <c r="Q301" s="12"/>
      <c r="R301" s="12"/>
      <c r="S301" s="12"/>
      <c r="T301" s="12"/>
      <c r="U301" s="12"/>
      <c r="V301" s="21"/>
      <c r="Z301" s="12"/>
      <c r="AA301" s="29"/>
      <c r="AB301" s="12"/>
      <c r="AC301" s="12"/>
      <c r="AD301" s="12"/>
      <c r="AE301" s="12"/>
    </row>
    <row r="302" customFormat="false" ht="15.75" hidden="false" customHeight="false" outlineLevel="0" collapsed="false">
      <c r="A302" s="12"/>
      <c r="B302" s="12"/>
      <c r="C302" s="23" t="s">
        <v>1504</v>
      </c>
      <c r="D302" s="24" t="s">
        <v>94</v>
      </c>
      <c r="E302" s="25" t="s">
        <v>1505</v>
      </c>
      <c r="F302" s="17" t="s">
        <v>1506</v>
      </c>
      <c r="G302" s="17" t="s">
        <v>1507</v>
      </c>
      <c r="H302" s="26" t="s">
        <v>341</v>
      </c>
      <c r="I302" s="17" t="s">
        <v>36</v>
      </c>
      <c r="J302" s="32" t="s">
        <v>205</v>
      </c>
      <c r="K302" s="17" t="n">
        <v>2007</v>
      </c>
      <c r="L302" s="38" t="s">
        <v>73</v>
      </c>
      <c r="M302" s="27"/>
      <c r="N302" s="17"/>
      <c r="O302" s="17"/>
      <c r="P302" s="40" t="s">
        <v>111</v>
      </c>
      <c r="Q302" s="12"/>
      <c r="R302" s="12"/>
      <c r="S302" s="12"/>
      <c r="T302" s="12"/>
      <c r="U302" s="12"/>
      <c r="V302" s="21"/>
      <c r="Z302" s="12"/>
      <c r="AA302" s="29" t="n">
        <v>1</v>
      </c>
      <c r="AB302" s="12"/>
      <c r="AC302" s="12"/>
      <c r="AD302" s="12"/>
      <c r="AE302" s="12"/>
    </row>
    <row r="303" customFormat="false" ht="15.75" hidden="false" customHeight="false" outlineLevel="0" collapsed="false">
      <c r="A303" s="12" t="str">
        <f aca="false">IF((AA303&gt;=4), "Y", "N")</f>
        <v>Y</v>
      </c>
      <c r="B303" s="13"/>
      <c r="C303" s="31" t="s">
        <v>1508</v>
      </c>
      <c r="D303" s="24" t="s">
        <v>94</v>
      </c>
      <c r="E303" s="32" t="s">
        <v>1509</v>
      </c>
      <c r="F303" s="17"/>
      <c r="G303" s="17"/>
      <c r="H303" s="17"/>
      <c r="I303" s="26" t="s">
        <v>266</v>
      </c>
      <c r="J303" s="32" t="s">
        <v>205</v>
      </c>
      <c r="K303" s="33" t="n">
        <v>2005</v>
      </c>
      <c r="L303" s="33" t="s">
        <v>109</v>
      </c>
      <c r="M303" s="27"/>
      <c r="N303" s="17" t="s">
        <v>1510</v>
      </c>
      <c r="O303" s="17"/>
      <c r="P303" s="40" t="s">
        <v>268</v>
      </c>
      <c r="Q303" s="12"/>
      <c r="R303" s="12"/>
      <c r="S303" s="12"/>
      <c r="T303" s="12"/>
      <c r="U303" s="12"/>
      <c r="V303" s="21"/>
      <c r="Z303" s="12"/>
      <c r="AA303" s="29" t="str">
        <f aca="false">IF(P303="OD500 MX", "5", " ")</f>
        <v>5</v>
      </c>
      <c r="AB303" s="12"/>
      <c r="AC303" s="12"/>
      <c r="AD303" s="12"/>
      <c r="AE303" s="12"/>
    </row>
    <row r="304" customFormat="false" ht="15.75" hidden="false" customHeight="false" outlineLevel="0" collapsed="false">
      <c r="A304" s="12" t="str">
        <f aca="false">IF((AA304&gt;=4), "Y", "N")</f>
        <v>Y</v>
      </c>
      <c r="B304" s="13"/>
      <c r="C304" s="31" t="s">
        <v>1511</v>
      </c>
      <c r="D304" s="24" t="s">
        <v>94</v>
      </c>
      <c r="E304" s="32" t="s">
        <v>1512</v>
      </c>
      <c r="F304" s="17"/>
      <c r="G304" s="17"/>
      <c r="H304" s="17"/>
      <c r="I304" s="26" t="s">
        <v>266</v>
      </c>
      <c r="J304" s="32" t="s">
        <v>205</v>
      </c>
      <c r="K304" s="33" t="n">
        <v>2012</v>
      </c>
      <c r="L304" s="33" t="s">
        <v>99</v>
      </c>
      <c r="M304" s="27"/>
      <c r="N304" s="17" t="s">
        <v>1513</v>
      </c>
      <c r="O304" s="17"/>
      <c r="P304" s="40" t="s">
        <v>268</v>
      </c>
      <c r="Q304" s="20"/>
      <c r="R304" s="20"/>
      <c r="S304" s="20"/>
      <c r="T304" s="20"/>
      <c r="U304" s="20"/>
      <c r="V304" s="45"/>
      <c r="Z304" s="20"/>
      <c r="AA304" s="29" t="str">
        <f aca="false">IF(P304="OD500 MX", "5", " ")</f>
        <v>5</v>
      </c>
      <c r="AB304" s="20"/>
      <c r="AC304" s="20"/>
      <c r="AD304" s="20"/>
      <c r="AE304" s="20"/>
    </row>
    <row r="305" customFormat="false" ht="15.75" hidden="false" customHeight="false" outlineLevel="0" collapsed="false">
      <c r="A305" s="12"/>
      <c r="B305" s="12"/>
      <c r="C305" s="23" t="s">
        <v>1514</v>
      </c>
      <c r="D305" s="24" t="s">
        <v>94</v>
      </c>
      <c r="E305" s="25" t="s">
        <v>1515</v>
      </c>
      <c r="F305" s="17" t="s">
        <v>1516</v>
      </c>
      <c r="G305" s="17" t="s">
        <v>1517</v>
      </c>
      <c r="H305" s="26" t="s">
        <v>72</v>
      </c>
      <c r="I305" s="17" t="s">
        <v>36</v>
      </c>
      <c r="J305" s="32" t="s">
        <v>205</v>
      </c>
      <c r="K305" s="17" t="n">
        <v>1980</v>
      </c>
      <c r="L305" s="38" t="s">
        <v>482</v>
      </c>
      <c r="M305" s="27"/>
      <c r="N305" s="17"/>
      <c r="O305" s="17"/>
      <c r="P305" s="40" t="s">
        <v>111</v>
      </c>
      <c r="Q305" s="20"/>
      <c r="R305" s="20"/>
      <c r="S305" s="20"/>
      <c r="T305" s="20"/>
      <c r="U305" s="20"/>
      <c r="V305" s="45"/>
      <c r="Z305" s="20"/>
      <c r="AA305" s="22" t="n">
        <v>3</v>
      </c>
      <c r="AB305" s="20"/>
      <c r="AC305" s="20"/>
      <c r="AD305" s="20"/>
      <c r="AE305" s="20"/>
    </row>
    <row r="306" customFormat="false" ht="15.75" hidden="false" customHeight="false" outlineLevel="0" collapsed="false">
      <c r="A306" s="12" t="str">
        <f aca="false">IF((AA306&gt;=4), "Y", "N")</f>
        <v>Y</v>
      </c>
      <c r="B306" s="13"/>
      <c r="C306" s="31" t="s">
        <v>1518</v>
      </c>
      <c r="D306" s="24" t="s">
        <v>94</v>
      </c>
      <c r="E306" s="32" t="s">
        <v>1519</v>
      </c>
      <c r="F306" s="17"/>
      <c r="G306" s="17"/>
      <c r="H306" s="17"/>
      <c r="I306" s="26" t="s">
        <v>266</v>
      </c>
      <c r="J306" s="32" t="s">
        <v>205</v>
      </c>
      <c r="K306" s="33" t="n">
        <v>2010</v>
      </c>
      <c r="L306" s="33" t="s">
        <v>109</v>
      </c>
      <c r="M306" s="27"/>
      <c r="N306" s="17" t="s">
        <v>1520</v>
      </c>
      <c r="O306" s="17"/>
      <c r="P306" s="40" t="s">
        <v>268</v>
      </c>
      <c r="Q306" s="12"/>
      <c r="R306" s="12"/>
      <c r="S306" s="12"/>
      <c r="T306" s="12"/>
      <c r="U306" s="12"/>
      <c r="V306" s="21"/>
      <c r="Z306" s="12"/>
      <c r="AA306" s="29" t="str">
        <f aca="false">IF(P306="OD500 MX", "5", " ")</f>
        <v>5</v>
      </c>
      <c r="AB306" s="12"/>
      <c r="AC306" s="12"/>
      <c r="AD306" s="12"/>
      <c r="AE306" s="12"/>
    </row>
    <row r="307" customFormat="false" ht="15.75" hidden="false" customHeight="false" outlineLevel="0" collapsed="false">
      <c r="A307" s="12"/>
      <c r="B307" s="12"/>
      <c r="C307" s="23" t="s">
        <v>1521</v>
      </c>
      <c r="D307" s="24" t="s">
        <v>94</v>
      </c>
      <c r="E307" s="25" t="s">
        <v>1522</v>
      </c>
      <c r="F307" s="17" t="s">
        <v>1523</v>
      </c>
      <c r="G307" s="17" t="s">
        <v>495</v>
      </c>
      <c r="H307" s="26" t="s">
        <v>72</v>
      </c>
      <c r="I307" s="17" t="s">
        <v>36</v>
      </c>
      <c r="J307" s="32" t="s">
        <v>205</v>
      </c>
      <c r="K307" s="17" t="n">
        <v>2009</v>
      </c>
      <c r="L307" s="38" t="s">
        <v>73</v>
      </c>
      <c r="M307" s="27"/>
      <c r="N307" s="17"/>
      <c r="O307" s="17"/>
      <c r="P307" s="40" t="s">
        <v>111</v>
      </c>
      <c r="Q307" s="12"/>
      <c r="R307" s="12"/>
      <c r="S307" s="12"/>
      <c r="T307" s="12"/>
      <c r="U307" s="12"/>
      <c r="V307" s="21"/>
      <c r="Z307" s="12"/>
      <c r="AA307" s="29" t="n">
        <v>1</v>
      </c>
      <c r="AB307" s="12"/>
      <c r="AC307" s="12"/>
      <c r="AD307" s="12"/>
      <c r="AE307" s="12"/>
    </row>
    <row r="308" customFormat="false" ht="15.75" hidden="false" customHeight="false" outlineLevel="0" collapsed="false">
      <c r="A308" s="12"/>
      <c r="B308" s="12"/>
      <c r="C308" s="23" t="s">
        <v>1524</v>
      </c>
      <c r="D308" s="24"/>
      <c r="E308" s="17"/>
      <c r="F308" s="17"/>
      <c r="G308" s="17"/>
      <c r="H308" s="17"/>
      <c r="I308" s="17" t="s">
        <v>260</v>
      </c>
      <c r="J308" s="32" t="s">
        <v>205</v>
      </c>
      <c r="K308" s="17"/>
      <c r="L308" s="17"/>
      <c r="M308" s="27"/>
      <c r="N308" s="17"/>
      <c r="O308" s="17"/>
      <c r="P308" s="40" t="s">
        <v>261</v>
      </c>
      <c r="Q308" s="12"/>
      <c r="R308" s="12"/>
      <c r="S308" s="12"/>
      <c r="T308" s="12"/>
      <c r="U308" s="12"/>
      <c r="V308" s="21"/>
      <c r="Z308" s="12"/>
      <c r="AA308" s="29"/>
      <c r="AB308" s="12"/>
      <c r="AC308" s="12"/>
      <c r="AD308" s="12"/>
      <c r="AE308" s="12"/>
    </row>
    <row r="309" customFormat="false" ht="15.75" hidden="false" customHeight="false" outlineLevel="0" collapsed="false">
      <c r="A309" s="12" t="str">
        <f aca="false">IF((AA309&gt;=4), "Y", "N")</f>
        <v>Y</v>
      </c>
      <c r="B309" s="13"/>
      <c r="C309" s="31" t="s">
        <v>1525</v>
      </c>
      <c r="D309" s="16" t="s">
        <v>51</v>
      </c>
      <c r="E309" s="32" t="s">
        <v>1526</v>
      </c>
      <c r="F309" s="17"/>
      <c r="G309" s="17"/>
      <c r="H309" s="17"/>
      <c r="I309" s="26" t="s">
        <v>266</v>
      </c>
      <c r="J309" s="32" t="s">
        <v>205</v>
      </c>
      <c r="K309" s="33" t="n">
        <v>2005</v>
      </c>
      <c r="L309" s="33" t="s">
        <v>109</v>
      </c>
      <c r="M309" s="27"/>
      <c r="N309" s="17" t="s">
        <v>1527</v>
      </c>
      <c r="O309" s="17"/>
      <c r="P309" s="40" t="s">
        <v>268</v>
      </c>
      <c r="Q309" s="12"/>
      <c r="R309" s="12"/>
      <c r="S309" s="12"/>
      <c r="T309" s="12"/>
      <c r="U309" s="12"/>
      <c r="V309" s="21"/>
      <c r="Z309" s="12"/>
      <c r="AA309" s="29" t="str">
        <f aca="false">IF(P309="OD500 MX", "5", " ")</f>
        <v>5</v>
      </c>
      <c r="AB309" s="12"/>
      <c r="AC309" s="12"/>
      <c r="AD309" s="12"/>
      <c r="AE309" s="12"/>
    </row>
    <row r="310" customFormat="false" ht="15.75" hidden="false" customHeight="false" outlineLevel="0" collapsed="false">
      <c r="A310" s="12"/>
      <c r="B310" s="12"/>
      <c r="C310" s="23" t="s">
        <v>1528</v>
      </c>
      <c r="D310" s="24" t="s">
        <v>94</v>
      </c>
      <c r="E310" s="25" t="s">
        <v>1529</v>
      </c>
      <c r="F310" s="17" t="s">
        <v>1530</v>
      </c>
      <c r="G310" s="17" t="s">
        <v>1531</v>
      </c>
      <c r="H310" s="26" t="s">
        <v>72</v>
      </c>
      <c r="I310" s="17" t="s">
        <v>36</v>
      </c>
      <c r="J310" s="32" t="s">
        <v>205</v>
      </c>
      <c r="K310" s="17" t="n">
        <v>2006</v>
      </c>
      <c r="L310" s="38" t="s">
        <v>109</v>
      </c>
      <c r="M310" s="27"/>
      <c r="N310" s="17"/>
      <c r="O310" s="17"/>
      <c r="P310" s="40" t="s">
        <v>111</v>
      </c>
      <c r="Q310" s="20"/>
      <c r="R310" s="20"/>
      <c r="S310" s="20"/>
      <c r="T310" s="20"/>
      <c r="U310" s="20"/>
      <c r="V310" s="45"/>
      <c r="Z310" s="20"/>
      <c r="AA310" s="22" t="n">
        <v>3</v>
      </c>
      <c r="AB310" s="20"/>
      <c r="AC310" s="20"/>
      <c r="AD310" s="20"/>
      <c r="AE310" s="20"/>
    </row>
    <row r="311" customFormat="false" ht="15.75" hidden="false" customHeight="false" outlineLevel="0" collapsed="false">
      <c r="A311" s="12" t="str">
        <f aca="false">IF((AA311&gt;=4), "Y", "N")</f>
        <v>Y</v>
      </c>
      <c r="B311" s="13"/>
      <c r="C311" s="31" t="s">
        <v>1532</v>
      </c>
      <c r="D311" s="24" t="s">
        <v>94</v>
      </c>
      <c r="E311" s="32" t="s">
        <v>1533</v>
      </c>
      <c r="F311" s="17"/>
      <c r="G311" s="17"/>
      <c r="H311" s="17"/>
      <c r="I311" s="26" t="s">
        <v>266</v>
      </c>
      <c r="J311" s="32" t="s">
        <v>205</v>
      </c>
      <c r="K311" s="33" t="n">
        <v>2009</v>
      </c>
      <c r="L311" s="33" t="s">
        <v>109</v>
      </c>
      <c r="M311" s="27"/>
      <c r="N311" s="17" t="s">
        <v>1534</v>
      </c>
      <c r="O311" s="17"/>
      <c r="P311" s="40" t="s">
        <v>268</v>
      </c>
      <c r="Q311" s="20"/>
      <c r="R311" s="20"/>
      <c r="S311" s="20"/>
      <c r="T311" s="20"/>
      <c r="U311" s="20"/>
      <c r="V311" s="45"/>
      <c r="Z311" s="20"/>
      <c r="AA311" s="29" t="str">
        <f aca="false">IF(P311="OD500 MX", "5", " ")</f>
        <v>5</v>
      </c>
      <c r="AB311" s="20"/>
      <c r="AC311" s="20"/>
      <c r="AD311" s="20"/>
      <c r="AE311" s="20"/>
    </row>
    <row r="312" customFormat="false" ht="15.75" hidden="false" customHeight="false" outlineLevel="0" collapsed="false">
      <c r="A312" s="12" t="str">
        <f aca="false">IF((AA312&gt;=4), "Y", "N")</f>
        <v>Y</v>
      </c>
      <c r="B312" s="13"/>
      <c r="C312" s="31" t="s">
        <v>1535</v>
      </c>
      <c r="D312" s="24" t="s">
        <v>94</v>
      </c>
      <c r="E312" s="32" t="s">
        <v>1536</v>
      </c>
      <c r="F312" s="17"/>
      <c r="G312" s="17"/>
      <c r="H312" s="17"/>
      <c r="I312" s="26" t="s">
        <v>266</v>
      </c>
      <c r="J312" s="32" t="s">
        <v>205</v>
      </c>
      <c r="K312" s="33" t="n">
        <v>2014</v>
      </c>
      <c r="L312" s="33" t="s">
        <v>109</v>
      </c>
      <c r="M312" s="27"/>
      <c r="N312" s="17" t="s">
        <v>1537</v>
      </c>
      <c r="O312" s="17"/>
      <c r="P312" s="40" t="s">
        <v>268</v>
      </c>
      <c r="Q312" s="12"/>
      <c r="R312" s="12"/>
      <c r="S312" s="12"/>
      <c r="T312" s="12"/>
      <c r="U312" s="12"/>
      <c r="V312" s="21"/>
      <c r="Z312" s="12"/>
      <c r="AA312" s="29" t="str">
        <f aca="false">IF(P312="OD500 MX", "5", " ")</f>
        <v>5</v>
      </c>
      <c r="AB312" s="12"/>
      <c r="AC312" s="12"/>
      <c r="AD312" s="12"/>
      <c r="AE312" s="12"/>
    </row>
    <row r="313" customFormat="false" ht="15.75" hidden="false" customHeight="false" outlineLevel="0" collapsed="false">
      <c r="A313" s="12" t="str">
        <f aca="false">IF((AA313&gt;=4), "Y", "N")</f>
        <v>Y</v>
      </c>
      <c r="B313" s="13"/>
      <c r="C313" s="31" t="s">
        <v>1538</v>
      </c>
      <c r="D313" s="24" t="s">
        <v>94</v>
      </c>
      <c r="E313" s="32" t="s">
        <v>1539</v>
      </c>
      <c r="F313" s="17"/>
      <c r="G313" s="17"/>
      <c r="H313" s="17"/>
      <c r="I313" s="26" t="s">
        <v>266</v>
      </c>
      <c r="J313" s="32" t="s">
        <v>205</v>
      </c>
      <c r="K313" s="33" t="n">
        <v>2010</v>
      </c>
      <c r="L313" s="33" t="s">
        <v>99</v>
      </c>
      <c r="M313" s="27"/>
      <c r="N313" s="17" t="s">
        <v>1540</v>
      </c>
      <c r="O313" s="17"/>
      <c r="P313" s="40" t="s">
        <v>268</v>
      </c>
      <c r="Q313" s="17"/>
      <c r="R313" s="17"/>
      <c r="S313" s="17"/>
      <c r="T313" s="17"/>
      <c r="U313" s="17"/>
      <c r="V313" s="27"/>
      <c r="Z313" s="17"/>
      <c r="AA313" s="29" t="str">
        <f aca="false">IF(P313="OD500 MX", "5", " ")</f>
        <v>5</v>
      </c>
      <c r="AB313" s="17"/>
      <c r="AC313" s="17"/>
      <c r="AD313" s="17"/>
      <c r="AE313" s="17"/>
    </row>
    <row r="314" customFormat="false" ht="15.75" hidden="false" customHeight="false" outlineLevel="0" collapsed="false">
      <c r="A314" s="12"/>
      <c r="B314" s="12"/>
      <c r="C314" s="23" t="s">
        <v>1541</v>
      </c>
      <c r="D314" s="24"/>
      <c r="E314" s="17"/>
      <c r="F314" s="17"/>
      <c r="G314" s="17"/>
      <c r="H314" s="17"/>
      <c r="I314" s="17" t="s">
        <v>260</v>
      </c>
      <c r="J314" s="32" t="s">
        <v>205</v>
      </c>
      <c r="K314" s="17"/>
      <c r="L314" s="17"/>
      <c r="M314" s="27"/>
      <c r="N314" s="17"/>
      <c r="O314" s="17"/>
      <c r="P314" s="40" t="s">
        <v>261</v>
      </c>
      <c r="Q314" s="12"/>
      <c r="R314" s="12"/>
      <c r="S314" s="12"/>
      <c r="T314" s="12"/>
      <c r="U314" s="12"/>
      <c r="V314" s="21"/>
      <c r="Z314" s="12"/>
      <c r="AA314" s="29"/>
      <c r="AB314" s="12"/>
      <c r="AC314" s="12"/>
      <c r="AD314" s="12"/>
      <c r="AE314" s="12"/>
    </row>
    <row r="315" customFormat="false" ht="15.75" hidden="false" customHeight="false" outlineLevel="0" collapsed="false">
      <c r="A315" s="12"/>
      <c r="B315" s="12"/>
      <c r="C315" s="23" t="s">
        <v>1542</v>
      </c>
      <c r="D315" s="24"/>
      <c r="E315" s="17"/>
      <c r="F315" s="17"/>
      <c r="G315" s="17"/>
      <c r="H315" s="17"/>
      <c r="I315" s="17" t="s">
        <v>260</v>
      </c>
      <c r="J315" s="32" t="s">
        <v>205</v>
      </c>
      <c r="K315" s="17"/>
      <c r="L315" s="17"/>
      <c r="M315" s="27"/>
      <c r="N315" s="17"/>
      <c r="O315" s="17"/>
      <c r="P315" s="40" t="s">
        <v>261</v>
      </c>
      <c r="Q315" s="12"/>
      <c r="R315" s="12"/>
      <c r="S315" s="12"/>
      <c r="T315" s="12"/>
      <c r="U315" s="12"/>
      <c r="V315" s="21"/>
      <c r="Z315" s="12"/>
      <c r="AA315" s="29"/>
      <c r="AB315" s="12"/>
      <c r="AC315" s="12"/>
      <c r="AD315" s="12"/>
      <c r="AE315" s="12"/>
    </row>
    <row r="316" customFormat="false" ht="15.75" hidden="false" customHeight="false" outlineLevel="0" collapsed="false">
      <c r="A316" s="12"/>
      <c r="B316" s="12"/>
      <c r="C316" s="23" t="s">
        <v>1543</v>
      </c>
      <c r="D316" s="24" t="s">
        <v>94</v>
      </c>
      <c r="E316" s="25" t="s">
        <v>1544</v>
      </c>
      <c r="F316" s="17" t="s">
        <v>1545</v>
      </c>
      <c r="G316" s="17" t="s">
        <v>71</v>
      </c>
      <c r="H316" s="26" t="s">
        <v>72</v>
      </c>
      <c r="I316" s="17" t="s">
        <v>36</v>
      </c>
      <c r="J316" s="32" t="s">
        <v>205</v>
      </c>
      <c r="K316" s="17" t="n">
        <v>2006</v>
      </c>
      <c r="L316" s="38" t="s">
        <v>99</v>
      </c>
      <c r="M316" s="27"/>
      <c r="N316" s="39" t="s">
        <v>315</v>
      </c>
      <c r="O316" s="17"/>
      <c r="P316" s="40" t="s">
        <v>111</v>
      </c>
      <c r="Q316" s="17"/>
      <c r="R316" s="17"/>
      <c r="S316" s="17"/>
      <c r="T316" s="17"/>
      <c r="U316" s="17"/>
      <c r="V316" s="27"/>
      <c r="Z316" s="17"/>
      <c r="AA316" s="29" t="n">
        <v>1</v>
      </c>
      <c r="AB316" s="17"/>
      <c r="AC316" s="17"/>
      <c r="AD316" s="17"/>
      <c r="AE316" s="17"/>
    </row>
    <row r="317" customFormat="false" ht="15.75" hidden="false" customHeight="false" outlineLevel="0" collapsed="false">
      <c r="A317" s="12" t="str">
        <f aca="false">IF((AA317&gt;=4), "Y", "N")</f>
        <v>Y</v>
      </c>
      <c r="B317" s="13"/>
      <c r="C317" s="31" t="s">
        <v>1546</v>
      </c>
      <c r="D317" s="24" t="s">
        <v>94</v>
      </c>
      <c r="E317" s="32" t="s">
        <v>1547</v>
      </c>
      <c r="F317" s="17"/>
      <c r="G317" s="17"/>
      <c r="H317" s="17"/>
      <c r="I317" s="26" t="s">
        <v>266</v>
      </c>
      <c r="J317" s="32" t="s">
        <v>205</v>
      </c>
      <c r="K317" s="33" t="n">
        <v>2014</v>
      </c>
      <c r="L317" s="33" t="s">
        <v>109</v>
      </c>
      <c r="M317" s="27"/>
      <c r="N317" s="17" t="s">
        <v>1548</v>
      </c>
      <c r="O317" s="17"/>
      <c r="P317" s="40" t="s">
        <v>268</v>
      </c>
      <c r="Q317" s="20"/>
      <c r="R317" s="20"/>
      <c r="S317" s="20"/>
      <c r="T317" s="20"/>
      <c r="U317" s="20"/>
      <c r="V317" s="45"/>
      <c r="Z317" s="20"/>
      <c r="AA317" s="29" t="str">
        <f aca="false">IF(P317="OD500 MX", "5", " ")</f>
        <v>5</v>
      </c>
      <c r="AB317" s="20"/>
      <c r="AC317" s="20"/>
      <c r="AD317" s="20"/>
      <c r="AE317" s="20"/>
    </row>
    <row r="318" customFormat="false" ht="15.75" hidden="false" customHeight="false" outlineLevel="0" collapsed="false">
      <c r="A318" s="12" t="str">
        <f aca="false">IF((AA318&gt;=4), "Y", "N")</f>
        <v>Y</v>
      </c>
      <c r="B318" s="13"/>
      <c r="C318" s="31" t="s">
        <v>1549</v>
      </c>
      <c r="D318" s="24" t="s">
        <v>94</v>
      </c>
      <c r="E318" s="32" t="s">
        <v>1550</v>
      </c>
      <c r="F318" s="17"/>
      <c r="G318" s="17"/>
      <c r="H318" s="17"/>
      <c r="I318" s="26" t="s">
        <v>266</v>
      </c>
      <c r="J318" s="32" t="s">
        <v>205</v>
      </c>
      <c r="K318" s="33" t="n">
        <v>2013</v>
      </c>
      <c r="L318" s="33" t="s">
        <v>109</v>
      </c>
      <c r="M318" s="27"/>
      <c r="N318" s="17" t="s">
        <v>1551</v>
      </c>
      <c r="O318" s="17"/>
      <c r="P318" s="40" t="s">
        <v>268</v>
      </c>
      <c r="Q318" s="12"/>
      <c r="R318" s="12"/>
      <c r="S318" s="12"/>
      <c r="T318" s="12"/>
      <c r="U318" s="12"/>
      <c r="V318" s="21"/>
      <c r="Z318" s="12"/>
      <c r="AA318" s="29" t="str">
        <f aca="false">IF(P318="OD500 MX", "5", " ")</f>
        <v>5</v>
      </c>
      <c r="AB318" s="12"/>
      <c r="AC318" s="12"/>
      <c r="AD318" s="12"/>
      <c r="AE318" s="12"/>
    </row>
    <row r="319" customFormat="false" ht="15.75" hidden="false" customHeight="false" outlineLevel="0" collapsed="false">
      <c r="A319" s="12"/>
      <c r="B319" s="54"/>
      <c r="C319" s="55" t="s">
        <v>1552</v>
      </c>
      <c r="D319" s="24"/>
      <c r="E319" s="16" t="s">
        <v>1553</v>
      </c>
      <c r="F319" s="15" t="s">
        <v>1554</v>
      </c>
      <c r="G319" s="15"/>
      <c r="H319" s="15"/>
      <c r="I319" s="17" t="s">
        <v>36</v>
      </c>
      <c r="J319" s="15" t="s">
        <v>1555</v>
      </c>
      <c r="K319" s="15" t="n">
        <v>2010</v>
      </c>
      <c r="L319" s="17"/>
      <c r="M319" s="18"/>
      <c r="N319" s="17"/>
      <c r="O319" s="17"/>
      <c r="P319" s="19" t="s">
        <v>39</v>
      </c>
      <c r="Q319" s="20"/>
      <c r="R319" s="20"/>
      <c r="S319" s="20"/>
      <c r="T319" s="20"/>
      <c r="U319" s="20"/>
      <c r="V319" s="45"/>
      <c r="Z319" s="20"/>
      <c r="AA319" s="22"/>
      <c r="AB319" s="18" t="s">
        <v>1556</v>
      </c>
      <c r="AC319" s="20"/>
      <c r="AD319" s="20"/>
      <c r="AE319" s="20"/>
    </row>
    <row r="320" customFormat="false" ht="15.75" hidden="false" customHeight="false" outlineLevel="0" collapsed="false">
      <c r="A320" s="12"/>
      <c r="B320" s="54"/>
      <c r="C320" s="55" t="s">
        <v>1557</v>
      </c>
      <c r="D320" s="24"/>
      <c r="E320" s="57" t="s">
        <v>1558</v>
      </c>
      <c r="F320" s="15" t="s">
        <v>1559</v>
      </c>
      <c r="G320" s="15"/>
      <c r="H320" s="15"/>
      <c r="I320" s="26" t="s">
        <v>82</v>
      </c>
      <c r="J320" s="15" t="s">
        <v>244</v>
      </c>
      <c r="K320" s="17"/>
      <c r="L320" s="17"/>
      <c r="M320" s="18"/>
      <c r="N320" s="17"/>
      <c r="O320" s="17"/>
      <c r="P320" s="19" t="s">
        <v>39</v>
      </c>
      <c r="Q320" s="20"/>
      <c r="R320" s="20"/>
      <c r="S320" s="20"/>
      <c r="T320" s="20"/>
      <c r="U320" s="20"/>
      <c r="V320" s="45"/>
      <c r="Z320" s="20"/>
      <c r="AA320" s="22"/>
      <c r="AB320" s="18" t="s">
        <v>1560</v>
      </c>
      <c r="AC320" s="20"/>
      <c r="AD320" s="20"/>
      <c r="AE320" s="20"/>
    </row>
    <row r="321" customFormat="false" ht="15.75" hidden="false" customHeight="false" outlineLevel="0" collapsed="false">
      <c r="A321" s="12" t="s">
        <v>193</v>
      </c>
      <c r="B321" s="12" t="s">
        <v>32</v>
      </c>
      <c r="C321" s="23" t="s">
        <v>1561</v>
      </c>
      <c r="D321" s="24" t="s">
        <v>195</v>
      </c>
      <c r="E321" s="25" t="s">
        <v>1562</v>
      </c>
      <c r="F321" s="17" t="s">
        <v>1563</v>
      </c>
      <c r="G321" s="17"/>
      <c r="H321" s="17"/>
      <c r="I321" s="26" t="s">
        <v>1564</v>
      </c>
      <c r="J321" s="17" t="s">
        <v>1565</v>
      </c>
      <c r="K321" s="17"/>
      <c r="L321" s="17"/>
      <c r="M321" s="27"/>
      <c r="N321" s="17"/>
      <c r="O321" s="17"/>
      <c r="P321" s="28" t="s">
        <v>59</v>
      </c>
      <c r="V321" s="60"/>
      <c r="AA321" s="63" t="n">
        <v>2</v>
      </c>
      <c r="AB321" s="17" t="s">
        <v>1566</v>
      </c>
    </row>
    <row r="322" customFormat="false" ht="15.75" hidden="false" customHeight="false" outlineLevel="0" collapsed="false">
      <c r="A322" s="12" t="s">
        <v>193</v>
      </c>
      <c r="B322" s="12" t="s">
        <v>32</v>
      </c>
      <c r="C322" s="23" t="s">
        <v>1567</v>
      </c>
      <c r="D322" s="24" t="s">
        <v>620</v>
      </c>
      <c r="E322" s="25" t="s">
        <v>1568</v>
      </c>
      <c r="F322" s="17" t="s">
        <v>1569</v>
      </c>
      <c r="G322" s="17"/>
      <c r="H322" s="17"/>
      <c r="I322" s="17" t="s">
        <v>131</v>
      </c>
      <c r="J322" s="17" t="s">
        <v>1565</v>
      </c>
      <c r="K322" s="17"/>
      <c r="L322" s="17"/>
      <c r="M322" s="27"/>
      <c r="N322" s="17"/>
      <c r="O322" s="17"/>
      <c r="P322" s="28" t="s">
        <v>59</v>
      </c>
      <c r="Q322" s="12"/>
      <c r="R322" s="12"/>
      <c r="S322" s="12"/>
      <c r="T322" s="12"/>
      <c r="U322" s="12"/>
      <c r="V322" s="21"/>
      <c r="Z322" s="12"/>
      <c r="AA322" s="29" t="n">
        <v>2</v>
      </c>
      <c r="AB322" s="12" t="s">
        <v>1570</v>
      </c>
      <c r="AC322" s="12"/>
      <c r="AD322" s="12"/>
      <c r="AE322" s="12"/>
    </row>
    <row r="323" customFormat="false" ht="15.75" hidden="false" customHeight="false" outlineLevel="0" collapsed="false">
      <c r="A323" s="12" t="s">
        <v>193</v>
      </c>
      <c r="B323" s="12" t="s">
        <v>32</v>
      </c>
      <c r="C323" s="23" t="s">
        <v>1571</v>
      </c>
      <c r="D323" s="24" t="s">
        <v>195</v>
      </c>
      <c r="E323" s="25" t="s">
        <v>1572</v>
      </c>
      <c r="F323" s="17" t="s">
        <v>1573</v>
      </c>
      <c r="G323" s="17"/>
      <c r="H323" s="17"/>
      <c r="I323" s="26" t="s">
        <v>703</v>
      </c>
      <c r="J323" s="17" t="s">
        <v>58</v>
      </c>
      <c r="K323" s="17"/>
      <c r="L323" s="17"/>
      <c r="M323" s="27"/>
      <c r="N323" s="17"/>
      <c r="O323" s="17"/>
      <c r="P323" s="28" t="s">
        <v>59</v>
      </c>
      <c r="Q323" s="17"/>
      <c r="R323" s="17"/>
      <c r="S323" s="17"/>
      <c r="T323" s="17"/>
      <c r="U323" s="17"/>
      <c r="V323" s="27"/>
      <c r="Z323" s="17"/>
      <c r="AA323" s="29"/>
      <c r="AB323" s="17"/>
      <c r="AC323" s="17"/>
      <c r="AD323" s="17"/>
      <c r="AE323" s="17"/>
    </row>
    <row r="324" customFormat="false" ht="15.75" hidden="false" customHeight="false" outlineLevel="0" collapsed="false">
      <c r="A324" s="12" t="s">
        <v>193</v>
      </c>
      <c r="B324" s="12" t="s">
        <v>32</v>
      </c>
      <c r="C324" s="23" t="s">
        <v>1574</v>
      </c>
      <c r="D324" s="24" t="s">
        <v>195</v>
      </c>
      <c r="E324" s="25" t="s">
        <v>1575</v>
      </c>
      <c r="F324" s="17" t="s">
        <v>1576</v>
      </c>
      <c r="G324" s="17"/>
      <c r="H324" s="17"/>
      <c r="I324" s="26" t="s">
        <v>209</v>
      </c>
      <c r="J324" s="17" t="s">
        <v>205</v>
      </c>
      <c r="K324" s="17"/>
      <c r="L324" s="17"/>
      <c r="M324" s="27"/>
      <c r="N324" s="17"/>
      <c r="O324" s="17"/>
      <c r="P324" s="28" t="s">
        <v>59</v>
      </c>
      <c r="Q324" s="12"/>
      <c r="R324" s="12"/>
      <c r="S324" s="12"/>
      <c r="T324" s="12"/>
      <c r="U324" s="12"/>
      <c r="V324" s="21"/>
      <c r="Z324" s="12"/>
      <c r="AA324" s="29" t="n">
        <v>1</v>
      </c>
      <c r="AB324" s="12" t="s">
        <v>1577</v>
      </c>
      <c r="AC324" s="12"/>
      <c r="AD324" s="12"/>
      <c r="AE324" s="12"/>
    </row>
    <row r="325" customFormat="false" ht="15.75" hidden="false" customHeight="false" outlineLevel="0" collapsed="false">
      <c r="A325" s="12" t="s">
        <v>193</v>
      </c>
      <c r="B325" s="12" t="s">
        <v>32</v>
      </c>
      <c r="C325" s="23" t="s">
        <v>1578</v>
      </c>
      <c r="D325" s="24" t="s">
        <v>195</v>
      </c>
      <c r="E325" s="25" t="s">
        <v>1579</v>
      </c>
      <c r="F325" s="17" t="s">
        <v>1580</v>
      </c>
      <c r="G325" s="17"/>
      <c r="H325" s="17"/>
      <c r="I325" s="17" t="s">
        <v>131</v>
      </c>
      <c r="J325" s="17" t="s">
        <v>58</v>
      </c>
      <c r="K325" s="17"/>
      <c r="L325" s="17"/>
      <c r="M325" s="27"/>
      <c r="N325" s="17"/>
      <c r="O325" s="17"/>
      <c r="P325" s="28" t="s">
        <v>59</v>
      </c>
      <c r="Q325" s="12"/>
      <c r="R325" s="12"/>
      <c r="S325" s="12"/>
      <c r="T325" s="12"/>
      <c r="U325" s="12"/>
      <c r="V325" s="21"/>
      <c r="Z325" s="12"/>
      <c r="AA325" s="29" t="n">
        <v>1</v>
      </c>
      <c r="AB325" s="12" t="s">
        <v>1581</v>
      </c>
      <c r="AC325" s="12"/>
      <c r="AD325" s="12"/>
      <c r="AE325" s="12"/>
    </row>
    <row r="326" customFormat="false" ht="15.75" hidden="false" customHeight="false" outlineLevel="0" collapsed="false">
      <c r="A326" s="12"/>
      <c r="B326" s="12"/>
      <c r="C326" s="23" t="s">
        <v>1582</v>
      </c>
      <c r="D326" s="24" t="s">
        <v>620</v>
      </c>
      <c r="E326" s="25" t="s">
        <v>1583</v>
      </c>
      <c r="F326" s="17" t="s">
        <v>1584</v>
      </c>
      <c r="G326" s="17" t="s">
        <v>87</v>
      </c>
      <c r="H326" s="17"/>
      <c r="I326" s="26" t="s">
        <v>88</v>
      </c>
      <c r="J326" s="17" t="s">
        <v>205</v>
      </c>
      <c r="K326" s="17"/>
      <c r="L326" s="17"/>
      <c r="M326" s="27"/>
      <c r="N326" s="17"/>
      <c r="O326" s="17"/>
      <c r="P326" s="28" t="s">
        <v>59</v>
      </c>
      <c r="Q326" s="17"/>
      <c r="R326" s="17"/>
      <c r="S326" s="17"/>
      <c r="T326" s="17"/>
      <c r="U326" s="17"/>
      <c r="V326" s="27"/>
      <c r="Z326" s="17"/>
      <c r="AA326" s="29"/>
      <c r="AB326" s="17"/>
      <c r="AC326" s="17"/>
      <c r="AD326" s="17"/>
      <c r="AE326" s="17"/>
    </row>
    <row r="327" customFormat="false" ht="15.75" hidden="false" customHeight="false" outlineLevel="0" collapsed="false">
      <c r="A327" s="12" t="s">
        <v>193</v>
      </c>
      <c r="B327" s="12" t="s">
        <v>32</v>
      </c>
      <c r="C327" s="23" t="s">
        <v>1585</v>
      </c>
      <c r="D327" s="24" t="s">
        <v>195</v>
      </c>
      <c r="E327" s="25" t="s">
        <v>1586</v>
      </c>
      <c r="F327" s="17" t="s">
        <v>1587</v>
      </c>
      <c r="G327" s="17"/>
      <c r="H327" s="17"/>
      <c r="I327" s="17" t="s">
        <v>131</v>
      </c>
      <c r="J327" s="17" t="s">
        <v>1565</v>
      </c>
      <c r="K327" s="17"/>
      <c r="L327" s="17"/>
      <c r="M327" s="27"/>
      <c r="N327" s="17"/>
      <c r="O327" s="17"/>
      <c r="P327" s="28" t="s">
        <v>59</v>
      </c>
      <c r="Q327" s="20"/>
      <c r="R327" s="20"/>
      <c r="S327" s="20"/>
      <c r="T327" s="20"/>
      <c r="U327" s="20"/>
      <c r="V327" s="45"/>
      <c r="Z327" s="20"/>
      <c r="AA327" s="22"/>
      <c r="AB327" s="20"/>
      <c r="AC327" s="20"/>
      <c r="AD327" s="20"/>
      <c r="AE327" s="20"/>
    </row>
    <row r="328" customFormat="false" ht="15.75" hidden="false" customHeight="false" outlineLevel="0" collapsed="false">
      <c r="A328" s="12"/>
      <c r="B328" s="12"/>
      <c r="C328" s="23" t="s">
        <v>1588</v>
      </c>
      <c r="D328" s="24" t="s">
        <v>51</v>
      </c>
      <c r="E328" s="25" t="s">
        <v>1589</v>
      </c>
      <c r="F328" s="17" t="s">
        <v>1590</v>
      </c>
      <c r="G328" s="17"/>
      <c r="H328" s="17"/>
      <c r="I328" s="17" t="s">
        <v>260</v>
      </c>
      <c r="J328" s="32" t="s">
        <v>1565</v>
      </c>
      <c r="K328" s="17"/>
      <c r="L328" s="17"/>
      <c r="M328" s="27"/>
      <c r="N328" s="17"/>
      <c r="O328" s="17"/>
      <c r="P328" s="40" t="s">
        <v>261</v>
      </c>
      <c r="Q328" s="12"/>
      <c r="R328" s="12"/>
      <c r="S328" s="12"/>
      <c r="T328" s="12"/>
      <c r="U328" s="12"/>
      <c r="V328" s="21"/>
      <c r="Z328" s="12"/>
      <c r="AA328" s="29" t="n">
        <v>2</v>
      </c>
      <c r="AB328" s="12" t="s">
        <v>1591</v>
      </c>
      <c r="AC328" s="12"/>
      <c r="AD328" s="12"/>
      <c r="AE328" s="12"/>
      <c r="AF328" s="12"/>
      <c r="AG328" s="12"/>
    </row>
    <row r="329" customFormat="false" ht="15.75" hidden="false" customHeight="false" outlineLevel="0" collapsed="false">
      <c r="A329" s="12" t="s">
        <v>193</v>
      </c>
      <c r="B329" s="12" t="s">
        <v>32</v>
      </c>
      <c r="C329" s="23" t="s">
        <v>1592</v>
      </c>
      <c r="D329" s="24" t="s">
        <v>94</v>
      </c>
      <c r="E329" s="25" t="s">
        <v>1593</v>
      </c>
      <c r="F329" s="17" t="s">
        <v>1594</v>
      </c>
      <c r="G329" s="17"/>
      <c r="H329" s="17"/>
      <c r="I329" s="26" t="s">
        <v>1595</v>
      </c>
      <c r="J329" s="17" t="s">
        <v>1565</v>
      </c>
      <c r="K329" s="17"/>
      <c r="L329" s="17"/>
      <c r="M329" s="27"/>
      <c r="N329" s="17"/>
      <c r="O329" s="17"/>
      <c r="P329" s="28" t="s">
        <v>59</v>
      </c>
      <c r="V329" s="60"/>
      <c r="AA329" s="63" t="n">
        <v>1</v>
      </c>
      <c r="AB329" s="47" t="s">
        <v>1596</v>
      </c>
    </row>
    <row r="330" customFormat="false" ht="15.75" hidden="false" customHeight="false" outlineLevel="0" collapsed="false">
      <c r="A330" s="12"/>
      <c r="B330" s="12"/>
      <c r="C330" s="23" t="s">
        <v>1597</v>
      </c>
      <c r="D330" s="24" t="s">
        <v>51</v>
      </c>
      <c r="E330" s="25" t="s">
        <v>1598</v>
      </c>
      <c r="F330" s="17" t="s">
        <v>1599</v>
      </c>
      <c r="G330" s="17" t="s">
        <v>1600</v>
      </c>
      <c r="H330" s="17"/>
      <c r="I330" s="26" t="s">
        <v>82</v>
      </c>
      <c r="J330" s="32" t="s">
        <v>1565</v>
      </c>
      <c r="K330" s="17" t="n">
        <v>2000</v>
      </c>
      <c r="L330" s="17"/>
      <c r="M330" s="27"/>
      <c r="N330" s="17"/>
      <c r="O330" s="17"/>
      <c r="P330" s="40" t="s">
        <v>638</v>
      </c>
      <c r="Q330" s="12"/>
      <c r="R330" s="12" t="s">
        <v>1601</v>
      </c>
      <c r="S330" s="12"/>
      <c r="T330" s="12" t="s">
        <v>1602</v>
      </c>
      <c r="U330" s="12"/>
      <c r="V330" s="21" t="s">
        <v>31</v>
      </c>
      <c r="Z330" s="12"/>
      <c r="AA330" s="29" t="n">
        <v>2</v>
      </c>
      <c r="AB330" s="12" t="s">
        <v>1603</v>
      </c>
      <c r="AC330" s="12"/>
      <c r="AD330" s="12"/>
      <c r="AE330" s="12"/>
    </row>
    <row r="331" customFormat="false" ht="15.75" hidden="false" customHeight="false" outlineLevel="0" collapsed="false">
      <c r="A331" s="12" t="str">
        <f aca="false">IF((AA331&gt;=4), "Y", "N")</f>
        <v>Y</v>
      </c>
      <c r="B331" s="12"/>
      <c r="C331" s="23" t="s">
        <v>1604</v>
      </c>
      <c r="D331" s="24" t="s">
        <v>94</v>
      </c>
      <c r="E331" s="25" t="s">
        <v>1605</v>
      </c>
      <c r="F331" s="17" t="s">
        <v>1606</v>
      </c>
      <c r="G331" s="17" t="s">
        <v>476</v>
      </c>
      <c r="H331" s="17" t="s">
        <v>477</v>
      </c>
      <c r="I331" s="17" t="s">
        <v>36</v>
      </c>
      <c r="J331" s="17" t="s">
        <v>1565</v>
      </c>
      <c r="K331" s="17" t="n">
        <v>2009</v>
      </c>
      <c r="L331" s="38" t="s">
        <v>109</v>
      </c>
      <c r="M331" s="27"/>
      <c r="N331" s="37" t="s">
        <v>1607</v>
      </c>
      <c r="O331" s="17"/>
      <c r="P331" s="40" t="s">
        <v>111</v>
      </c>
      <c r="V331" s="60"/>
      <c r="AA331" s="63" t="n">
        <v>5</v>
      </c>
    </row>
    <row r="332" customFormat="false" ht="15.75" hidden="false" customHeight="false" outlineLevel="0" collapsed="false">
      <c r="A332" s="12" t="str">
        <f aca="false">IF((AA332&gt;=4), "Y", "N")</f>
        <v>Y</v>
      </c>
      <c r="B332" s="12"/>
      <c r="C332" s="23" t="s">
        <v>1608</v>
      </c>
      <c r="D332" s="24" t="s">
        <v>94</v>
      </c>
      <c r="E332" s="25" t="s">
        <v>1609</v>
      </c>
      <c r="F332" s="17" t="s">
        <v>1610</v>
      </c>
      <c r="G332" s="17" t="s">
        <v>1611</v>
      </c>
      <c r="H332" s="26" t="s">
        <v>297</v>
      </c>
      <c r="I332" s="17" t="s">
        <v>36</v>
      </c>
      <c r="J332" s="17" t="s">
        <v>1565</v>
      </c>
      <c r="K332" s="17" t="n">
        <v>2008</v>
      </c>
      <c r="L332" s="38" t="s">
        <v>99</v>
      </c>
      <c r="M332" s="27"/>
      <c r="N332" s="39" t="s">
        <v>1224</v>
      </c>
      <c r="O332" s="17"/>
      <c r="P332" s="40" t="s">
        <v>111</v>
      </c>
      <c r="V332" s="60"/>
      <c r="AA332" s="63" t="n">
        <v>4</v>
      </c>
    </row>
    <row r="333" customFormat="false" ht="15.75" hidden="false" customHeight="false" outlineLevel="0" collapsed="false">
      <c r="A333" s="12" t="str">
        <f aca="false">IF((AA333&gt;=4), "Y", "N")</f>
        <v>Y</v>
      </c>
      <c r="B333" s="12"/>
      <c r="C333" s="23" t="s">
        <v>1612</v>
      </c>
      <c r="D333" s="24" t="s">
        <v>94</v>
      </c>
      <c r="E333" s="25" t="s">
        <v>1613</v>
      </c>
      <c r="F333" s="17" t="s">
        <v>1614</v>
      </c>
      <c r="G333" s="17" t="s">
        <v>476</v>
      </c>
      <c r="H333" s="17" t="s">
        <v>477</v>
      </c>
      <c r="I333" s="17" t="s">
        <v>36</v>
      </c>
      <c r="J333" s="17" t="s">
        <v>1565</v>
      </c>
      <c r="K333" s="17" t="n">
        <v>2006</v>
      </c>
      <c r="L333" s="38" t="s">
        <v>73</v>
      </c>
      <c r="M333" s="27"/>
      <c r="N333" s="37" t="s">
        <v>1224</v>
      </c>
      <c r="O333" s="17"/>
      <c r="P333" s="40" t="s">
        <v>111</v>
      </c>
      <c r="V333" s="60"/>
      <c r="AA333" s="63" t="n">
        <v>5</v>
      </c>
    </row>
    <row r="334" customFormat="false" ht="15.75" hidden="false" customHeight="false" outlineLevel="0" collapsed="false">
      <c r="A334" s="12"/>
      <c r="B334" s="12"/>
      <c r="C334" s="23" t="s">
        <v>1615</v>
      </c>
      <c r="D334" s="24"/>
      <c r="E334" s="17"/>
      <c r="F334" s="17"/>
      <c r="G334" s="17"/>
      <c r="H334" s="17"/>
      <c r="I334" s="17" t="s">
        <v>260</v>
      </c>
      <c r="J334" s="32" t="s">
        <v>1565</v>
      </c>
      <c r="K334" s="17"/>
      <c r="L334" s="17"/>
      <c r="M334" s="27"/>
      <c r="N334" s="17"/>
      <c r="O334" s="17"/>
      <c r="P334" s="40" t="s">
        <v>261</v>
      </c>
      <c r="Q334" s="20"/>
      <c r="R334" s="20"/>
      <c r="S334" s="20"/>
      <c r="T334" s="20"/>
      <c r="U334" s="20"/>
      <c r="V334" s="45"/>
      <c r="Z334" s="20"/>
      <c r="AA334" s="22"/>
      <c r="AB334" s="20"/>
      <c r="AC334" s="20"/>
      <c r="AD334" s="20"/>
      <c r="AE334" s="20"/>
    </row>
    <row r="335" customFormat="false" ht="15.75" hidden="false" customHeight="false" outlineLevel="0" collapsed="false">
      <c r="A335" s="12" t="s">
        <v>135</v>
      </c>
      <c r="B335" s="12" t="s">
        <v>32</v>
      </c>
      <c r="C335" s="23" t="s">
        <v>1616</v>
      </c>
      <c r="D335" s="24" t="s">
        <v>51</v>
      </c>
      <c r="E335" s="25" t="s">
        <v>1617</v>
      </c>
      <c r="F335" s="17" t="s">
        <v>1618</v>
      </c>
      <c r="G335" s="17" t="s">
        <v>556</v>
      </c>
      <c r="H335" s="17"/>
      <c r="I335" s="26" t="s">
        <v>557</v>
      </c>
      <c r="J335" s="17" t="s">
        <v>1565</v>
      </c>
      <c r="K335" s="17"/>
      <c r="L335" s="17"/>
      <c r="M335" s="27" t="s">
        <v>58</v>
      </c>
      <c r="N335" s="17"/>
      <c r="O335" s="17" t="s">
        <v>1619</v>
      </c>
      <c r="P335" s="28" t="s">
        <v>59</v>
      </c>
      <c r="Q335" s="12"/>
      <c r="R335" s="12"/>
      <c r="S335" s="12"/>
      <c r="T335" s="12"/>
      <c r="U335" s="12"/>
      <c r="V335" s="21"/>
      <c r="Z335" s="12"/>
      <c r="AA335" s="29" t="n">
        <v>5</v>
      </c>
      <c r="AB335" s="12"/>
      <c r="AC335" s="12"/>
      <c r="AD335" s="12"/>
      <c r="AE335" s="12"/>
    </row>
    <row r="336" customFormat="false" ht="15.75" hidden="false" customHeight="false" outlineLevel="0" collapsed="false">
      <c r="A336" s="12" t="str">
        <f aca="false">IF((AA336&gt;=4), "Y", "N")</f>
        <v>Y</v>
      </c>
      <c r="B336" s="13"/>
      <c r="C336" s="31" t="s">
        <v>1620</v>
      </c>
      <c r="D336" s="16" t="s">
        <v>51</v>
      </c>
      <c r="E336" s="32" t="s">
        <v>1621</v>
      </c>
      <c r="F336" s="32" t="s">
        <v>1622</v>
      </c>
      <c r="G336" s="32" t="s">
        <v>145</v>
      </c>
      <c r="H336" s="17" t="s">
        <v>146</v>
      </c>
      <c r="I336" s="17" t="s">
        <v>36</v>
      </c>
      <c r="J336" s="32" t="s">
        <v>1565</v>
      </c>
      <c r="K336" s="33" t="n">
        <v>1900</v>
      </c>
      <c r="L336" s="33" t="s">
        <v>275</v>
      </c>
      <c r="M336" s="27"/>
      <c r="N336" s="37" t="s">
        <v>1224</v>
      </c>
      <c r="O336" s="17"/>
      <c r="P336" s="19" t="s">
        <v>76</v>
      </c>
      <c r="Q336" s="12"/>
      <c r="R336" s="12" t="s">
        <v>1623</v>
      </c>
      <c r="S336" s="12"/>
      <c r="T336" s="12" t="s">
        <v>1624</v>
      </c>
      <c r="U336" s="12"/>
      <c r="V336" s="21" t="s">
        <v>31</v>
      </c>
      <c r="Z336" s="12"/>
      <c r="AA336" s="22" t="str">
        <f aca="false">IF(P336="OD500 US (submitted)", "5", " ")</f>
        <v>5</v>
      </c>
      <c r="AB336" s="12"/>
      <c r="AC336" s="12"/>
      <c r="AD336" s="12"/>
      <c r="AE336" s="12"/>
    </row>
    <row r="337" customFormat="false" ht="15.75" hidden="false" customHeight="false" outlineLevel="0" collapsed="false">
      <c r="A337" s="12" t="str">
        <f aca="false">IF((AA337&gt;=4), "Y", "N")</f>
        <v>Y</v>
      </c>
      <c r="B337" s="12"/>
      <c r="C337" s="23" t="s">
        <v>1625</v>
      </c>
      <c r="D337" s="24" t="s">
        <v>94</v>
      </c>
      <c r="E337" s="25" t="s">
        <v>1626</v>
      </c>
      <c r="F337" s="17" t="s">
        <v>1627</v>
      </c>
      <c r="G337" s="17" t="s">
        <v>296</v>
      </c>
      <c r="H337" s="17" t="s">
        <v>297</v>
      </c>
      <c r="I337" s="17" t="s">
        <v>36</v>
      </c>
      <c r="J337" s="17" t="s">
        <v>1565</v>
      </c>
      <c r="K337" s="17" t="n">
        <v>2002</v>
      </c>
      <c r="L337" s="38" t="s">
        <v>73</v>
      </c>
      <c r="M337" s="27"/>
      <c r="N337" s="37" t="s">
        <v>1224</v>
      </c>
      <c r="O337" s="17"/>
      <c r="P337" s="40" t="s">
        <v>111</v>
      </c>
      <c r="Q337" s="12"/>
      <c r="R337" s="12"/>
      <c r="S337" s="12"/>
      <c r="T337" s="12"/>
      <c r="U337" s="12"/>
      <c r="V337" s="21"/>
      <c r="Z337" s="12"/>
      <c r="AA337" s="29" t="n">
        <v>4</v>
      </c>
      <c r="AB337" s="12"/>
      <c r="AC337" s="12"/>
      <c r="AD337" s="12"/>
      <c r="AE337" s="12"/>
    </row>
    <row r="338" customFormat="false" ht="15.75" hidden="false" customHeight="false" outlineLevel="0" collapsed="false">
      <c r="A338" s="12" t="str">
        <f aca="false">IF((AA338&gt;=4), "Y", "N")</f>
        <v>Y</v>
      </c>
      <c r="B338" s="13"/>
      <c r="C338" s="31" t="s">
        <v>1628</v>
      </c>
      <c r="D338" s="16" t="s">
        <v>51</v>
      </c>
      <c r="E338" s="32" t="s">
        <v>1629</v>
      </c>
      <c r="F338" s="17"/>
      <c r="G338" s="17"/>
      <c r="H338" s="17"/>
      <c r="I338" s="26" t="s">
        <v>266</v>
      </c>
      <c r="J338" s="32" t="s">
        <v>1565</v>
      </c>
      <c r="K338" s="33" t="n">
        <v>2008</v>
      </c>
      <c r="L338" s="33" t="s">
        <v>99</v>
      </c>
      <c r="M338" s="27"/>
      <c r="N338" s="17" t="s">
        <v>1630</v>
      </c>
      <c r="O338" s="17"/>
      <c r="P338" s="40" t="s">
        <v>268</v>
      </c>
      <c r="Q338" s="20"/>
      <c r="R338" s="20"/>
      <c r="S338" s="20"/>
      <c r="T338" s="20"/>
      <c r="U338" s="20"/>
      <c r="V338" s="45"/>
      <c r="Z338" s="20"/>
      <c r="AA338" s="29" t="str">
        <f aca="false">IF(P338="OD500 MX", "5", " ")</f>
        <v>5</v>
      </c>
      <c r="AB338" s="20"/>
      <c r="AC338" s="20"/>
      <c r="AD338" s="20"/>
      <c r="AE338" s="20"/>
    </row>
    <row r="339" customFormat="false" ht="15.75" hidden="false" customHeight="false" outlineLevel="0" collapsed="false">
      <c r="A339" s="12" t="str">
        <f aca="false">IF((AA339&gt;=4), "Y", "N")</f>
        <v>Y</v>
      </c>
      <c r="B339" s="13"/>
      <c r="C339" s="31" t="s">
        <v>1631</v>
      </c>
      <c r="D339" s="16" t="s">
        <v>94</v>
      </c>
      <c r="E339" s="32" t="s">
        <v>1632</v>
      </c>
      <c r="F339" s="32" t="s">
        <v>1633</v>
      </c>
      <c r="G339" s="32" t="s">
        <v>1634</v>
      </c>
      <c r="H339" s="17" t="s">
        <v>146</v>
      </c>
      <c r="I339" s="17" t="s">
        <v>36</v>
      </c>
      <c r="J339" s="32" t="s">
        <v>1565</v>
      </c>
      <c r="K339" s="33" t="n">
        <v>1997</v>
      </c>
      <c r="L339" s="33" t="s">
        <v>73</v>
      </c>
      <c r="M339" s="27"/>
      <c r="N339" s="17" t="s">
        <v>478</v>
      </c>
      <c r="O339" s="17"/>
      <c r="P339" s="19" t="s">
        <v>76</v>
      </c>
      <c r="R339" s="0" t="s">
        <v>1635</v>
      </c>
      <c r="T339" s="0" t="s">
        <v>1636</v>
      </c>
      <c r="V339" s="21" t="s">
        <v>31</v>
      </c>
      <c r="AA339" s="22" t="str">
        <f aca="false">IF(P339="OD500 US (submitted)", "5", " ")</f>
        <v>5</v>
      </c>
    </row>
    <row r="340" customFormat="false" ht="15.75" hidden="false" customHeight="false" outlineLevel="0" collapsed="false">
      <c r="A340" s="12" t="s">
        <v>193</v>
      </c>
      <c r="B340" s="12" t="s">
        <v>32</v>
      </c>
      <c r="C340" s="23" t="s">
        <v>1637</v>
      </c>
      <c r="D340" s="24" t="s">
        <v>195</v>
      </c>
      <c r="E340" s="25" t="s">
        <v>1638</v>
      </c>
      <c r="F340" s="17" t="s">
        <v>1639</v>
      </c>
      <c r="G340" s="17"/>
      <c r="H340" s="17"/>
      <c r="I340" s="26" t="s">
        <v>127</v>
      </c>
      <c r="J340" s="17" t="s">
        <v>1565</v>
      </c>
      <c r="K340" s="17"/>
      <c r="L340" s="17"/>
      <c r="M340" s="27"/>
      <c r="N340" s="17"/>
      <c r="O340" s="17"/>
      <c r="P340" s="28" t="s">
        <v>59</v>
      </c>
      <c r="V340" s="60"/>
      <c r="AA340" s="63" t="n">
        <v>2</v>
      </c>
      <c r="AB340" s="47" t="s">
        <v>1640</v>
      </c>
    </row>
    <row r="341" customFormat="false" ht="15.75" hidden="false" customHeight="false" outlineLevel="0" collapsed="false">
      <c r="A341" s="12" t="s">
        <v>31</v>
      </c>
      <c r="B341" s="12" t="s">
        <v>32</v>
      </c>
      <c r="C341" s="23" t="s">
        <v>1641</v>
      </c>
      <c r="D341" s="24" t="s">
        <v>51</v>
      </c>
      <c r="E341" s="25" t="s">
        <v>1642</v>
      </c>
      <c r="F341" s="17" t="s">
        <v>1643</v>
      </c>
      <c r="G341" s="17"/>
      <c r="H341" s="17"/>
      <c r="I341" s="26" t="s">
        <v>1644</v>
      </c>
      <c r="J341" s="17" t="s">
        <v>1565</v>
      </c>
      <c r="K341" s="17"/>
      <c r="L341" s="17"/>
      <c r="M341" s="27" t="s">
        <v>58</v>
      </c>
      <c r="N341" s="17" t="s">
        <v>1645</v>
      </c>
      <c r="O341" s="17" t="s">
        <v>1646</v>
      </c>
      <c r="P341" s="28" t="s">
        <v>59</v>
      </c>
      <c r="Q341" s="20"/>
      <c r="R341" s="20"/>
      <c r="S341" s="20"/>
      <c r="T341" s="20"/>
      <c r="U341" s="20"/>
      <c r="V341" s="45"/>
      <c r="Z341" s="20"/>
      <c r="AA341" s="22" t="n">
        <v>5</v>
      </c>
      <c r="AB341" s="20"/>
      <c r="AC341" s="20"/>
      <c r="AD341" s="20"/>
      <c r="AE341" s="20"/>
    </row>
    <row r="342" customFormat="false" ht="15.75" hidden="false" customHeight="false" outlineLevel="0" collapsed="false">
      <c r="A342" s="12" t="str">
        <f aca="false">IF((AA342&gt;=4), "Y", "N")</f>
        <v>Y</v>
      </c>
      <c r="B342" s="13"/>
      <c r="C342" s="31" t="s">
        <v>1647</v>
      </c>
      <c r="D342" s="16" t="s">
        <v>51</v>
      </c>
      <c r="E342" s="32" t="s">
        <v>1648</v>
      </c>
      <c r="F342" s="17"/>
      <c r="G342" s="17"/>
      <c r="H342" s="17"/>
      <c r="I342" s="26" t="s">
        <v>266</v>
      </c>
      <c r="J342" s="32" t="s">
        <v>1565</v>
      </c>
      <c r="K342" s="33" t="n">
        <v>2003</v>
      </c>
      <c r="L342" s="33" t="s">
        <v>109</v>
      </c>
      <c r="M342" s="27"/>
      <c r="N342" s="17" t="s">
        <v>1649</v>
      </c>
      <c r="O342" s="17"/>
      <c r="P342" s="40" t="s">
        <v>268</v>
      </c>
      <c r="Q342" s="12"/>
      <c r="R342" s="12"/>
      <c r="S342" s="12"/>
      <c r="T342" s="12"/>
      <c r="U342" s="12"/>
      <c r="V342" s="21"/>
      <c r="Z342" s="12"/>
      <c r="AA342" s="29" t="str">
        <f aca="false">IF(P342="OD500 MX", "5", " ")</f>
        <v>5</v>
      </c>
      <c r="AB342" s="12"/>
      <c r="AC342" s="12"/>
      <c r="AD342" s="12"/>
      <c r="AE342" s="12"/>
    </row>
    <row r="343" customFormat="false" ht="15.75" hidden="false" customHeight="false" outlineLevel="0" collapsed="false">
      <c r="A343" s="12" t="str">
        <f aca="false">IF((AA343&gt;=4), "Y", "N")</f>
        <v>Y</v>
      </c>
      <c r="B343" s="13"/>
      <c r="C343" s="31" t="s">
        <v>1650</v>
      </c>
      <c r="D343" s="16" t="s">
        <v>51</v>
      </c>
      <c r="E343" s="32" t="s">
        <v>1651</v>
      </c>
      <c r="F343" s="17"/>
      <c r="G343" s="17"/>
      <c r="H343" s="17"/>
      <c r="I343" s="26" t="s">
        <v>266</v>
      </c>
      <c r="J343" s="32" t="s">
        <v>1565</v>
      </c>
      <c r="K343" s="32"/>
      <c r="L343" s="33"/>
      <c r="M343" s="27"/>
      <c r="N343" s="17" t="s">
        <v>1652</v>
      </c>
      <c r="O343" s="17"/>
      <c r="P343" s="40" t="s">
        <v>268</v>
      </c>
      <c r="Q343" s="12"/>
      <c r="R343" s="12"/>
      <c r="S343" s="12"/>
      <c r="T343" s="12"/>
      <c r="U343" s="12"/>
      <c r="V343" s="21"/>
      <c r="Z343" s="12"/>
      <c r="AA343" s="29" t="str">
        <f aca="false">IF(P343="OD500 MX", "5", " ")</f>
        <v>5</v>
      </c>
      <c r="AB343" s="12"/>
      <c r="AC343" s="12"/>
      <c r="AD343" s="12"/>
      <c r="AE343" s="12"/>
    </row>
    <row r="344" customFormat="false" ht="15.75" hidden="false" customHeight="false" outlineLevel="0" collapsed="false">
      <c r="A344" s="12"/>
      <c r="B344" s="12"/>
      <c r="C344" s="23" t="s">
        <v>1653</v>
      </c>
      <c r="D344" s="24" t="s">
        <v>51</v>
      </c>
      <c r="E344" s="25" t="s">
        <v>1654</v>
      </c>
      <c r="F344" s="17" t="s">
        <v>1655</v>
      </c>
      <c r="G344" s="17"/>
      <c r="H344" s="17"/>
      <c r="I344" s="26" t="s">
        <v>88</v>
      </c>
      <c r="J344" s="17" t="s">
        <v>1565</v>
      </c>
      <c r="K344" s="17"/>
      <c r="L344" s="17"/>
      <c r="M344" s="27" t="s">
        <v>147</v>
      </c>
      <c r="N344" s="17"/>
      <c r="O344" s="17"/>
      <c r="P344" s="28" t="s">
        <v>59</v>
      </c>
      <c r="Q344" s="12"/>
      <c r="R344" s="12"/>
      <c r="S344" s="12"/>
      <c r="T344" s="12"/>
      <c r="U344" s="12"/>
      <c r="V344" s="21"/>
      <c r="Z344" s="12"/>
      <c r="AA344" s="29" t="n">
        <v>1</v>
      </c>
      <c r="AB344" s="12" t="s">
        <v>1656</v>
      </c>
      <c r="AC344" s="12"/>
      <c r="AD344" s="12"/>
      <c r="AE344" s="12"/>
    </row>
    <row r="345" customFormat="false" ht="15.75" hidden="false" customHeight="false" outlineLevel="0" collapsed="false">
      <c r="A345" s="12" t="str">
        <f aca="false">IF((AA345&gt;=4), "Y", "N")</f>
        <v>Y</v>
      </c>
      <c r="B345" s="13"/>
      <c r="C345" s="31" t="s">
        <v>1657</v>
      </c>
      <c r="D345" s="16" t="s">
        <v>51</v>
      </c>
      <c r="E345" s="32" t="s">
        <v>1658</v>
      </c>
      <c r="F345" s="32" t="s">
        <v>1659</v>
      </c>
      <c r="G345" s="32" t="s">
        <v>71</v>
      </c>
      <c r="H345" s="17" t="s">
        <v>72</v>
      </c>
      <c r="I345" s="17" t="s">
        <v>36</v>
      </c>
      <c r="J345" s="32" t="s">
        <v>1565</v>
      </c>
      <c r="K345" s="33" t="n">
        <v>1998</v>
      </c>
      <c r="L345" s="33" t="s">
        <v>73</v>
      </c>
      <c r="M345" s="27"/>
      <c r="N345" s="37" t="s">
        <v>1660</v>
      </c>
      <c r="O345" s="17"/>
      <c r="P345" s="19" t="s">
        <v>76</v>
      </c>
      <c r="Q345" s="20"/>
      <c r="R345" s="20" t="s">
        <v>1661</v>
      </c>
      <c r="S345" s="20"/>
      <c r="T345" s="20" t="s">
        <v>1662</v>
      </c>
      <c r="U345" s="20"/>
      <c r="V345" s="21" t="s">
        <v>31</v>
      </c>
      <c r="Z345" s="20"/>
      <c r="AA345" s="22" t="str">
        <f aca="false">IF(P345="OD500 US (submitted)", "5", " ")</f>
        <v>5</v>
      </c>
      <c r="AB345" s="20"/>
      <c r="AC345" s="20"/>
      <c r="AD345" s="20"/>
      <c r="AE345" s="20"/>
    </row>
    <row r="346" customFormat="false" ht="15.75" hidden="false" customHeight="false" outlineLevel="0" collapsed="false">
      <c r="A346" s="12" t="s">
        <v>31</v>
      </c>
      <c r="B346" s="12" t="s">
        <v>32</v>
      </c>
      <c r="C346" s="23" t="s">
        <v>1663</v>
      </c>
      <c r="D346" s="24" t="s">
        <v>94</v>
      </c>
      <c r="E346" s="25" t="s">
        <v>1664</v>
      </c>
      <c r="F346" s="17" t="s">
        <v>1665</v>
      </c>
      <c r="G346" s="17"/>
      <c r="H346" s="17"/>
      <c r="I346" s="26" t="s">
        <v>166</v>
      </c>
      <c r="J346" s="17" t="s">
        <v>1565</v>
      </c>
      <c r="K346" s="17"/>
      <c r="L346" s="17"/>
      <c r="M346" s="27"/>
      <c r="N346" s="17" t="s">
        <v>1666</v>
      </c>
      <c r="O346" s="17"/>
      <c r="P346" s="28" t="s">
        <v>59</v>
      </c>
      <c r="Q346" s="12"/>
      <c r="R346" s="12"/>
      <c r="S346" s="12"/>
      <c r="T346" s="12"/>
      <c r="U346" s="12"/>
      <c r="V346" s="21"/>
      <c r="Z346" s="12"/>
      <c r="AA346" s="29" t="n">
        <v>4</v>
      </c>
      <c r="AB346" s="12"/>
      <c r="AC346" s="12"/>
      <c r="AD346" s="12"/>
      <c r="AE346" s="12"/>
    </row>
    <row r="347" customFormat="false" ht="15.75" hidden="false" customHeight="false" outlineLevel="0" collapsed="false">
      <c r="A347" s="12"/>
      <c r="B347" s="20"/>
      <c r="C347" s="41" t="s">
        <v>1667</v>
      </c>
      <c r="D347" s="24"/>
      <c r="E347" s="42" t="s">
        <v>1668</v>
      </c>
      <c r="F347" s="36" t="s">
        <v>1669</v>
      </c>
      <c r="G347" s="17"/>
      <c r="H347" s="17"/>
      <c r="I347" s="26" t="s">
        <v>82</v>
      </c>
      <c r="J347" s="17" t="s">
        <v>1565</v>
      </c>
      <c r="K347" s="17"/>
      <c r="L347" s="17"/>
      <c r="M347" s="27"/>
      <c r="N347" s="17"/>
      <c r="O347" s="17"/>
      <c r="P347" s="19" t="s">
        <v>84</v>
      </c>
      <c r="Q347" s="17"/>
      <c r="R347" s="17"/>
      <c r="S347" s="17"/>
      <c r="T347" s="17"/>
      <c r="U347" s="17"/>
      <c r="V347" s="27"/>
      <c r="Z347" s="17"/>
      <c r="AA347" s="29"/>
      <c r="AB347" s="17"/>
      <c r="AC347" s="17"/>
      <c r="AD347" s="17"/>
      <c r="AE347" s="17"/>
    </row>
    <row r="348" customFormat="false" ht="15.75" hidden="false" customHeight="false" outlineLevel="0" collapsed="false">
      <c r="A348" s="12" t="str">
        <f aca="false">IF((AA348&gt;=4), "Y", "N")</f>
        <v>Y</v>
      </c>
      <c r="B348" s="12"/>
      <c r="C348" s="23" t="s">
        <v>1670</v>
      </c>
      <c r="D348" s="24"/>
      <c r="E348" s="25" t="s">
        <v>1671</v>
      </c>
      <c r="F348" s="17" t="s">
        <v>1672</v>
      </c>
      <c r="G348" s="17"/>
      <c r="H348" s="17"/>
      <c r="I348" s="17" t="s">
        <v>36</v>
      </c>
      <c r="J348" s="17" t="s">
        <v>1565</v>
      </c>
      <c r="K348" s="17" t="n">
        <v>2014</v>
      </c>
      <c r="L348" s="33"/>
      <c r="M348" s="27"/>
      <c r="N348" s="37" t="s">
        <v>1224</v>
      </c>
      <c r="O348" s="17"/>
      <c r="P348" s="40" t="s">
        <v>111</v>
      </c>
      <c r="Q348" s="12"/>
      <c r="R348" s="12"/>
      <c r="S348" s="12"/>
      <c r="T348" s="12"/>
      <c r="U348" s="12"/>
      <c r="V348" s="21"/>
      <c r="Z348" s="12"/>
      <c r="AA348" s="29" t="n">
        <v>5</v>
      </c>
      <c r="AB348" s="12"/>
      <c r="AC348" s="12"/>
      <c r="AD348" s="12"/>
      <c r="AE348" s="12"/>
    </row>
    <row r="349" customFormat="false" ht="15.75" hidden="false" customHeight="false" outlineLevel="0" collapsed="false">
      <c r="A349" s="12" t="str">
        <f aca="false">IF((AA349&gt;=4), "Y", "N")</f>
        <v>Y</v>
      </c>
      <c r="B349" s="12"/>
      <c r="C349" s="23" t="s">
        <v>1673</v>
      </c>
      <c r="D349" s="24" t="s">
        <v>620</v>
      </c>
      <c r="E349" s="25" t="s">
        <v>1674</v>
      </c>
      <c r="F349" s="17" t="s">
        <v>1675</v>
      </c>
      <c r="G349" s="17"/>
      <c r="H349" s="17"/>
      <c r="I349" s="17" t="s">
        <v>36</v>
      </c>
      <c r="J349" s="17" t="s">
        <v>1565</v>
      </c>
      <c r="K349" s="17"/>
      <c r="L349" s="17"/>
      <c r="M349" s="27" t="s">
        <v>147</v>
      </c>
      <c r="N349" s="17"/>
      <c r="O349" s="17"/>
      <c r="P349" s="28" t="s">
        <v>59</v>
      </c>
      <c r="Q349" s="12"/>
      <c r="R349" s="12"/>
      <c r="S349" s="12"/>
      <c r="T349" s="12"/>
      <c r="U349" s="12"/>
      <c r="V349" s="21"/>
      <c r="Z349" s="12"/>
      <c r="AA349" s="29" t="n">
        <v>4</v>
      </c>
      <c r="AB349" s="12"/>
      <c r="AC349" s="12"/>
      <c r="AD349" s="12"/>
      <c r="AE349" s="12"/>
    </row>
    <row r="350" customFormat="false" ht="15.75" hidden="false" customHeight="false" outlineLevel="0" collapsed="false">
      <c r="A350" s="12" t="str">
        <f aca="false">IF((AA350&gt;=4), "Y", "N")</f>
        <v>Y</v>
      </c>
      <c r="B350" s="13"/>
      <c r="C350" s="31" t="s">
        <v>1676</v>
      </c>
      <c r="D350" s="16" t="s">
        <v>94</v>
      </c>
      <c r="E350" s="32" t="s">
        <v>1677</v>
      </c>
      <c r="F350" s="32" t="s">
        <v>1678</v>
      </c>
      <c r="G350" s="32" t="s">
        <v>963</v>
      </c>
      <c r="H350" s="26" t="s">
        <v>72</v>
      </c>
      <c r="I350" s="17" t="s">
        <v>36</v>
      </c>
      <c r="J350" s="32" t="s">
        <v>1565</v>
      </c>
      <c r="K350" s="33" t="n">
        <v>2011</v>
      </c>
      <c r="L350" s="33" t="s">
        <v>99</v>
      </c>
      <c r="M350" s="27"/>
      <c r="N350" s="44" t="s">
        <v>1224</v>
      </c>
      <c r="O350" s="17"/>
      <c r="P350" s="19" t="s">
        <v>76</v>
      </c>
      <c r="Q350" s="12"/>
      <c r="R350" s="12" t="s">
        <v>1679</v>
      </c>
      <c r="S350" s="12"/>
      <c r="T350" s="12" t="s">
        <v>1680</v>
      </c>
      <c r="U350" s="12"/>
      <c r="V350" s="21" t="s">
        <v>31</v>
      </c>
      <c r="Z350" s="12"/>
      <c r="AA350" s="22" t="str">
        <f aca="false">IF(P350="OD500 US (submitted)", "5", " ")</f>
        <v>5</v>
      </c>
      <c r="AB350" s="12"/>
      <c r="AC350" s="12"/>
      <c r="AD350" s="12"/>
      <c r="AE350" s="12"/>
    </row>
    <row r="351" customFormat="false" ht="15.75" hidden="false" customHeight="false" outlineLevel="0" collapsed="false">
      <c r="A351" s="12" t="str">
        <f aca="false">IF((AA351&gt;=4), "Y", "N")</f>
        <v>Y</v>
      </c>
      <c r="B351" s="12"/>
      <c r="C351" s="23" t="s">
        <v>1681</v>
      </c>
      <c r="D351" s="24" t="s">
        <v>94</v>
      </c>
      <c r="E351" s="25" t="s">
        <v>1682</v>
      </c>
      <c r="F351" s="17" t="s">
        <v>1683</v>
      </c>
      <c r="G351" s="17" t="s">
        <v>71</v>
      </c>
      <c r="H351" s="26" t="s">
        <v>72</v>
      </c>
      <c r="I351" s="17" t="s">
        <v>36</v>
      </c>
      <c r="J351" s="17" t="s">
        <v>1565</v>
      </c>
      <c r="K351" s="17" t="n">
        <v>2012</v>
      </c>
      <c r="L351" s="38" t="s">
        <v>109</v>
      </c>
      <c r="M351" s="27"/>
      <c r="N351" s="39" t="s">
        <v>1684</v>
      </c>
      <c r="O351" s="17"/>
      <c r="P351" s="40" t="s">
        <v>111</v>
      </c>
      <c r="Q351" s="20"/>
      <c r="R351" s="20"/>
      <c r="S351" s="20"/>
      <c r="T351" s="20"/>
      <c r="U351" s="20"/>
      <c r="V351" s="45"/>
      <c r="Z351" s="20"/>
      <c r="AA351" s="22" t="n">
        <v>5</v>
      </c>
      <c r="AB351" s="20"/>
      <c r="AC351" s="20"/>
      <c r="AD351" s="20"/>
      <c r="AE351" s="20"/>
    </row>
    <row r="352" customFormat="false" ht="15.75" hidden="false" customHeight="false" outlineLevel="0" collapsed="false">
      <c r="A352" s="12"/>
      <c r="B352" s="20"/>
      <c r="C352" s="41" t="s">
        <v>1685</v>
      </c>
      <c r="D352" s="24"/>
      <c r="E352" s="42" t="s">
        <v>1686</v>
      </c>
      <c r="F352" s="36" t="s">
        <v>1687</v>
      </c>
      <c r="G352" s="17"/>
      <c r="H352" s="17"/>
      <c r="I352" s="26" t="s">
        <v>82</v>
      </c>
      <c r="J352" s="17" t="s">
        <v>1565</v>
      </c>
      <c r="K352" s="17"/>
      <c r="L352" s="17"/>
      <c r="M352" s="27"/>
      <c r="N352" s="17"/>
      <c r="O352" s="17"/>
      <c r="P352" s="19" t="s">
        <v>84</v>
      </c>
      <c r="Q352" s="12"/>
      <c r="R352" s="12"/>
      <c r="S352" s="12"/>
      <c r="T352" s="12"/>
      <c r="U352" s="12"/>
      <c r="V352" s="21"/>
      <c r="Z352" s="12"/>
      <c r="AA352" s="29"/>
      <c r="AB352" s="12"/>
      <c r="AC352" s="12"/>
      <c r="AD352" s="12"/>
      <c r="AE352" s="12"/>
    </row>
    <row r="353" customFormat="false" ht="15.75" hidden="false" customHeight="false" outlineLevel="0" collapsed="false">
      <c r="A353" s="12" t="s">
        <v>193</v>
      </c>
      <c r="B353" s="12" t="s">
        <v>32</v>
      </c>
      <c r="C353" s="23" t="s">
        <v>1688</v>
      </c>
      <c r="D353" s="24" t="s">
        <v>195</v>
      </c>
      <c r="E353" s="25" t="s">
        <v>1689</v>
      </c>
      <c r="F353" s="17" t="s">
        <v>1690</v>
      </c>
      <c r="G353" s="17"/>
      <c r="H353" s="17"/>
      <c r="I353" s="26" t="s">
        <v>1595</v>
      </c>
      <c r="J353" s="17" t="s">
        <v>1565</v>
      </c>
      <c r="K353" s="17"/>
      <c r="L353" s="17"/>
      <c r="M353" s="27"/>
      <c r="N353" s="17"/>
      <c r="O353" s="17"/>
      <c r="P353" s="28" t="s">
        <v>59</v>
      </c>
      <c r="Q353" s="12"/>
      <c r="R353" s="12"/>
      <c r="S353" s="12"/>
      <c r="T353" s="12"/>
      <c r="U353" s="12"/>
      <c r="V353" s="21"/>
      <c r="Z353" s="12"/>
      <c r="AA353" s="29" t="n">
        <v>2</v>
      </c>
      <c r="AB353" s="12" t="s">
        <v>1691</v>
      </c>
      <c r="AC353" s="12"/>
      <c r="AD353" s="12"/>
      <c r="AE353" s="12"/>
    </row>
    <row r="354" customFormat="false" ht="15.75" hidden="false" customHeight="false" outlineLevel="0" collapsed="false">
      <c r="A354" s="12"/>
      <c r="B354" s="54"/>
      <c r="C354" s="55" t="s">
        <v>1692</v>
      </c>
      <c r="D354" s="24"/>
      <c r="E354" s="57" t="s">
        <v>1693</v>
      </c>
      <c r="F354" s="15" t="s">
        <v>1694</v>
      </c>
      <c r="G354" s="15"/>
      <c r="H354" s="15"/>
      <c r="I354" s="26" t="s">
        <v>551</v>
      </c>
      <c r="J354" s="15" t="s">
        <v>1565</v>
      </c>
      <c r="K354" s="17"/>
      <c r="L354" s="17"/>
      <c r="M354" s="18"/>
      <c r="N354" s="17"/>
      <c r="O354" s="17"/>
      <c r="P354" s="19" t="s">
        <v>39</v>
      </c>
      <c r="Q354" s="20"/>
      <c r="R354" s="20" t="s">
        <v>1695</v>
      </c>
      <c r="S354" s="20"/>
      <c r="T354" s="20" t="s">
        <v>1696</v>
      </c>
      <c r="U354" s="20"/>
      <c r="V354" s="21" t="s">
        <v>31</v>
      </c>
      <c r="Z354" s="20"/>
      <c r="AA354" s="22"/>
      <c r="AB354" s="18" t="s">
        <v>1697</v>
      </c>
      <c r="AC354" s="20"/>
      <c r="AD354" s="20"/>
      <c r="AE354" s="20"/>
    </row>
    <row r="355" customFormat="false" ht="15.75" hidden="false" customHeight="false" outlineLevel="0" collapsed="false">
      <c r="A355" s="12"/>
      <c r="B355" s="12"/>
      <c r="C355" s="23" t="s">
        <v>1698</v>
      </c>
      <c r="D355" s="24"/>
      <c r="E355" s="17"/>
      <c r="F355" s="17"/>
      <c r="G355" s="17"/>
      <c r="H355" s="17"/>
      <c r="I355" s="17" t="s">
        <v>260</v>
      </c>
      <c r="J355" s="32" t="s">
        <v>1565</v>
      </c>
      <c r="K355" s="17"/>
      <c r="L355" s="17"/>
      <c r="M355" s="27"/>
      <c r="N355" s="17"/>
      <c r="O355" s="17"/>
      <c r="P355" s="40" t="s">
        <v>261</v>
      </c>
      <c r="Q355" s="20"/>
      <c r="R355" s="20"/>
      <c r="S355" s="20"/>
      <c r="T355" s="20"/>
      <c r="U355" s="20"/>
      <c r="V355" s="45"/>
      <c r="Z355" s="20"/>
      <c r="AA355" s="22"/>
      <c r="AB355" s="84"/>
      <c r="AC355" s="20"/>
      <c r="AD355" s="20"/>
      <c r="AE355" s="20"/>
    </row>
    <row r="356" customFormat="false" ht="15.75" hidden="false" customHeight="false" outlineLevel="0" collapsed="false">
      <c r="A356" s="12" t="s">
        <v>31</v>
      </c>
      <c r="B356" s="12" t="s">
        <v>32</v>
      </c>
      <c r="C356" s="23" t="s">
        <v>1699</v>
      </c>
      <c r="D356" s="24" t="s">
        <v>51</v>
      </c>
      <c r="E356" s="25" t="s">
        <v>1700</v>
      </c>
      <c r="F356" s="17" t="s">
        <v>1701</v>
      </c>
      <c r="G356" s="17" t="s">
        <v>1702</v>
      </c>
      <c r="H356" s="17"/>
      <c r="I356" s="26" t="s">
        <v>557</v>
      </c>
      <c r="J356" s="17" t="s">
        <v>1565</v>
      </c>
      <c r="K356" s="17" t="n">
        <v>1979</v>
      </c>
      <c r="L356" s="17"/>
      <c r="M356" s="27"/>
      <c r="N356" s="17" t="s">
        <v>1703</v>
      </c>
      <c r="O356" s="17" t="s">
        <v>1704</v>
      </c>
      <c r="P356" s="28" t="s">
        <v>59</v>
      </c>
      <c r="Q356" s="12"/>
      <c r="R356" s="12"/>
      <c r="S356" s="12"/>
      <c r="T356" s="12"/>
      <c r="U356" s="12"/>
      <c r="V356" s="21"/>
      <c r="Z356" s="12"/>
      <c r="AA356" s="29" t="n">
        <v>4</v>
      </c>
      <c r="AB356" s="84"/>
      <c r="AC356" s="12"/>
      <c r="AD356" s="12"/>
      <c r="AE356" s="12"/>
    </row>
    <row r="357" customFormat="false" ht="15.75" hidden="false" customHeight="false" outlineLevel="0" collapsed="false">
      <c r="A357" s="12" t="str">
        <f aca="false">IF((AA357&gt;=4), "Y", "N")</f>
        <v>Y</v>
      </c>
      <c r="B357" s="12"/>
      <c r="C357" s="23" t="s">
        <v>1705</v>
      </c>
      <c r="D357" s="24" t="s">
        <v>94</v>
      </c>
      <c r="E357" s="25" t="s">
        <v>1706</v>
      </c>
      <c r="F357" s="17" t="s">
        <v>1707</v>
      </c>
      <c r="G357" s="17" t="s">
        <v>1708</v>
      </c>
      <c r="H357" s="26" t="s">
        <v>341</v>
      </c>
      <c r="I357" s="17" t="s">
        <v>36</v>
      </c>
      <c r="J357" s="17" t="s">
        <v>1565</v>
      </c>
      <c r="K357" s="17" t="n">
        <v>1966</v>
      </c>
      <c r="L357" s="38" t="s">
        <v>73</v>
      </c>
      <c r="M357" s="27"/>
      <c r="N357" s="39" t="s">
        <v>1224</v>
      </c>
      <c r="O357" s="17"/>
      <c r="P357" s="40" t="s">
        <v>111</v>
      </c>
      <c r="Q357" s="12"/>
      <c r="R357" s="12"/>
      <c r="S357" s="12"/>
      <c r="T357" s="12"/>
      <c r="U357" s="12"/>
      <c r="V357" s="21"/>
      <c r="Z357" s="12"/>
      <c r="AA357" s="29" t="n">
        <v>5</v>
      </c>
      <c r="AB357" s="84"/>
      <c r="AC357" s="12"/>
      <c r="AD357" s="12"/>
      <c r="AE357" s="12"/>
    </row>
    <row r="358" customFormat="false" ht="15.75" hidden="false" customHeight="false" outlineLevel="0" collapsed="false">
      <c r="A358" s="12" t="str">
        <f aca="false">IF((AA358&gt;=4), "Y", "N")</f>
        <v>Y</v>
      </c>
      <c r="B358" s="12"/>
      <c r="C358" s="23" t="s">
        <v>1709</v>
      </c>
      <c r="D358" s="24"/>
      <c r="E358" s="25" t="s">
        <v>1710</v>
      </c>
      <c r="F358" s="17" t="s">
        <v>1711</v>
      </c>
      <c r="G358" s="17" t="s">
        <v>145</v>
      </c>
      <c r="H358" s="26" t="s">
        <v>146</v>
      </c>
      <c r="I358" s="17" t="s">
        <v>36</v>
      </c>
      <c r="J358" s="17" t="s">
        <v>1565</v>
      </c>
      <c r="K358" s="17" t="n">
        <v>2008</v>
      </c>
      <c r="L358" s="38" t="s">
        <v>99</v>
      </c>
      <c r="M358" s="27"/>
      <c r="N358" s="39" t="s">
        <v>1224</v>
      </c>
      <c r="O358" s="17"/>
      <c r="P358" s="40" t="s">
        <v>111</v>
      </c>
      <c r="Q358" s="12"/>
      <c r="R358" s="12"/>
      <c r="S358" s="12"/>
      <c r="T358" s="12"/>
      <c r="U358" s="12"/>
      <c r="V358" s="21"/>
      <c r="Z358" s="12"/>
      <c r="AA358" s="29" t="n">
        <v>5</v>
      </c>
      <c r="AB358" s="84"/>
      <c r="AC358" s="12"/>
      <c r="AD358" s="12"/>
      <c r="AE358" s="12"/>
    </row>
    <row r="359" customFormat="false" ht="15.75" hidden="false" customHeight="false" outlineLevel="0" collapsed="false">
      <c r="A359" s="12" t="str">
        <f aca="false">IF((AA359&gt;=4), "Y", "N")</f>
        <v>Y</v>
      </c>
      <c r="B359" s="12"/>
      <c r="C359" s="23" t="s">
        <v>1712</v>
      </c>
      <c r="D359" s="24" t="s">
        <v>94</v>
      </c>
      <c r="E359" s="25" t="s">
        <v>1713</v>
      </c>
      <c r="F359" s="17" t="s">
        <v>1714</v>
      </c>
      <c r="G359" s="17"/>
      <c r="H359" s="26" t="s">
        <v>1715</v>
      </c>
      <c r="I359" s="17" t="s">
        <v>36</v>
      </c>
      <c r="J359" s="17" t="s">
        <v>1565</v>
      </c>
      <c r="K359" s="17" t="n">
        <v>2010</v>
      </c>
      <c r="L359" s="38" t="s">
        <v>99</v>
      </c>
      <c r="M359" s="27"/>
      <c r="N359" s="39" t="s">
        <v>1224</v>
      </c>
      <c r="O359" s="17"/>
      <c r="P359" s="40" t="s">
        <v>111</v>
      </c>
      <c r="Q359" s="20"/>
      <c r="R359" s="20"/>
      <c r="S359" s="20"/>
      <c r="T359" s="20"/>
      <c r="U359" s="20"/>
      <c r="V359" s="45"/>
      <c r="Z359" s="20"/>
      <c r="AA359" s="22" t="n">
        <v>5</v>
      </c>
      <c r="AB359" s="84"/>
      <c r="AC359" s="20"/>
      <c r="AD359" s="20"/>
      <c r="AE359" s="20"/>
    </row>
    <row r="360" customFormat="false" ht="15.75" hidden="false" customHeight="false" outlineLevel="0" collapsed="false">
      <c r="A360" s="12" t="str">
        <f aca="false">IF((AA360&gt;=4), "Y", "N")</f>
        <v>Y</v>
      </c>
      <c r="B360" s="12"/>
      <c r="C360" s="23" t="s">
        <v>1716</v>
      </c>
      <c r="D360" s="24" t="s">
        <v>94</v>
      </c>
      <c r="E360" s="25" t="s">
        <v>1717</v>
      </c>
      <c r="F360" s="17" t="s">
        <v>1718</v>
      </c>
      <c r="G360" s="17" t="s">
        <v>145</v>
      </c>
      <c r="H360" s="26" t="s">
        <v>146</v>
      </c>
      <c r="I360" s="17" t="s">
        <v>36</v>
      </c>
      <c r="J360" s="17" t="s">
        <v>1565</v>
      </c>
      <c r="K360" s="17" t="n">
        <v>2013</v>
      </c>
      <c r="L360" s="38" t="s">
        <v>109</v>
      </c>
      <c r="M360" s="27" t="s">
        <v>147</v>
      </c>
      <c r="N360" s="39" t="s">
        <v>1224</v>
      </c>
      <c r="O360" s="17"/>
      <c r="P360" s="40" t="s">
        <v>111</v>
      </c>
      <c r="Q360" s="12"/>
      <c r="R360" s="12"/>
      <c r="S360" s="12"/>
      <c r="T360" s="12"/>
      <c r="U360" s="12"/>
      <c r="V360" s="21"/>
      <c r="Z360" s="12"/>
      <c r="AA360" s="29" t="n">
        <v>4</v>
      </c>
      <c r="AB360" s="12"/>
      <c r="AC360" s="12"/>
      <c r="AD360" s="12"/>
      <c r="AE360" s="12"/>
    </row>
    <row r="361" customFormat="false" ht="15.75" hidden="false" customHeight="false" outlineLevel="0" collapsed="false">
      <c r="A361" s="12" t="str">
        <f aca="false">IF((AA361&gt;=4), "Y", "N")</f>
        <v>Y</v>
      </c>
      <c r="B361" s="12"/>
      <c r="C361" s="23" t="s">
        <v>1719</v>
      </c>
      <c r="D361" s="24" t="s">
        <v>94</v>
      </c>
      <c r="E361" s="25" t="s">
        <v>1720</v>
      </c>
      <c r="F361" s="17" t="s">
        <v>1721</v>
      </c>
      <c r="G361" s="17" t="s">
        <v>1722</v>
      </c>
      <c r="H361" s="26" t="s">
        <v>72</v>
      </c>
      <c r="I361" s="17" t="s">
        <v>36</v>
      </c>
      <c r="J361" s="17" t="s">
        <v>1565</v>
      </c>
      <c r="K361" s="17" t="n">
        <v>2007</v>
      </c>
      <c r="L361" s="38" t="s">
        <v>99</v>
      </c>
      <c r="M361" s="27"/>
      <c r="N361" s="39" t="s">
        <v>1224</v>
      </c>
      <c r="O361" s="17"/>
      <c r="P361" s="40" t="s">
        <v>111</v>
      </c>
      <c r="Q361" s="20"/>
      <c r="R361" s="20"/>
      <c r="S361" s="20"/>
      <c r="T361" s="20"/>
      <c r="U361" s="20"/>
      <c r="V361" s="45"/>
      <c r="Z361" s="20"/>
      <c r="AA361" s="22" t="n">
        <v>5</v>
      </c>
      <c r="AB361" s="84"/>
      <c r="AC361" s="20"/>
      <c r="AD361" s="20"/>
      <c r="AE361" s="20"/>
    </row>
    <row r="362" customFormat="false" ht="15.75" hidden="false" customHeight="false" outlineLevel="0" collapsed="false">
      <c r="A362" s="12" t="s">
        <v>31</v>
      </c>
      <c r="B362" s="12" t="s">
        <v>32</v>
      </c>
      <c r="C362" s="64" t="s">
        <v>1723</v>
      </c>
      <c r="D362" s="24" t="s">
        <v>51</v>
      </c>
      <c r="E362" s="25" t="s">
        <v>1724</v>
      </c>
      <c r="F362" s="17" t="s">
        <v>1725</v>
      </c>
      <c r="G362" s="17"/>
      <c r="H362" s="17"/>
      <c r="I362" s="26" t="s">
        <v>92</v>
      </c>
      <c r="J362" s="17" t="s">
        <v>1565</v>
      </c>
      <c r="K362" s="17"/>
      <c r="L362" s="17"/>
      <c r="M362" s="27" t="s">
        <v>1726</v>
      </c>
      <c r="N362" s="17" t="s">
        <v>1727</v>
      </c>
      <c r="O362" s="47" t="s">
        <v>149</v>
      </c>
      <c r="P362" s="28" t="s">
        <v>59</v>
      </c>
      <c r="Q362" s="20"/>
      <c r="R362" s="20"/>
      <c r="S362" s="20"/>
      <c r="T362" s="20"/>
      <c r="U362" s="20"/>
      <c r="V362" s="45"/>
      <c r="Z362" s="20"/>
      <c r="AA362" s="22" t="n">
        <v>5</v>
      </c>
      <c r="AB362" s="20"/>
      <c r="AC362" s="20"/>
      <c r="AD362" s="20"/>
      <c r="AE362" s="20"/>
    </row>
    <row r="363" customFormat="false" ht="15.75" hidden="false" customHeight="false" outlineLevel="0" collapsed="false">
      <c r="A363" s="12" t="str">
        <f aca="false">IF((AA363&gt;=4), "Y", "N")</f>
        <v>Y</v>
      </c>
      <c r="B363" s="12"/>
      <c r="C363" s="23" t="s">
        <v>1728</v>
      </c>
      <c r="D363" s="24" t="s">
        <v>94</v>
      </c>
      <c r="E363" s="25" t="s">
        <v>1729</v>
      </c>
      <c r="F363" s="17" t="s">
        <v>1730</v>
      </c>
      <c r="G363" s="17" t="s">
        <v>296</v>
      </c>
      <c r="H363" s="26" t="s">
        <v>297</v>
      </c>
      <c r="I363" s="17" t="s">
        <v>36</v>
      </c>
      <c r="J363" s="17" t="s">
        <v>1565</v>
      </c>
      <c r="K363" s="17" t="n">
        <v>2006</v>
      </c>
      <c r="L363" s="38" t="s">
        <v>99</v>
      </c>
      <c r="M363" s="27"/>
      <c r="N363" s="39" t="s">
        <v>1224</v>
      </c>
      <c r="O363" s="17"/>
      <c r="P363" s="40" t="s">
        <v>111</v>
      </c>
      <c r="Q363" s="12"/>
      <c r="R363" s="12"/>
      <c r="S363" s="12"/>
      <c r="T363" s="12"/>
      <c r="U363" s="12"/>
      <c r="V363" s="21"/>
      <c r="Z363" s="12"/>
      <c r="AA363" s="29" t="n">
        <v>5</v>
      </c>
      <c r="AB363" s="84"/>
      <c r="AC363" s="12"/>
      <c r="AD363" s="12"/>
      <c r="AE363" s="12"/>
    </row>
    <row r="364" customFormat="false" ht="15.75" hidden="false" customHeight="false" outlineLevel="0" collapsed="false">
      <c r="A364" s="12" t="str">
        <f aca="false">IF((AA364&gt;=4), "Y", "N")</f>
        <v>Y</v>
      </c>
      <c r="B364" s="13"/>
      <c r="C364" s="31" t="s">
        <v>1731</v>
      </c>
      <c r="D364" s="16" t="s">
        <v>94</v>
      </c>
      <c r="E364" s="32" t="s">
        <v>1732</v>
      </c>
      <c r="F364" s="32" t="s">
        <v>1733</v>
      </c>
      <c r="G364" s="32" t="s">
        <v>145</v>
      </c>
      <c r="H364" s="26" t="s">
        <v>146</v>
      </c>
      <c r="I364" s="17" t="s">
        <v>36</v>
      </c>
      <c r="J364" s="32" t="s">
        <v>1565</v>
      </c>
      <c r="K364" s="33" t="n">
        <v>2012</v>
      </c>
      <c r="L364" s="33" t="s">
        <v>109</v>
      </c>
      <c r="M364" s="27"/>
      <c r="N364" s="39" t="s">
        <v>478</v>
      </c>
      <c r="O364" s="17"/>
      <c r="P364" s="19" t="s">
        <v>76</v>
      </c>
      <c r="Q364" s="20"/>
      <c r="R364" s="20" t="s">
        <v>1734</v>
      </c>
      <c r="S364" s="20"/>
      <c r="T364" s="20" t="s">
        <v>1735</v>
      </c>
      <c r="U364" s="20"/>
      <c r="V364" s="21" t="s">
        <v>31</v>
      </c>
      <c r="Z364" s="20"/>
      <c r="AA364" s="22" t="str">
        <f aca="false">IF(P364="OD500 US (submitted)", "5", " ")</f>
        <v>5</v>
      </c>
      <c r="AB364" s="84"/>
      <c r="AC364" s="20"/>
      <c r="AD364" s="20"/>
      <c r="AE364" s="20"/>
    </row>
    <row r="365" customFormat="false" ht="15.75" hidden="false" customHeight="false" outlineLevel="0" collapsed="false">
      <c r="A365" s="12"/>
      <c r="B365" s="12"/>
      <c r="C365" s="23" t="s">
        <v>1736</v>
      </c>
      <c r="D365" s="24" t="s">
        <v>94</v>
      </c>
      <c r="E365" s="25" t="s">
        <v>1737</v>
      </c>
      <c r="F365" s="17" t="s">
        <v>1738</v>
      </c>
      <c r="G365" s="17" t="s">
        <v>368</v>
      </c>
      <c r="H365" s="17" t="s">
        <v>369</v>
      </c>
      <c r="I365" s="17" t="s">
        <v>36</v>
      </c>
      <c r="J365" s="17" t="s">
        <v>1565</v>
      </c>
      <c r="K365" s="17" t="n">
        <v>1983</v>
      </c>
      <c r="L365" s="33"/>
      <c r="M365" s="27"/>
      <c r="N365" s="39" t="s">
        <v>1224</v>
      </c>
      <c r="O365" s="17"/>
      <c r="P365" s="40" t="s">
        <v>111</v>
      </c>
      <c r="Q365" s="17"/>
      <c r="R365" s="17"/>
      <c r="S365" s="17"/>
      <c r="T365" s="17"/>
      <c r="U365" s="17"/>
      <c r="V365" s="27"/>
      <c r="Z365" s="17"/>
      <c r="AA365" s="29" t="n">
        <v>3</v>
      </c>
      <c r="AB365" s="84"/>
      <c r="AC365" s="17"/>
      <c r="AD365" s="17"/>
      <c r="AE365" s="17"/>
    </row>
    <row r="366" customFormat="false" ht="15.75" hidden="false" customHeight="false" outlineLevel="0" collapsed="false">
      <c r="A366" s="12"/>
      <c r="B366" s="12"/>
      <c r="C366" s="23" t="s">
        <v>1739</v>
      </c>
      <c r="D366" s="24"/>
      <c r="E366" s="17"/>
      <c r="F366" s="17"/>
      <c r="G366" s="17"/>
      <c r="H366" s="17"/>
      <c r="I366" s="17" t="s">
        <v>260</v>
      </c>
      <c r="J366" s="32" t="s">
        <v>1565</v>
      </c>
      <c r="K366" s="17"/>
      <c r="L366" s="17"/>
      <c r="M366" s="27"/>
      <c r="N366" s="17"/>
      <c r="O366" s="17"/>
      <c r="P366" s="40" t="s">
        <v>261</v>
      </c>
      <c r="Q366" s="12"/>
      <c r="R366" s="12"/>
      <c r="S366" s="12"/>
      <c r="T366" s="12"/>
      <c r="U366" s="12"/>
      <c r="V366" s="21"/>
      <c r="Z366" s="12"/>
      <c r="AA366" s="29"/>
      <c r="AB366" s="84"/>
      <c r="AC366" s="12"/>
      <c r="AD366" s="12"/>
      <c r="AE366" s="12"/>
    </row>
    <row r="367" customFormat="false" ht="15.75" hidden="false" customHeight="false" outlineLevel="0" collapsed="false">
      <c r="A367" s="12" t="str">
        <f aca="false">IF((AA367&gt;=4), "Y", "N")</f>
        <v>Y</v>
      </c>
      <c r="B367" s="12"/>
      <c r="C367" s="23" t="s">
        <v>1740</v>
      </c>
      <c r="D367" s="24" t="s">
        <v>94</v>
      </c>
      <c r="E367" s="25" t="s">
        <v>1741</v>
      </c>
      <c r="F367" s="17" t="s">
        <v>1742</v>
      </c>
      <c r="G367" s="17" t="s">
        <v>145</v>
      </c>
      <c r="H367" s="26" t="s">
        <v>146</v>
      </c>
      <c r="I367" s="17" t="s">
        <v>36</v>
      </c>
      <c r="J367" s="17" t="s">
        <v>1565</v>
      </c>
      <c r="K367" s="17" t="n">
        <v>2008</v>
      </c>
      <c r="L367" s="38" t="s">
        <v>99</v>
      </c>
      <c r="M367" s="27"/>
      <c r="N367" s="39" t="s">
        <v>1224</v>
      </c>
      <c r="O367" s="17"/>
      <c r="P367" s="40" t="s">
        <v>111</v>
      </c>
      <c r="Q367" s="20"/>
      <c r="R367" s="20"/>
      <c r="S367" s="20"/>
      <c r="T367" s="20"/>
      <c r="U367" s="20"/>
      <c r="V367" s="45"/>
      <c r="Z367" s="20"/>
      <c r="AA367" s="22" t="n">
        <v>5</v>
      </c>
      <c r="AB367" s="84"/>
      <c r="AC367" s="20"/>
      <c r="AD367" s="20"/>
      <c r="AE367" s="20"/>
    </row>
    <row r="368" customFormat="false" ht="15.75" hidden="false" customHeight="false" outlineLevel="0" collapsed="false">
      <c r="A368" s="12"/>
      <c r="B368" s="12"/>
      <c r="C368" s="23" t="s">
        <v>1743</v>
      </c>
      <c r="D368" s="24"/>
      <c r="E368" s="17"/>
      <c r="F368" s="17"/>
      <c r="G368" s="17"/>
      <c r="H368" s="17"/>
      <c r="I368" s="17" t="s">
        <v>260</v>
      </c>
      <c r="J368" s="32" t="s">
        <v>1565</v>
      </c>
      <c r="K368" s="17"/>
      <c r="L368" s="17"/>
      <c r="M368" s="27"/>
      <c r="N368" s="17"/>
      <c r="O368" s="17"/>
      <c r="P368" s="40" t="s">
        <v>261</v>
      </c>
      <c r="Q368" s="12"/>
      <c r="R368" s="12"/>
      <c r="S368" s="12"/>
      <c r="T368" s="12"/>
      <c r="U368" s="12"/>
      <c r="V368" s="21"/>
      <c r="Z368" s="12"/>
      <c r="AA368" s="29"/>
      <c r="AB368" s="84"/>
      <c r="AC368" s="12"/>
      <c r="AD368" s="12"/>
      <c r="AE368" s="12"/>
    </row>
    <row r="369" customFormat="false" ht="15.75" hidden="false" customHeight="false" outlineLevel="0" collapsed="false">
      <c r="A369" s="12"/>
      <c r="B369" s="13"/>
      <c r="C369" s="14" t="s">
        <v>1744</v>
      </c>
      <c r="D369" s="24" t="s">
        <v>51</v>
      </c>
      <c r="E369" s="25" t="s">
        <v>1745</v>
      </c>
      <c r="F369" s="17" t="s">
        <v>1746</v>
      </c>
      <c r="G369" s="17" t="s">
        <v>183</v>
      </c>
      <c r="H369" s="17"/>
      <c r="I369" s="26" t="s">
        <v>266</v>
      </c>
      <c r="J369" s="32" t="s">
        <v>1565</v>
      </c>
      <c r="K369" s="17"/>
      <c r="L369" s="17"/>
      <c r="M369" s="27"/>
      <c r="N369" s="17"/>
      <c r="O369" s="17"/>
      <c r="P369" s="52" t="s">
        <v>185</v>
      </c>
      <c r="Q369" s="12"/>
      <c r="R369" s="12"/>
      <c r="S369" s="12"/>
      <c r="T369" s="12" t="s">
        <v>1747</v>
      </c>
      <c r="U369" s="12"/>
      <c r="V369" s="21"/>
      <c r="Z369" s="12"/>
      <c r="AA369" s="29" t="n">
        <v>3</v>
      </c>
      <c r="AB369" s="84"/>
      <c r="AC369" s="12"/>
      <c r="AD369" s="12"/>
      <c r="AE369" s="12"/>
    </row>
    <row r="370" customFormat="false" ht="15.75" hidden="false" customHeight="false" outlineLevel="0" collapsed="false">
      <c r="A370" s="12"/>
      <c r="B370" s="13" t="s">
        <v>141</v>
      </c>
      <c r="C370" s="14" t="s">
        <v>1748</v>
      </c>
      <c r="D370" s="24" t="s">
        <v>51</v>
      </c>
      <c r="E370" s="25" t="s">
        <v>1749</v>
      </c>
      <c r="F370" s="17" t="s">
        <v>1750</v>
      </c>
      <c r="G370" s="17" t="s">
        <v>1751</v>
      </c>
      <c r="H370" s="17" t="s">
        <v>376</v>
      </c>
      <c r="I370" s="17" t="s">
        <v>36</v>
      </c>
      <c r="J370" s="47" t="s">
        <v>1565</v>
      </c>
      <c r="K370" s="17" t="n">
        <v>1965</v>
      </c>
      <c r="L370" s="17"/>
      <c r="M370" s="27" t="s">
        <v>147</v>
      </c>
      <c r="N370" s="17" t="s">
        <v>1403</v>
      </c>
      <c r="O370" s="17" t="s">
        <v>157</v>
      </c>
      <c r="P370" s="40" t="s">
        <v>150</v>
      </c>
      <c r="Q370" s="12"/>
      <c r="R370" s="12"/>
      <c r="S370" s="12"/>
      <c r="T370" s="12"/>
      <c r="U370" s="12"/>
      <c r="V370" s="21"/>
      <c r="Z370" s="12"/>
      <c r="AA370" s="29" t="n">
        <v>5</v>
      </c>
      <c r="AB370" s="12"/>
      <c r="AC370" s="12"/>
      <c r="AD370" s="12"/>
      <c r="AE370" s="12"/>
    </row>
    <row r="371" customFormat="false" ht="15.75" hidden="false" customHeight="false" outlineLevel="0" collapsed="false">
      <c r="A371" s="12"/>
      <c r="B371" s="13" t="s">
        <v>141</v>
      </c>
      <c r="C371" s="14" t="s">
        <v>1752</v>
      </c>
      <c r="D371" s="24" t="s">
        <v>51</v>
      </c>
      <c r="E371" s="25" t="s">
        <v>1753</v>
      </c>
      <c r="F371" s="17" t="s">
        <v>1754</v>
      </c>
      <c r="G371" s="17" t="s">
        <v>97</v>
      </c>
      <c r="H371" s="17" t="s">
        <v>98</v>
      </c>
      <c r="I371" s="17" t="s">
        <v>36</v>
      </c>
      <c r="J371" s="47" t="s">
        <v>1565</v>
      </c>
      <c r="K371" s="17" t="n">
        <v>1965</v>
      </c>
      <c r="L371" s="17"/>
      <c r="M371" s="27" t="s">
        <v>147</v>
      </c>
      <c r="N371" s="17" t="s">
        <v>1403</v>
      </c>
      <c r="O371" s="17" t="s">
        <v>157</v>
      </c>
      <c r="P371" s="40" t="s">
        <v>150</v>
      </c>
      <c r="Q371" s="12"/>
      <c r="R371" s="12"/>
      <c r="S371" s="12"/>
      <c r="T371" s="12"/>
      <c r="U371" s="12"/>
      <c r="V371" s="21"/>
      <c r="Z371" s="12"/>
      <c r="AA371" s="29" t="n">
        <v>5</v>
      </c>
      <c r="AB371" s="12"/>
      <c r="AC371" s="12"/>
      <c r="AD371" s="12"/>
      <c r="AE371" s="12"/>
    </row>
    <row r="372" customFormat="false" ht="15.75" hidden="false" customHeight="false" outlineLevel="0" collapsed="false">
      <c r="A372" s="12"/>
      <c r="B372" s="13" t="s">
        <v>141</v>
      </c>
      <c r="C372" s="14" t="s">
        <v>1755</v>
      </c>
      <c r="D372" s="24" t="s">
        <v>51</v>
      </c>
      <c r="E372" s="25" t="s">
        <v>1756</v>
      </c>
      <c r="F372" s="17" t="s">
        <v>1757</v>
      </c>
      <c r="G372" s="17" t="s">
        <v>1758</v>
      </c>
      <c r="H372" s="17" t="s">
        <v>120</v>
      </c>
      <c r="I372" s="17" t="s">
        <v>36</v>
      </c>
      <c r="J372" s="47" t="s">
        <v>1565</v>
      </c>
      <c r="K372" s="17" t="n">
        <v>2002</v>
      </c>
      <c r="L372" s="17"/>
      <c r="M372" s="27" t="s">
        <v>147</v>
      </c>
      <c r="N372" s="17" t="s">
        <v>1403</v>
      </c>
      <c r="O372" s="17" t="s">
        <v>157</v>
      </c>
      <c r="P372" s="40" t="s">
        <v>150</v>
      </c>
      <c r="Q372" s="12"/>
      <c r="R372" s="12"/>
      <c r="S372" s="12"/>
      <c r="T372" s="12"/>
      <c r="U372" s="12"/>
      <c r="V372" s="21"/>
      <c r="Z372" s="12"/>
      <c r="AA372" s="29" t="n">
        <v>5</v>
      </c>
      <c r="AB372" s="12"/>
      <c r="AC372" s="12"/>
      <c r="AD372" s="12"/>
      <c r="AE372" s="12"/>
    </row>
    <row r="373" customFormat="false" ht="15.75" hidden="false" customHeight="false" outlineLevel="0" collapsed="false">
      <c r="A373" s="12"/>
      <c r="B373" s="12" t="s">
        <v>32</v>
      </c>
      <c r="C373" s="23" t="s">
        <v>1759</v>
      </c>
      <c r="D373" s="24" t="s">
        <v>1760</v>
      </c>
      <c r="E373" s="25" t="s">
        <v>1761</v>
      </c>
      <c r="F373" s="17" t="s">
        <v>1762</v>
      </c>
      <c r="G373" s="17"/>
      <c r="H373" s="17"/>
      <c r="I373" s="26" t="s">
        <v>230</v>
      </c>
      <c r="J373" s="17" t="s">
        <v>205</v>
      </c>
      <c r="K373" s="17"/>
      <c r="L373" s="17"/>
      <c r="M373" s="27"/>
      <c r="N373" s="17"/>
      <c r="O373" s="17"/>
      <c r="P373" s="28" t="s">
        <v>59</v>
      </c>
      <c r="Q373" s="17"/>
      <c r="R373" s="17"/>
      <c r="S373" s="17"/>
      <c r="T373" s="17"/>
      <c r="U373" s="17"/>
      <c r="V373" s="27"/>
      <c r="Z373" s="17"/>
      <c r="AA373" s="29" t="n">
        <v>3</v>
      </c>
      <c r="AB373" s="84"/>
      <c r="AC373" s="17"/>
      <c r="AD373" s="17"/>
      <c r="AE373" s="17"/>
    </row>
    <row r="374" customFormat="false" ht="15.75" hidden="false" customHeight="false" outlineLevel="0" collapsed="false">
      <c r="A374" s="12" t="s">
        <v>31</v>
      </c>
      <c r="B374" s="12" t="s">
        <v>32</v>
      </c>
      <c r="C374" s="23" t="s">
        <v>1763</v>
      </c>
      <c r="D374" s="24" t="s">
        <v>620</v>
      </c>
      <c r="E374" s="25" t="s">
        <v>1764</v>
      </c>
      <c r="F374" s="17" t="s">
        <v>1765</v>
      </c>
      <c r="G374" s="17"/>
      <c r="H374" s="17"/>
      <c r="I374" s="26" t="s">
        <v>1644</v>
      </c>
      <c r="J374" s="17" t="s">
        <v>58</v>
      </c>
      <c r="K374" s="17"/>
      <c r="L374" s="17"/>
      <c r="M374" s="27" t="s">
        <v>58</v>
      </c>
      <c r="N374" s="17"/>
      <c r="O374" s="17"/>
      <c r="P374" s="28" t="s">
        <v>59</v>
      </c>
      <c r="V374" s="60"/>
      <c r="AA374" s="63" t="n">
        <v>5</v>
      </c>
    </row>
    <row r="375" customFormat="false" ht="15.75" hidden="false" customHeight="false" outlineLevel="0" collapsed="false">
      <c r="A375" s="12"/>
      <c r="B375" s="54"/>
      <c r="C375" s="55" t="s">
        <v>1766</v>
      </c>
      <c r="D375" s="24"/>
      <c r="E375" s="57" t="s">
        <v>1767</v>
      </c>
      <c r="F375" s="85" t="s">
        <v>1768</v>
      </c>
      <c r="G375" s="15"/>
      <c r="H375" s="15"/>
      <c r="I375" s="26" t="s">
        <v>551</v>
      </c>
      <c r="J375" s="17" t="s">
        <v>205</v>
      </c>
      <c r="K375" s="17"/>
      <c r="L375" s="17"/>
      <c r="M375" s="18"/>
      <c r="N375" s="17"/>
      <c r="O375" s="17"/>
      <c r="P375" s="19" t="s">
        <v>39</v>
      </c>
      <c r="Q375" s="12"/>
      <c r="R375" s="12" t="s">
        <v>1695</v>
      </c>
      <c r="S375" s="12"/>
      <c r="T375" s="12" t="s">
        <v>1696</v>
      </c>
      <c r="U375" s="12"/>
      <c r="V375" s="21" t="s">
        <v>31</v>
      </c>
      <c r="Z375" s="12"/>
      <c r="AA375" s="29"/>
      <c r="AB375" s="18" t="s">
        <v>1769</v>
      </c>
      <c r="AC375" s="12"/>
      <c r="AD375" s="12"/>
      <c r="AE375" s="12"/>
    </row>
    <row r="376" customFormat="false" ht="15.75" hidden="false" customHeight="false" outlineLevel="0" collapsed="false">
      <c r="A376" s="12"/>
      <c r="B376" s="54"/>
      <c r="C376" s="55" t="s">
        <v>1770</v>
      </c>
      <c r="D376" s="24"/>
      <c r="E376" s="57" t="s">
        <v>1771</v>
      </c>
      <c r="F376" s="15" t="s">
        <v>1772</v>
      </c>
      <c r="G376" s="15"/>
      <c r="H376" s="15"/>
      <c r="I376" s="26" t="s">
        <v>1773</v>
      </c>
      <c r="J376" s="15" t="s">
        <v>58</v>
      </c>
      <c r="K376" s="17"/>
      <c r="L376" s="17"/>
      <c r="M376" s="18"/>
      <c r="N376" s="17"/>
      <c r="O376" s="17"/>
      <c r="P376" s="19" t="s">
        <v>39</v>
      </c>
      <c r="Q376" s="12"/>
      <c r="R376" s="12" t="s">
        <v>1774</v>
      </c>
      <c r="S376" s="12"/>
      <c r="T376" s="12" t="s">
        <v>1775</v>
      </c>
      <c r="U376" s="12"/>
      <c r="V376" s="21" t="s">
        <v>31</v>
      </c>
      <c r="Z376" s="12"/>
      <c r="AA376" s="29"/>
      <c r="AB376" s="18" t="s">
        <v>1776</v>
      </c>
      <c r="AC376" s="12"/>
      <c r="AD376" s="12"/>
      <c r="AE376" s="12"/>
    </row>
    <row r="377" customFormat="false" ht="15.75" hidden="false" customHeight="false" outlineLevel="0" collapsed="false">
      <c r="A377" s="12"/>
      <c r="B377" s="54"/>
      <c r="C377" s="55" t="s">
        <v>1777</v>
      </c>
      <c r="D377" s="24"/>
      <c r="E377" s="57" t="s">
        <v>1778</v>
      </c>
      <c r="F377" s="15" t="s">
        <v>1779</v>
      </c>
      <c r="G377" s="15"/>
      <c r="H377" s="15"/>
      <c r="I377" s="26" t="s">
        <v>127</v>
      </c>
      <c r="J377" s="15" t="s">
        <v>1565</v>
      </c>
      <c r="K377" s="17"/>
      <c r="L377" s="17"/>
      <c r="M377" s="18"/>
      <c r="N377" s="17"/>
      <c r="O377" s="17"/>
      <c r="P377" s="19" t="s">
        <v>39</v>
      </c>
      <c r="Q377" s="12"/>
      <c r="R377" s="12"/>
      <c r="S377" s="12"/>
      <c r="T377" s="12"/>
      <c r="U377" s="12"/>
      <c r="V377" s="21"/>
      <c r="Z377" s="12"/>
      <c r="AA377" s="29"/>
      <c r="AB377" s="18" t="s">
        <v>1780</v>
      </c>
      <c r="AC377" s="12"/>
      <c r="AD377" s="12"/>
      <c r="AE377" s="12"/>
    </row>
    <row r="378" customFormat="false" ht="15.75" hidden="false" customHeight="false" outlineLevel="0" collapsed="false">
      <c r="A378" s="12"/>
      <c r="B378" s="54"/>
      <c r="C378" s="55" t="s">
        <v>1657</v>
      </c>
      <c r="D378" s="15"/>
      <c r="E378" s="16" t="s">
        <v>1781</v>
      </c>
      <c r="F378" s="15" t="s">
        <v>1782</v>
      </c>
      <c r="G378" s="15"/>
      <c r="H378" s="15"/>
      <c r="I378" s="17" t="s">
        <v>36</v>
      </c>
      <c r="J378" s="15" t="s">
        <v>1565</v>
      </c>
      <c r="K378" s="15" t="n">
        <v>1998</v>
      </c>
      <c r="L378" s="17"/>
      <c r="M378" s="18"/>
      <c r="N378" s="17"/>
      <c r="O378" s="17"/>
      <c r="P378" s="19" t="s">
        <v>39</v>
      </c>
      <c r="Q378" s="20"/>
      <c r="R378" s="20"/>
      <c r="S378" s="20"/>
      <c r="T378" s="20"/>
      <c r="U378" s="20"/>
      <c r="V378" s="45"/>
      <c r="Z378" s="20"/>
      <c r="AA378" s="22"/>
      <c r="AB378" s="18" t="s">
        <v>1783</v>
      </c>
      <c r="AC378" s="20"/>
      <c r="AD378" s="20"/>
      <c r="AE378" s="20"/>
    </row>
    <row r="379" customFormat="false" ht="15.75" hidden="false" customHeight="false" outlineLevel="0" collapsed="false">
      <c r="A379" s="12" t="s">
        <v>193</v>
      </c>
      <c r="B379" s="12" t="s">
        <v>32</v>
      </c>
      <c r="C379" s="23" t="s">
        <v>1784</v>
      </c>
      <c r="D379" s="24" t="s">
        <v>195</v>
      </c>
      <c r="E379" s="25" t="s">
        <v>1785</v>
      </c>
      <c r="F379" s="17" t="s">
        <v>1786</v>
      </c>
      <c r="G379" s="17"/>
      <c r="H379" s="17"/>
      <c r="I379" s="26" t="s">
        <v>166</v>
      </c>
      <c r="J379" s="17" t="s">
        <v>611</v>
      </c>
      <c r="K379" s="17"/>
      <c r="L379" s="17"/>
      <c r="M379" s="27"/>
      <c r="N379" s="17"/>
      <c r="O379" s="17"/>
      <c r="P379" s="28" t="s">
        <v>59</v>
      </c>
      <c r="V379" s="60"/>
      <c r="AA379" s="63" t="n">
        <v>1</v>
      </c>
    </row>
    <row r="380" customFormat="false" ht="15.75" hidden="false" customHeight="false" outlineLevel="0" collapsed="false">
      <c r="A380" s="12" t="s">
        <v>193</v>
      </c>
      <c r="B380" s="12" t="s">
        <v>32</v>
      </c>
      <c r="C380" s="23" t="s">
        <v>1787</v>
      </c>
      <c r="D380" s="24" t="s">
        <v>51</v>
      </c>
      <c r="E380" s="25" t="s">
        <v>1788</v>
      </c>
      <c r="F380" s="17" t="s">
        <v>1789</v>
      </c>
      <c r="G380" s="17"/>
      <c r="H380" s="17"/>
      <c r="I380" s="26" t="s">
        <v>230</v>
      </c>
      <c r="J380" s="17" t="s">
        <v>763</v>
      </c>
      <c r="K380" s="17"/>
      <c r="L380" s="17"/>
      <c r="M380" s="27"/>
      <c r="N380" s="17"/>
      <c r="O380" s="17"/>
      <c r="P380" s="28" t="s">
        <v>59</v>
      </c>
      <c r="Q380" s="17"/>
      <c r="R380" s="17"/>
      <c r="S380" s="17"/>
      <c r="T380" s="17"/>
      <c r="U380" s="17"/>
      <c r="V380" s="27"/>
      <c r="Z380" s="17"/>
      <c r="AA380" s="29" t="n">
        <v>2</v>
      </c>
      <c r="AB380" s="17" t="s">
        <v>1790</v>
      </c>
      <c r="AC380" s="25" t="s">
        <v>1791</v>
      </c>
      <c r="AD380" s="17"/>
      <c r="AE380" s="17"/>
    </row>
    <row r="381" customFormat="false" ht="15.75" hidden="false" customHeight="false" outlineLevel="0" collapsed="false">
      <c r="A381" s="12" t="s">
        <v>135</v>
      </c>
      <c r="B381" s="12" t="s">
        <v>32</v>
      </c>
      <c r="C381" s="23" t="s">
        <v>1792</v>
      </c>
      <c r="D381" s="24" t="s">
        <v>620</v>
      </c>
      <c r="E381" s="25" t="s">
        <v>1793</v>
      </c>
      <c r="F381" s="17" t="s">
        <v>1794</v>
      </c>
      <c r="G381" s="17" t="s">
        <v>1795</v>
      </c>
      <c r="H381" s="17"/>
      <c r="I381" s="26" t="s">
        <v>1644</v>
      </c>
      <c r="J381" s="17" t="s">
        <v>58</v>
      </c>
      <c r="K381" s="17"/>
      <c r="L381" s="17"/>
      <c r="M381" s="27" t="s">
        <v>58</v>
      </c>
      <c r="N381" s="17"/>
      <c r="O381" s="17" t="s">
        <v>1796</v>
      </c>
      <c r="P381" s="28" t="s">
        <v>59</v>
      </c>
      <c r="V381" s="60"/>
      <c r="AA381" s="63" t="n">
        <v>5</v>
      </c>
    </row>
    <row r="382" customFormat="false" ht="15.75" hidden="false" customHeight="false" outlineLevel="0" collapsed="false">
      <c r="A382" s="12" t="s">
        <v>193</v>
      </c>
      <c r="B382" s="12" t="s">
        <v>32</v>
      </c>
      <c r="C382" s="64" t="s">
        <v>1797</v>
      </c>
      <c r="D382" s="24" t="s">
        <v>195</v>
      </c>
      <c r="E382" s="25" t="s">
        <v>1798</v>
      </c>
      <c r="F382" s="17" t="s">
        <v>1799</v>
      </c>
      <c r="G382" s="17"/>
      <c r="H382" s="17"/>
      <c r="I382" s="26" t="s">
        <v>1800</v>
      </c>
      <c r="J382" s="17" t="s">
        <v>58</v>
      </c>
      <c r="K382" s="17"/>
      <c r="L382" s="17"/>
      <c r="M382" s="27"/>
      <c r="N382" s="17"/>
      <c r="O382" s="17"/>
      <c r="P382" s="28" t="s">
        <v>59</v>
      </c>
      <c r="Q382" s="12"/>
      <c r="R382" s="12"/>
      <c r="S382" s="12"/>
      <c r="T382" s="12"/>
      <c r="U382" s="12"/>
      <c r="V382" s="21"/>
      <c r="Z382" s="12"/>
      <c r="AA382" s="29" t="n">
        <v>1</v>
      </c>
      <c r="AB382" s="12" t="s">
        <v>1801</v>
      </c>
      <c r="AC382" s="12"/>
      <c r="AD382" s="12"/>
      <c r="AE382" s="12"/>
    </row>
    <row r="383" customFormat="false" ht="15.75" hidden="false" customHeight="false" outlineLevel="0" collapsed="false">
      <c r="A383" s="12" t="s">
        <v>31</v>
      </c>
      <c r="B383" s="12" t="s">
        <v>32</v>
      </c>
      <c r="C383" s="23" t="s">
        <v>1802</v>
      </c>
      <c r="D383" s="24" t="s">
        <v>620</v>
      </c>
      <c r="E383" s="25" t="s">
        <v>1803</v>
      </c>
      <c r="F383" s="17" t="s">
        <v>1804</v>
      </c>
      <c r="G383" s="17"/>
      <c r="H383" s="17"/>
      <c r="I383" s="26" t="s">
        <v>610</v>
      </c>
      <c r="J383" s="17" t="s">
        <v>611</v>
      </c>
      <c r="K383" s="17"/>
      <c r="L383" s="17"/>
      <c r="M383" s="27"/>
      <c r="N383" s="17"/>
      <c r="O383" s="17"/>
      <c r="P383" s="28" t="s">
        <v>59</v>
      </c>
      <c r="Q383" s="20"/>
      <c r="R383" s="20"/>
      <c r="S383" s="20"/>
      <c r="T383" s="20"/>
      <c r="U383" s="20"/>
      <c r="V383" s="45"/>
      <c r="Z383" s="20"/>
      <c r="AA383" s="22" t="n">
        <v>5</v>
      </c>
      <c r="AB383" s="20"/>
      <c r="AC383" s="20"/>
      <c r="AD383" s="20"/>
      <c r="AE383" s="20"/>
    </row>
    <row r="384" customFormat="false" ht="15.75" hidden="false" customHeight="false" outlineLevel="0" collapsed="false">
      <c r="A384" s="12"/>
      <c r="B384" s="12"/>
      <c r="C384" s="23" t="s">
        <v>1805</v>
      </c>
      <c r="D384" s="24" t="s">
        <v>1760</v>
      </c>
      <c r="E384" s="25" t="s">
        <v>1806</v>
      </c>
      <c r="F384" s="17" t="s">
        <v>1807</v>
      </c>
      <c r="G384" s="17"/>
      <c r="H384" s="17"/>
      <c r="I384" s="26" t="s">
        <v>82</v>
      </c>
      <c r="J384" s="17" t="s">
        <v>1565</v>
      </c>
      <c r="K384" s="17"/>
      <c r="L384" s="17"/>
      <c r="M384" s="27"/>
      <c r="N384" s="17"/>
      <c r="O384" s="17"/>
      <c r="P384" s="28" t="s">
        <v>59</v>
      </c>
      <c r="Q384" s="12"/>
      <c r="R384" s="12"/>
      <c r="S384" s="12"/>
      <c r="T384" s="12"/>
      <c r="U384" s="12"/>
      <c r="V384" s="21"/>
      <c r="Z384" s="12"/>
      <c r="AA384" s="29" t="n">
        <v>3</v>
      </c>
      <c r="AB384" s="12"/>
      <c r="AC384" s="12"/>
      <c r="AD384" s="12"/>
      <c r="AE384" s="12"/>
    </row>
    <row r="385" customFormat="false" ht="15.75" hidden="false" customHeight="false" outlineLevel="0" collapsed="false">
      <c r="A385" s="12" t="s">
        <v>193</v>
      </c>
      <c r="B385" s="12" t="s">
        <v>32</v>
      </c>
      <c r="C385" s="23" t="s">
        <v>1808</v>
      </c>
      <c r="D385" s="24" t="s">
        <v>94</v>
      </c>
      <c r="E385" s="25" t="s">
        <v>1809</v>
      </c>
      <c r="F385" s="17" t="s">
        <v>1810</v>
      </c>
      <c r="G385" s="17"/>
      <c r="H385" s="17"/>
      <c r="I385" s="26" t="s">
        <v>543</v>
      </c>
      <c r="J385" s="17" t="s">
        <v>58</v>
      </c>
      <c r="K385" s="17"/>
      <c r="L385" s="17"/>
      <c r="M385" s="27"/>
      <c r="N385" s="17"/>
      <c r="O385" s="17"/>
      <c r="P385" s="28" t="s">
        <v>59</v>
      </c>
      <c r="V385" s="60"/>
      <c r="AA385" s="63" t="n">
        <v>1</v>
      </c>
      <c r="AB385" s="47" t="s">
        <v>1811</v>
      </c>
    </row>
    <row r="386" customFormat="false" ht="15.75" hidden="false" customHeight="false" outlineLevel="0" collapsed="false">
      <c r="A386" s="12" t="s">
        <v>31</v>
      </c>
      <c r="B386" s="12" t="s">
        <v>32</v>
      </c>
      <c r="C386" s="23" t="s">
        <v>1812</v>
      </c>
      <c r="D386" s="24" t="s">
        <v>51</v>
      </c>
      <c r="E386" s="25" t="s">
        <v>1813</v>
      </c>
      <c r="F386" s="17" t="s">
        <v>1814</v>
      </c>
      <c r="G386" s="17" t="s">
        <v>1815</v>
      </c>
      <c r="H386" s="17"/>
      <c r="I386" s="26" t="s">
        <v>1595</v>
      </c>
      <c r="J386" s="17" t="s">
        <v>1816</v>
      </c>
      <c r="K386" s="17"/>
      <c r="L386" s="17"/>
      <c r="M386" s="27"/>
      <c r="N386" s="17"/>
      <c r="O386" s="17" t="s">
        <v>1817</v>
      </c>
      <c r="P386" s="28" t="s">
        <v>59</v>
      </c>
      <c r="Q386" s="12"/>
      <c r="R386" s="12"/>
      <c r="S386" s="12"/>
      <c r="T386" s="12"/>
      <c r="U386" s="12"/>
      <c r="V386" s="21"/>
      <c r="Z386" s="12"/>
      <c r="AA386" s="29" t="n">
        <v>5</v>
      </c>
      <c r="AB386" s="12" t="s">
        <v>1818</v>
      </c>
      <c r="AC386" s="12"/>
      <c r="AD386" s="12"/>
      <c r="AE386" s="12"/>
    </row>
    <row r="387" customFormat="false" ht="15.75" hidden="false" customHeight="false" outlineLevel="0" collapsed="false">
      <c r="A387" s="12" t="s">
        <v>31</v>
      </c>
      <c r="B387" s="12" t="s">
        <v>32</v>
      </c>
      <c r="C387" s="23" t="s">
        <v>1819</v>
      </c>
      <c r="D387" s="24" t="s">
        <v>620</v>
      </c>
      <c r="E387" s="25" t="s">
        <v>1820</v>
      </c>
      <c r="F387" s="17" t="s">
        <v>1821</v>
      </c>
      <c r="G387" s="17"/>
      <c r="H387" s="17"/>
      <c r="I387" s="26" t="s">
        <v>166</v>
      </c>
      <c r="J387" s="17" t="s">
        <v>763</v>
      </c>
      <c r="K387" s="17"/>
      <c r="L387" s="17"/>
      <c r="M387" s="27"/>
      <c r="N387" s="17"/>
      <c r="O387" s="17"/>
      <c r="P387" s="28" t="s">
        <v>59</v>
      </c>
      <c r="Q387" s="12"/>
      <c r="R387" s="12"/>
      <c r="S387" s="12"/>
      <c r="T387" s="12"/>
      <c r="U387" s="12"/>
      <c r="V387" s="21"/>
      <c r="Z387" s="12"/>
      <c r="AA387" s="29" t="n">
        <v>5</v>
      </c>
      <c r="AB387" s="12"/>
      <c r="AC387" s="12"/>
      <c r="AD387" s="12"/>
      <c r="AE387" s="12"/>
    </row>
    <row r="388" customFormat="false" ht="15.75" hidden="false" customHeight="false" outlineLevel="0" collapsed="false">
      <c r="A388" s="12" t="s">
        <v>193</v>
      </c>
      <c r="B388" s="12" t="s">
        <v>32</v>
      </c>
      <c r="C388" s="23" t="s">
        <v>1822</v>
      </c>
      <c r="D388" s="24" t="s">
        <v>195</v>
      </c>
      <c r="E388" s="25" t="s">
        <v>1823</v>
      </c>
      <c r="F388" s="17" t="s">
        <v>1824</v>
      </c>
      <c r="G388" s="17"/>
      <c r="H388" s="17"/>
      <c r="I388" s="26" t="s">
        <v>1374</v>
      </c>
      <c r="J388" s="17" t="s">
        <v>1565</v>
      </c>
      <c r="K388" s="17"/>
      <c r="L388" s="17"/>
      <c r="M388" s="27"/>
      <c r="N388" s="17"/>
      <c r="O388" s="17"/>
      <c r="P388" s="28" t="s">
        <v>59</v>
      </c>
      <c r="Q388" s="20"/>
      <c r="R388" s="20"/>
      <c r="S388" s="20"/>
      <c r="T388" s="20"/>
      <c r="U388" s="20"/>
      <c r="V388" s="45"/>
      <c r="Z388" s="20"/>
      <c r="AA388" s="22" t="n">
        <v>1</v>
      </c>
      <c r="AB388" s="20" t="s">
        <v>1825</v>
      </c>
      <c r="AC388" s="20"/>
      <c r="AD388" s="20"/>
      <c r="AE388" s="20"/>
    </row>
    <row r="389" customFormat="false" ht="15.75" hidden="false" customHeight="false" outlineLevel="0" collapsed="false">
      <c r="A389" s="12"/>
      <c r="B389" s="54"/>
      <c r="C389" s="55" t="s">
        <v>1826</v>
      </c>
      <c r="D389" s="24"/>
      <c r="E389" s="86" t="s">
        <v>1827</v>
      </c>
      <c r="F389" s="15" t="s">
        <v>1828</v>
      </c>
      <c r="G389" s="15"/>
      <c r="H389" s="15"/>
      <c r="I389" s="26" t="s">
        <v>1829</v>
      </c>
      <c r="J389" s="15" t="s">
        <v>58</v>
      </c>
      <c r="K389" s="17"/>
      <c r="L389" s="17"/>
      <c r="M389" s="18"/>
      <c r="N389" s="17"/>
      <c r="O389" s="17"/>
      <c r="P389" s="19" t="s">
        <v>39</v>
      </c>
      <c r="Q389" s="20"/>
      <c r="R389" s="20" t="s">
        <v>1830</v>
      </c>
      <c r="S389" s="20"/>
      <c r="T389" s="20"/>
      <c r="U389" s="20"/>
      <c r="V389" s="45"/>
      <c r="Z389" s="20"/>
      <c r="AA389" s="22"/>
      <c r="AB389" s="18" t="s">
        <v>1831</v>
      </c>
      <c r="AC389" s="20"/>
      <c r="AD389" s="20"/>
      <c r="AE389" s="20"/>
    </row>
    <row r="390" customFormat="false" ht="15.75" hidden="false" customHeight="false" outlineLevel="0" collapsed="false">
      <c r="A390" s="12"/>
      <c r="B390" s="54"/>
      <c r="C390" s="55" t="s">
        <v>1832</v>
      </c>
      <c r="D390" s="24"/>
      <c r="E390" s="57" t="s">
        <v>1833</v>
      </c>
      <c r="F390" s="15" t="s">
        <v>1834</v>
      </c>
      <c r="G390" s="15"/>
      <c r="H390" s="15"/>
      <c r="I390" s="26" t="s">
        <v>82</v>
      </c>
      <c r="J390" s="15" t="s">
        <v>58</v>
      </c>
      <c r="K390" s="17"/>
      <c r="L390" s="17"/>
      <c r="M390" s="18"/>
      <c r="N390" s="17"/>
      <c r="O390" s="17"/>
      <c r="P390" s="19" t="s">
        <v>39</v>
      </c>
      <c r="Q390" s="20"/>
      <c r="R390" s="20"/>
      <c r="S390" s="20"/>
      <c r="T390" s="20"/>
      <c r="U390" s="20"/>
      <c r="V390" s="45"/>
      <c r="Z390" s="20"/>
      <c r="AA390" s="22"/>
      <c r="AB390" s="18" t="s">
        <v>1835</v>
      </c>
      <c r="AC390" s="20"/>
      <c r="AD390" s="20"/>
      <c r="AE390" s="20"/>
    </row>
    <row r="391" customFormat="false" ht="15.75" hidden="false" customHeight="false" outlineLevel="0" collapsed="false">
      <c r="A391" s="12"/>
      <c r="B391" s="54"/>
      <c r="C391" s="55" t="s">
        <v>1836</v>
      </c>
      <c r="D391" s="15"/>
      <c r="E391" s="16" t="s">
        <v>1837</v>
      </c>
      <c r="F391" s="15" t="s">
        <v>1838</v>
      </c>
      <c r="G391" s="15"/>
      <c r="H391" s="15"/>
      <c r="I391" s="26" t="s">
        <v>45</v>
      </c>
      <c r="J391" s="15" t="s">
        <v>58</v>
      </c>
      <c r="K391" s="15" t="n">
        <v>2000</v>
      </c>
      <c r="L391" s="17"/>
      <c r="M391" s="18"/>
      <c r="N391" s="17"/>
      <c r="O391" s="17"/>
      <c r="P391" s="19" t="s">
        <v>39</v>
      </c>
      <c r="Q391" s="12"/>
      <c r="R391" s="12"/>
      <c r="S391" s="12"/>
      <c r="T391" s="12"/>
      <c r="U391" s="12"/>
      <c r="V391" s="21"/>
      <c r="Z391" s="12"/>
      <c r="AA391" s="29"/>
      <c r="AB391" s="18" t="s">
        <v>1839</v>
      </c>
      <c r="AC391" s="12"/>
      <c r="AD391" s="12"/>
      <c r="AE391" s="12"/>
    </row>
    <row r="392" customFormat="false" ht="15.75" hidden="false" customHeight="false" outlineLevel="0" collapsed="false">
      <c r="A392" s="12"/>
      <c r="B392" s="12"/>
      <c r="C392" s="23" t="s">
        <v>1840</v>
      </c>
      <c r="D392" s="24" t="s">
        <v>94</v>
      </c>
      <c r="E392" s="25" t="s">
        <v>1841</v>
      </c>
      <c r="F392" s="17" t="s">
        <v>1842</v>
      </c>
      <c r="G392" s="17"/>
      <c r="H392" s="17"/>
      <c r="I392" s="17" t="s">
        <v>36</v>
      </c>
      <c r="J392" s="17" t="s">
        <v>1843</v>
      </c>
      <c r="K392" s="17"/>
      <c r="L392" s="17"/>
      <c r="M392" s="27"/>
      <c r="N392" s="17"/>
      <c r="O392" s="17"/>
      <c r="P392" s="28" t="s">
        <v>59</v>
      </c>
      <c r="Q392" s="12"/>
      <c r="R392" s="12"/>
      <c r="S392" s="12"/>
      <c r="T392" s="12"/>
      <c r="U392" s="12"/>
      <c r="V392" s="21"/>
      <c r="Z392" s="12"/>
      <c r="AA392" s="29"/>
      <c r="AB392" s="12"/>
      <c r="AC392" s="12"/>
      <c r="AD392" s="12"/>
      <c r="AE392" s="12"/>
    </row>
    <row r="393" customFormat="false" ht="15.75" hidden="false" customHeight="false" outlineLevel="0" collapsed="false">
      <c r="A393" s="12"/>
      <c r="B393" s="12"/>
      <c r="C393" s="23" t="s">
        <v>1844</v>
      </c>
      <c r="D393" s="24"/>
      <c r="E393" s="25" t="s">
        <v>1845</v>
      </c>
      <c r="F393" s="17" t="s">
        <v>1846</v>
      </c>
      <c r="G393" s="17" t="s">
        <v>134</v>
      </c>
      <c r="H393" s="17"/>
      <c r="I393" s="26" t="s">
        <v>65</v>
      </c>
      <c r="J393" s="17" t="s">
        <v>244</v>
      </c>
      <c r="K393" s="17"/>
      <c r="L393" s="17"/>
      <c r="M393" s="27"/>
      <c r="N393" s="17"/>
      <c r="O393" s="17"/>
      <c r="P393" s="28" t="s">
        <v>46</v>
      </c>
      <c r="V393" s="60"/>
      <c r="AA393" s="63"/>
    </row>
    <row r="394" customFormat="false" ht="15.75" hidden="false" customHeight="false" outlineLevel="0" collapsed="false">
      <c r="A394" s="12"/>
      <c r="B394" s="12"/>
      <c r="C394" s="23" t="s">
        <v>1847</v>
      </c>
      <c r="D394" s="24"/>
      <c r="E394" s="25" t="s">
        <v>1848</v>
      </c>
      <c r="F394" s="17" t="s">
        <v>1849</v>
      </c>
      <c r="G394" s="17"/>
      <c r="H394" s="17"/>
      <c r="I394" s="17" t="s">
        <v>260</v>
      </c>
      <c r="J394" s="32" t="s">
        <v>1843</v>
      </c>
      <c r="K394" s="17"/>
      <c r="L394" s="17"/>
      <c r="M394" s="27"/>
      <c r="N394" s="17"/>
      <c r="O394" s="17"/>
      <c r="P394" s="40" t="s">
        <v>261</v>
      </c>
      <c r="Q394" s="12"/>
      <c r="R394" s="12"/>
      <c r="S394" s="12"/>
      <c r="T394" s="12"/>
      <c r="U394" s="12"/>
      <c r="V394" s="21"/>
      <c r="Z394" s="12"/>
      <c r="AA394" s="29"/>
      <c r="AB394" s="12"/>
      <c r="AC394" s="12"/>
      <c r="AD394" s="12"/>
      <c r="AE394" s="12"/>
    </row>
    <row r="395" customFormat="false" ht="15.75" hidden="false" customHeight="false" outlineLevel="0" collapsed="false">
      <c r="A395" s="12"/>
      <c r="B395" s="12"/>
      <c r="C395" s="23" t="s">
        <v>1850</v>
      </c>
      <c r="D395" s="24" t="s">
        <v>1851</v>
      </c>
      <c r="E395" s="25" t="s">
        <v>1852</v>
      </c>
      <c r="F395" s="17" t="s">
        <v>1853</v>
      </c>
      <c r="G395" s="17" t="s">
        <v>183</v>
      </c>
      <c r="H395" s="17"/>
      <c r="I395" s="17" t="s">
        <v>260</v>
      </c>
      <c r="J395" s="32" t="s">
        <v>1843</v>
      </c>
      <c r="K395" s="17"/>
      <c r="L395" s="17"/>
      <c r="M395" s="27"/>
      <c r="N395" s="17"/>
      <c r="O395" s="17"/>
      <c r="P395" s="40" t="s">
        <v>261</v>
      </c>
      <c r="Q395" s="12"/>
      <c r="R395" s="12"/>
      <c r="S395" s="12"/>
      <c r="T395" s="12"/>
      <c r="U395" s="12"/>
      <c r="V395" s="21"/>
      <c r="Z395" s="12"/>
      <c r="AA395" s="29"/>
      <c r="AB395" s="12"/>
      <c r="AC395" s="12"/>
      <c r="AD395" s="12"/>
      <c r="AE395" s="12"/>
    </row>
    <row r="396" customFormat="false" ht="15.75" hidden="false" customHeight="false" outlineLevel="0" collapsed="false">
      <c r="A396" s="12"/>
      <c r="B396" s="12"/>
      <c r="C396" s="23" t="s">
        <v>1854</v>
      </c>
      <c r="D396" s="24" t="s">
        <v>61</v>
      </c>
      <c r="E396" s="25" t="s">
        <v>1855</v>
      </c>
      <c r="F396" s="17" t="s">
        <v>1856</v>
      </c>
      <c r="G396" s="17"/>
      <c r="H396" s="17"/>
      <c r="I396" s="17" t="s">
        <v>260</v>
      </c>
      <c r="J396" s="32" t="s">
        <v>1843</v>
      </c>
      <c r="K396" s="17"/>
      <c r="L396" s="17"/>
      <c r="M396" s="27"/>
      <c r="N396" s="17"/>
      <c r="O396" s="17"/>
      <c r="P396" s="40" t="s">
        <v>261</v>
      </c>
      <c r="V396" s="60"/>
      <c r="AA396" s="63" t="n">
        <v>2</v>
      </c>
      <c r="AB396" s="47" t="s">
        <v>1857</v>
      </c>
      <c r="AC396" s="69" t="s">
        <v>1858</v>
      </c>
    </row>
    <row r="397" customFormat="false" ht="15.75" hidden="false" customHeight="false" outlineLevel="0" collapsed="false">
      <c r="A397" s="12" t="str">
        <f aca="false">IF((AA397&gt;=4), "Y", "N")</f>
        <v>Y</v>
      </c>
      <c r="B397" s="12"/>
      <c r="C397" s="23" t="s">
        <v>1859</v>
      </c>
      <c r="D397" s="24" t="s">
        <v>94</v>
      </c>
      <c r="E397" s="25" t="s">
        <v>1860</v>
      </c>
      <c r="F397" s="17" t="s">
        <v>1861</v>
      </c>
      <c r="G397" s="17" t="s">
        <v>368</v>
      </c>
      <c r="H397" s="17" t="s">
        <v>369</v>
      </c>
      <c r="I397" s="17" t="s">
        <v>36</v>
      </c>
      <c r="J397" s="17" t="s">
        <v>1843</v>
      </c>
      <c r="K397" s="17" t="n">
        <v>2010</v>
      </c>
      <c r="L397" s="38" t="s">
        <v>109</v>
      </c>
      <c r="M397" s="27"/>
      <c r="N397" s="37" t="s">
        <v>1862</v>
      </c>
      <c r="O397" s="17"/>
      <c r="P397" s="40" t="s">
        <v>111</v>
      </c>
      <c r="Q397" s="12"/>
      <c r="R397" s="12"/>
      <c r="S397" s="12"/>
      <c r="T397" s="12"/>
      <c r="U397" s="12"/>
      <c r="V397" s="21"/>
      <c r="Z397" s="12"/>
      <c r="AA397" s="29" t="n">
        <v>5</v>
      </c>
      <c r="AB397" s="12"/>
      <c r="AC397" s="12"/>
      <c r="AD397" s="12"/>
      <c r="AE397" s="12"/>
    </row>
    <row r="398" customFormat="false" ht="15.75" hidden="false" customHeight="false" outlineLevel="0" collapsed="false">
      <c r="A398" s="12"/>
      <c r="B398" s="12"/>
      <c r="C398" s="23" t="s">
        <v>1863</v>
      </c>
      <c r="D398" s="24"/>
      <c r="E398" s="25" t="s">
        <v>1852</v>
      </c>
      <c r="F398" s="17" t="s">
        <v>1864</v>
      </c>
      <c r="G398" s="17"/>
      <c r="H398" s="17"/>
      <c r="I398" s="17" t="s">
        <v>260</v>
      </c>
      <c r="J398" s="32" t="s">
        <v>1843</v>
      </c>
      <c r="K398" s="17"/>
      <c r="L398" s="17"/>
      <c r="M398" s="27"/>
      <c r="N398" s="17"/>
      <c r="O398" s="17"/>
      <c r="P398" s="40" t="s">
        <v>261</v>
      </c>
      <c r="Q398" s="12"/>
      <c r="R398" s="12"/>
      <c r="S398" s="12"/>
      <c r="T398" s="12"/>
      <c r="U398" s="12"/>
      <c r="V398" s="21"/>
      <c r="Z398" s="12"/>
      <c r="AA398" s="29"/>
      <c r="AB398" s="12"/>
      <c r="AC398" s="12"/>
      <c r="AD398" s="12"/>
      <c r="AE398" s="12"/>
    </row>
    <row r="399" customFormat="false" ht="15.75" hidden="false" customHeight="false" outlineLevel="0" collapsed="false">
      <c r="A399" s="12"/>
      <c r="B399" s="12"/>
      <c r="C399" s="23" t="s">
        <v>1865</v>
      </c>
      <c r="D399" s="24" t="s">
        <v>94</v>
      </c>
      <c r="E399" s="25" t="s">
        <v>1866</v>
      </c>
      <c r="F399" s="17" t="s">
        <v>1867</v>
      </c>
      <c r="G399" s="17" t="s">
        <v>1868</v>
      </c>
      <c r="H399" s="17" t="s">
        <v>72</v>
      </c>
      <c r="I399" s="17" t="s">
        <v>36</v>
      </c>
      <c r="J399" s="17" t="s">
        <v>1843</v>
      </c>
      <c r="K399" s="17" t="n">
        <v>2011</v>
      </c>
      <c r="L399" s="38" t="s">
        <v>99</v>
      </c>
      <c r="M399" s="27"/>
      <c r="N399" s="17"/>
      <c r="O399" s="17"/>
      <c r="P399" s="40" t="s">
        <v>111</v>
      </c>
      <c r="Q399" s="12"/>
      <c r="R399" s="12"/>
      <c r="S399" s="12"/>
      <c r="T399" s="12"/>
      <c r="U399" s="12"/>
      <c r="V399" s="21"/>
      <c r="Z399" s="12"/>
      <c r="AA399" s="29" t="n">
        <v>3</v>
      </c>
      <c r="AB399" s="12"/>
      <c r="AC399" s="12"/>
      <c r="AD399" s="12"/>
      <c r="AE399" s="12"/>
    </row>
    <row r="400" customFormat="false" ht="15.75" hidden="false" customHeight="false" outlineLevel="0" collapsed="false">
      <c r="A400" s="12" t="s">
        <v>31</v>
      </c>
      <c r="B400" s="12" t="s">
        <v>32</v>
      </c>
      <c r="C400" s="23" t="s">
        <v>1869</v>
      </c>
      <c r="D400" s="24" t="s">
        <v>94</v>
      </c>
      <c r="E400" s="25" t="s">
        <v>1870</v>
      </c>
      <c r="F400" s="17" t="s">
        <v>1871</v>
      </c>
      <c r="G400" s="17" t="s">
        <v>754</v>
      </c>
      <c r="H400" s="17"/>
      <c r="I400" s="26" t="s">
        <v>166</v>
      </c>
      <c r="J400" s="17" t="s">
        <v>1843</v>
      </c>
      <c r="K400" s="17"/>
      <c r="L400" s="17"/>
      <c r="M400" s="27"/>
      <c r="N400" s="17"/>
      <c r="O400" s="17"/>
      <c r="P400" s="28" t="s">
        <v>59</v>
      </c>
      <c r="V400" s="60"/>
      <c r="AA400" s="63" t="n">
        <v>4</v>
      </c>
      <c r="AB400" s="17" t="s">
        <v>1872</v>
      </c>
    </row>
    <row r="401" customFormat="false" ht="15.75" hidden="false" customHeight="false" outlineLevel="0" collapsed="false">
      <c r="A401" s="12" t="str">
        <f aca="false">IF((AA401&gt;=4), "Y", "N")</f>
        <v>Y</v>
      </c>
      <c r="B401" s="13"/>
      <c r="C401" s="31" t="s">
        <v>1873</v>
      </c>
      <c r="D401" s="16" t="s">
        <v>94</v>
      </c>
      <c r="E401" s="32" t="s">
        <v>1874</v>
      </c>
      <c r="F401" s="32" t="s">
        <v>1875</v>
      </c>
      <c r="G401" s="32" t="s">
        <v>71</v>
      </c>
      <c r="H401" s="17" t="s">
        <v>72</v>
      </c>
      <c r="I401" s="17" t="s">
        <v>36</v>
      </c>
      <c r="J401" s="32" t="s">
        <v>1843</v>
      </c>
      <c r="K401" s="33" t="n">
        <v>2006</v>
      </c>
      <c r="L401" s="33" t="s">
        <v>73</v>
      </c>
      <c r="M401" s="27"/>
      <c r="N401" s="34" t="s">
        <v>1876</v>
      </c>
      <c r="O401" s="17"/>
      <c r="P401" s="19" t="s">
        <v>76</v>
      </c>
      <c r="Q401" s="17"/>
      <c r="R401" s="17" t="s">
        <v>1877</v>
      </c>
      <c r="S401" s="17"/>
      <c r="T401" s="17" t="s">
        <v>1878</v>
      </c>
      <c r="U401" s="17"/>
      <c r="V401" s="21" t="s">
        <v>31</v>
      </c>
      <c r="Z401" s="17"/>
      <c r="AA401" s="22" t="str">
        <f aca="false">IF(P401="OD500 US (submitted)", "5", " ")</f>
        <v>5</v>
      </c>
      <c r="AB401" s="17"/>
      <c r="AC401" s="17"/>
      <c r="AD401" s="17"/>
      <c r="AE401" s="17"/>
    </row>
    <row r="402" customFormat="false" ht="15.75" hidden="false" customHeight="false" outlineLevel="0" collapsed="false">
      <c r="A402" s="12"/>
      <c r="B402" s="12"/>
      <c r="C402" s="23" t="s">
        <v>1879</v>
      </c>
      <c r="D402" s="16" t="s">
        <v>94</v>
      </c>
      <c r="E402" s="25" t="s">
        <v>1880</v>
      </c>
      <c r="F402" s="17" t="s">
        <v>1881</v>
      </c>
      <c r="G402" s="17"/>
      <c r="H402" s="17"/>
      <c r="I402" s="17" t="s">
        <v>260</v>
      </c>
      <c r="J402" s="32" t="s">
        <v>1843</v>
      </c>
      <c r="K402" s="17"/>
      <c r="L402" s="17"/>
      <c r="M402" s="27"/>
      <c r="N402" s="27"/>
      <c r="O402" s="17"/>
      <c r="P402" s="40" t="s">
        <v>261</v>
      </c>
      <c r="Q402" s="17"/>
      <c r="R402" s="17"/>
      <c r="S402" s="17"/>
      <c r="T402" s="17"/>
      <c r="U402" s="17"/>
      <c r="V402" s="27"/>
      <c r="Z402" s="17"/>
      <c r="AA402" s="29"/>
      <c r="AB402" s="17"/>
      <c r="AC402" s="17"/>
      <c r="AD402" s="17"/>
      <c r="AE402" s="17"/>
    </row>
    <row r="403" customFormat="false" ht="15.75" hidden="false" customHeight="false" outlineLevel="0" collapsed="false">
      <c r="A403" s="12"/>
      <c r="B403" s="12"/>
      <c r="C403" s="23" t="s">
        <v>1882</v>
      </c>
      <c r="D403" s="16" t="s">
        <v>94</v>
      </c>
      <c r="E403" s="25" t="s">
        <v>1883</v>
      </c>
      <c r="F403" s="17" t="s">
        <v>1884</v>
      </c>
      <c r="G403" s="17"/>
      <c r="H403" s="17"/>
      <c r="I403" s="17" t="s">
        <v>260</v>
      </c>
      <c r="J403" s="32" t="s">
        <v>1843</v>
      </c>
      <c r="K403" s="17"/>
      <c r="L403" s="17"/>
      <c r="M403" s="27"/>
      <c r="N403" s="17"/>
      <c r="O403" s="17"/>
      <c r="P403" s="40" t="s">
        <v>261</v>
      </c>
      <c r="Q403" s="17"/>
      <c r="R403" s="17"/>
      <c r="S403" s="17"/>
      <c r="T403" s="17"/>
      <c r="U403" s="17"/>
      <c r="V403" s="27"/>
      <c r="Z403" s="17"/>
      <c r="AA403" s="29"/>
      <c r="AB403" s="17"/>
      <c r="AC403" s="17"/>
      <c r="AD403" s="17"/>
      <c r="AE403" s="17"/>
    </row>
    <row r="404" customFormat="false" ht="15.75" hidden="false" customHeight="false" outlineLevel="0" collapsed="false">
      <c r="A404" s="12"/>
      <c r="B404" s="12"/>
      <c r="C404" s="23" t="s">
        <v>1885</v>
      </c>
      <c r="D404" s="16" t="s">
        <v>94</v>
      </c>
      <c r="E404" s="25" t="s">
        <v>1886</v>
      </c>
      <c r="F404" s="17" t="s">
        <v>1887</v>
      </c>
      <c r="G404" s="17"/>
      <c r="H404" s="17"/>
      <c r="I404" s="17" t="s">
        <v>260</v>
      </c>
      <c r="J404" s="32" t="s">
        <v>1843</v>
      </c>
      <c r="K404" s="17"/>
      <c r="L404" s="17"/>
      <c r="M404" s="27"/>
      <c r="N404" s="17"/>
      <c r="O404" s="17"/>
      <c r="P404" s="40" t="s">
        <v>261</v>
      </c>
      <c r="Q404" s="12"/>
      <c r="R404" s="12"/>
      <c r="S404" s="12"/>
      <c r="T404" s="12"/>
      <c r="U404" s="12"/>
      <c r="V404" s="21"/>
      <c r="Z404" s="12"/>
      <c r="AA404" s="29"/>
      <c r="AB404" s="12"/>
      <c r="AC404" s="12"/>
      <c r="AD404" s="12"/>
      <c r="AE404" s="12"/>
    </row>
    <row r="405" customFormat="false" ht="15.75" hidden="false" customHeight="false" outlineLevel="0" collapsed="false">
      <c r="A405" s="12" t="str">
        <f aca="false">IF((AA405&gt;=4), "Y", "N")</f>
        <v>Y</v>
      </c>
      <c r="B405" s="13"/>
      <c r="C405" s="31" t="s">
        <v>1888</v>
      </c>
      <c r="D405" s="16" t="s">
        <v>94</v>
      </c>
      <c r="E405" s="32" t="s">
        <v>1889</v>
      </c>
      <c r="F405" s="32" t="s">
        <v>1890</v>
      </c>
      <c r="G405" s="32" t="s">
        <v>296</v>
      </c>
      <c r="H405" s="17" t="s">
        <v>297</v>
      </c>
      <c r="I405" s="17" t="s">
        <v>36</v>
      </c>
      <c r="J405" s="32" t="s">
        <v>1843</v>
      </c>
      <c r="K405" s="33" t="n">
        <v>2011</v>
      </c>
      <c r="L405" s="33" t="s">
        <v>99</v>
      </c>
      <c r="M405" s="27"/>
      <c r="N405" s="37" t="s">
        <v>348</v>
      </c>
      <c r="O405" s="17"/>
      <c r="P405" s="19" t="s">
        <v>76</v>
      </c>
      <c r="R405" s="0" t="s">
        <v>1891</v>
      </c>
      <c r="T405" s="0" t="s">
        <v>1892</v>
      </c>
      <c r="V405" s="21" t="s">
        <v>31</v>
      </c>
      <c r="AA405" s="63" t="s">
        <v>478</v>
      </c>
    </row>
    <row r="406" customFormat="false" ht="15.75" hidden="false" customHeight="false" outlineLevel="0" collapsed="false">
      <c r="A406" s="12" t="str">
        <f aca="false">IF((AA406&gt;=4), "Y", "N")</f>
        <v>Y</v>
      </c>
      <c r="B406" s="13"/>
      <c r="C406" s="31" t="s">
        <v>1893</v>
      </c>
      <c r="D406" s="16" t="s">
        <v>94</v>
      </c>
      <c r="E406" s="53" t="s">
        <v>1894</v>
      </c>
      <c r="F406" s="32" t="s">
        <v>1895</v>
      </c>
      <c r="G406" s="32" t="s">
        <v>145</v>
      </c>
      <c r="H406" s="17" t="s">
        <v>146</v>
      </c>
      <c r="I406" s="17" t="s">
        <v>36</v>
      </c>
      <c r="J406" s="32" t="s">
        <v>1843</v>
      </c>
      <c r="K406" s="33" t="n">
        <v>2011</v>
      </c>
      <c r="L406" s="33" t="s">
        <v>109</v>
      </c>
      <c r="M406" s="27"/>
      <c r="N406" s="37" t="s">
        <v>1896</v>
      </c>
      <c r="O406" s="17"/>
      <c r="P406" s="19" t="s">
        <v>76</v>
      </c>
      <c r="Q406" s="12"/>
      <c r="R406" s="12" t="s">
        <v>1897</v>
      </c>
      <c r="S406" s="12"/>
      <c r="T406" s="12" t="s">
        <v>1898</v>
      </c>
      <c r="U406" s="12"/>
      <c r="V406" s="21" t="s">
        <v>31</v>
      </c>
      <c r="Z406" s="12"/>
      <c r="AA406" s="22" t="str">
        <f aca="false">IF(P406="OD500 US (submitted)", "5", " ")</f>
        <v>5</v>
      </c>
      <c r="AB406" s="12"/>
      <c r="AC406" s="12"/>
      <c r="AD406" s="12"/>
      <c r="AE406" s="12"/>
    </row>
    <row r="407" customFormat="false" ht="15.75" hidden="false" customHeight="false" outlineLevel="0" collapsed="false">
      <c r="A407" s="12"/>
      <c r="B407" s="12"/>
      <c r="C407" s="23" t="s">
        <v>1899</v>
      </c>
      <c r="D407" s="24"/>
      <c r="E407" s="25" t="s">
        <v>1900</v>
      </c>
      <c r="F407" s="17" t="s">
        <v>1901</v>
      </c>
      <c r="G407" s="17"/>
      <c r="H407" s="17"/>
      <c r="I407" s="17" t="s">
        <v>260</v>
      </c>
      <c r="J407" s="32" t="s">
        <v>1843</v>
      </c>
      <c r="K407" s="17"/>
      <c r="L407" s="17"/>
      <c r="M407" s="27"/>
      <c r="N407" s="17"/>
      <c r="O407" s="17"/>
      <c r="P407" s="40" t="s">
        <v>261</v>
      </c>
      <c r="V407" s="60"/>
      <c r="AA407" s="63"/>
    </row>
    <row r="408" customFormat="false" ht="15.75" hidden="false" customHeight="false" outlineLevel="0" collapsed="false">
      <c r="A408" s="12" t="str">
        <f aca="false">IF((AA408&gt;=4), "Y", "N")</f>
        <v>Y</v>
      </c>
      <c r="B408" s="13"/>
      <c r="C408" s="31" t="s">
        <v>1902</v>
      </c>
      <c r="D408" s="16" t="s">
        <v>94</v>
      </c>
      <c r="E408" s="32" t="s">
        <v>1903</v>
      </c>
      <c r="F408" s="32" t="s">
        <v>1904</v>
      </c>
      <c r="G408" s="32" t="s">
        <v>1905</v>
      </c>
      <c r="H408" s="17" t="s">
        <v>72</v>
      </c>
      <c r="I408" s="17" t="s">
        <v>36</v>
      </c>
      <c r="J408" s="32" t="s">
        <v>1843</v>
      </c>
      <c r="K408" s="33" t="n">
        <v>2010</v>
      </c>
      <c r="L408" s="33" t="s">
        <v>109</v>
      </c>
      <c r="M408" s="27"/>
      <c r="N408" s="37" t="s">
        <v>1906</v>
      </c>
      <c r="O408" s="17"/>
      <c r="P408" s="19" t="s">
        <v>76</v>
      </c>
      <c r="Q408" s="12"/>
      <c r="R408" s="12" t="s">
        <v>1907</v>
      </c>
      <c r="S408" s="12"/>
      <c r="T408" s="12" t="s">
        <v>1908</v>
      </c>
      <c r="U408" s="12"/>
      <c r="V408" s="21" t="s">
        <v>31</v>
      </c>
      <c r="Z408" s="12"/>
      <c r="AA408" s="22" t="str">
        <f aca="false">IF(P408="OD500 US (submitted)", "5", " ")</f>
        <v>5</v>
      </c>
      <c r="AB408" s="12"/>
      <c r="AC408" s="12"/>
      <c r="AD408" s="12"/>
      <c r="AE408" s="12"/>
    </row>
    <row r="409" customFormat="false" ht="15.75" hidden="false" customHeight="false" outlineLevel="0" collapsed="false">
      <c r="A409" s="12" t="str">
        <f aca="false">IF((AA409&gt;=4), "Y", "N")</f>
        <v>Y</v>
      </c>
      <c r="B409" s="12"/>
      <c r="C409" s="23" t="s">
        <v>1909</v>
      </c>
      <c r="D409" s="24" t="s">
        <v>94</v>
      </c>
      <c r="E409" s="25" t="s">
        <v>1910</v>
      </c>
      <c r="F409" s="17" t="s">
        <v>1911</v>
      </c>
      <c r="G409" s="17" t="s">
        <v>1131</v>
      </c>
      <c r="H409" s="17" t="s">
        <v>353</v>
      </c>
      <c r="I409" s="17" t="s">
        <v>36</v>
      </c>
      <c r="J409" s="17" t="s">
        <v>1843</v>
      </c>
      <c r="K409" s="17" t="n">
        <v>1987</v>
      </c>
      <c r="L409" s="33" t="s">
        <v>275</v>
      </c>
      <c r="M409" s="27"/>
      <c r="N409" s="17" t="s">
        <v>478</v>
      </c>
      <c r="O409" s="17"/>
      <c r="P409" s="40" t="s">
        <v>111</v>
      </c>
      <c r="Q409" s="17"/>
      <c r="R409" s="17"/>
      <c r="S409" s="17"/>
      <c r="T409" s="17"/>
      <c r="U409" s="17"/>
      <c r="V409" s="27"/>
      <c r="Z409" s="17"/>
      <c r="AA409" s="29" t="n">
        <v>5</v>
      </c>
      <c r="AB409" s="17"/>
      <c r="AC409" s="17"/>
      <c r="AD409" s="17"/>
      <c r="AE409" s="17"/>
    </row>
    <row r="410" customFormat="false" ht="15.75" hidden="false" customHeight="false" outlineLevel="0" collapsed="false">
      <c r="A410" s="12"/>
      <c r="B410" s="12"/>
      <c r="C410" s="23" t="s">
        <v>1912</v>
      </c>
      <c r="D410" s="24" t="s">
        <v>94</v>
      </c>
      <c r="E410" s="25" t="s">
        <v>1913</v>
      </c>
      <c r="F410" s="17" t="s">
        <v>1914</v>
      </c>
      <c r="G410" s="17"/>
      <c r="H410" s="17"/>
      <c r="I410" s="17" t="s">
        <v>260</v>
      </c>
      <c r="J410" s="32" t="s">
        <v>1843</v>
      </c>
      <c r="K410" s="17"/>
      <c r="L410" s="17"/>
      <c r="M410" s="27"/>
      <c r="N410" s="17"/>
      <c r="O410" s="17"/>
      <c r="P410" s="40" t="s">
        <v>261</v>
      </c>
      <c r="Q410" s="12"/>
      <c r="R410" s="12"/>
      <c r="S410" s="12"/>
      <c r="T410" s="12"/>
      <c r="U410" s="12"/>
      <c r="V410" s="21"/>
      <c r="Z410" s="12"/>
      <c r="AA410" s="29"/>
      <c r="AB410" s="12"/>
      <c r="AC410" s="12"/>
      <c r="AD410" s="12"/>
      <c r="AE410" s="12"/>
    </row>
    <row r="411" customFormat="false" ht="15.75" hidden="false" customHeight="false" outlineLevel="0" collapsed="false">
      <c r="A411" s="12"/>
      <c r="B411" s="12"/>
      <c r="C411" s="23" t="s">
        <v>1915</v>
      </c>
      <c r="D411" s="24" t="s">
        <v>94</v>
      </c>
      <c r="E411" s="17"/>
      <c r="F411" s="17" t="s">
        <v>1916</v>
      </c>
      <c r="G411" s="17"/>
      <c r="H411" s="17"/>
      <c r="I411" s="17" t="s">
        <v>260</v>
      </c>
      <c r="J411" s="32" t="s">
        <v>1843</v>
      </c>
      <c r="K411" s="17"/>
      <c r="L411" s="17"/>
      <c r="M411" s="27"/>
      <c r="N411" s="17"/>
      <c r="O411" s="17"/>
      <c r="P411" s="40" t="s">
        <v>261</v>
      </c>
      <c r="Q411" s="12"/>
      <c r="R411" s="12"/>
      <c r="S411" s="12"/>
      <c r="T411" s="12"/>
      <c r="U411" s="12"/>
      <c r="V411" s="21"/>
      <c r="Z411" s="12"/>
      <c r="AA411" s="29"/>
      <c r="AB411" s="12"/>
      <c r="AC411" s="12"/>
      <c r="AD411" s="12"/>
      <c r="AE411" s="12"/>
    </row>
    <row r="412" customFormat="false" ht="15.75" hidden="false" customHeight="false" outlineLevel="0" collapsed="false">
      <c r="A412" s="12"/>
      <c r="B412" s="12"/>
      <c r="C412" s="23" t="s">
        <v>1917</v>
      </c>
      <c r="D412" s="24" t="s">
        <v>94</v>
      </c>
      <c r="E412" s="25" t="s">
        <v>1918</v>
      </c>
      <c r="F412" s="17" t="s">
        <v>1919</v>
      </c>
      <c r="G412" s="17"/>
      <c r="H412" s="17"/>
      <c r="I412" s="17" t="s">
        <v>260</v>
      </c>
      <c r="J412" s="32" t="s">
        <v>1843</v>
      </c>
      <c r="K412" s="17"/>
      <c r="L412" s="17"/>
      <c r="M412" s="27"/>
      <c r="N412" s="17"/>
      <c r="O412" s="17"/>
      <c r="P412" s="40" t="s">
        <v>261</v>
      </c>
      <c r="Q412" s="12"/>
      <c r="R412" s="12"/>
      <c r="S412" s="12"/>
      <c r="T412" s="12"/>
      <c r="U412" s="12"/>
      <c r="V412" s="21"/>
      <c r="Z412" s="12"/>
      <c r="AA412" s="29"/>
      <c r="AB412" s="12"/>
      <c r="AC412" s="12"/>
      <c r="AD412" s="12"/>
      <c r="AE412" s="12"/>
    </row>
    <row r="413" customFormat="false" ht="15.75" hidden="false" customHeight="false" outlineLevel="0" collapsed="false">
      <c r="A413" s="12" t="str">
        <f aca="false">IF((AA413&gt;=4), "Y", "N")</f>
        <v>Y</v>
      </c>
      <c r="B413" s="12"/>
      <c r="C413" s="23" t="s">
        <v>1920</v>
      </c>
      <c r="D413" s="24" t="s">
        <v>94</v>
      </c>
      <c r="E413" s="25" t="s">
        <v>1921</v>
      </c>
      <c r="F413" s="17" t="s">
        <v>1922</v>
      </c>
      <c r="G413" s="17" t="s">
        <v>1923</v>
      </c>
      <c r="H413" s="17" t="s">
        <v>297</v>
      </c>
      <c r="I413" s="17" t="s">
        <v>36</v>
      </c>
      <c r="J413" s="17" t="s">
        <v>1843</v>
      </c>
      <c r="K413" s="17" t="n">
        <v>2009</v>
      </c>
      <c r="L413" s="38" t="s">
        <v>73</v>
      </c>
      <c r="M413" s="27"/>
      <c r="N413" s="37" t="s">
        <v>1924</v>
      </c>
      <c r="O413" s="17"/>
      <c r="P413" s="40" t="s">
        <v>111</v>
      </c>
      <c r="Q413" s="17"/>
      <c r="R413" s="17"/>
      <c r="S413" s="17"/>
      <c r="T413" s="17"/>
      <c r="U413" s="17"/>
      <c r="V413" s="27"/>
      <c r="Z413" s="17"/>
      <c r="AA413" s="29" t="n">
        <v>5</v>
      </c>
      <c r="AB413" s="17"/>
      <c r="AC413" s="17"/>
      <c r="AD413" s="17"/>
      <c r="AE413" s="17"/>
    </row>
    <row r="414" customFormat="false" ht="15.75" hidden="false" customHeight="false" outlineLevel="0" collapsed="false">
      <c r="A414" s="12" t="str">
        <f aca="false">IF((AA414&gt;=4), "Y", "N")</f>
        <v>Y</v>
      </c>
      <c r="B414" s="13"/>
      <c r="C414" s="31" t="s">
        <v>1925</v>
      </c>
      <c r="D414" s="16" t="s">
        <v>51</v>
      </c>
      <c r="E414" s="32" t="s">
        <v>1926</v>
      </c>
      <c r="F414" s="17" t="s">
        <v>1927</v>
      </c>
      <c r="G414" s="17"/>
      <c r="H414" s="17"/>
      <c r="I414" s="26" t="s">
        <v>266</v>
      </c>
      <c r="J414" s="32" t="s">
        <v>1843</v>
      </c>
      <c r="K414" s="33" t="n">
        <v>2014</v>
      </c>
      <c r="L414" s="33" t="s">
        <v>109</v>
      </c>
      <c r="M414" s="27"/>
      <c r="N414" s="17" t="s">
        <v>1928</v>
      </c>
      <c r="O414" s="17"/>
      <c r="P414" s="40" t="s">
        <v>268</v>
      </c>
      <c r="Q414" s="12"/>
      <c r="R414" s="12"/>
      <c r="S414" s="12"/>
      <c r="T414" s="12"/>
      <c r="U414" s="12"/>
      <c r="V414" s="21"/>
      <c r="Z414" s="12"/>
      <c r="AA414" s="29" t="str">
        <f aca="false">IF(P414="OD500 MX", "5", " ")</f>
        <v>5</v>
      </c>
      <c r="AB414" s="12"/>
      <c r="AC414" s="12"/>
      <c r="AD414" s="12"/>
      <c r="AE414" s="12"/>
    </row>
    <row r="415" customFormat="false" ht="15.75" hidden="false" customHeight="false" outlineLevel="0" collapsed="false">
      <c r="A415" s="12" t="str">
        <f aca="false">IF((AA415&gt;=4), "Y", "N")</f>
        <v>Y</v>
      </c>
      <c r="B415" s="13"/>
      <c r="C415" s="31" t="s">
        <v>1929</v>
      </c>
      <c r="D415" s="16" t="s">
        <v>94</v>
      </c>
      <c r="E415" s="32" t="s">
        <v>1930</v>
      </c>
      <c r="F415" s="32" t="s">
        <v>1931</v>
      </c>
      <c r="G415" s="32" t="s">
        <v>71</v>
      </c>
      <c r="H415" s="17" t="s">
        <v>72</v>
      </c>
      <c r="I415" s="17" t="s">
        <v>36</v>
      </c>
      <c r="J415" s="32" t="s">
        <v>1843</v>
      </c>
      <c r="K415" s="33" t="n">
        <v>2010</v>
      </c>
      <c r="L415" s="33" t="s">
        <v>109</v>
      </c>
      <c r="M415" s="27"/>
      <c r="N415" s="37" t="s">
        <v>1342</v>
      </c>
      <c r="O415" s="17"/>
      <c r="P415" s="19" t="s">
        <v>76</v>
      </c>
      <c r="R415" s="0" t="s">
        <v>1932</v>
      </c>
      <c r="T415" s="0" t="s">
        <v>1933</v>
      </c>
      <c r="V415" s="21" t="s">
        <v>31</v>
      </c>
      <c r="AA415" s="63" t="s">
        <v>478</v>
      </c>
    </row>
    <row r="416" customFormat="false" ht="15.75" hidden="false" customHeight="false" outlineLevel="0" collapsed="false">
      <c r="A416" s="12" t="str">
        <f aca="false">IF((AA416&gt;=4), "Y", "N")</f>
        <v>Y</v>
      </c>
      <c r="B416" s="13"/>
      <c r="C416" s="31" t="s">
        <v>1934</v>
      </c>
      <c r="D416" s="16" t="s">
        <v>94</v>
      </c>
      <c r="E416" s="32" t="s">
        <v>1935</v>
      </c>
      <c r="F416" s="32" t="s">
        <v>1936</v>
      </c>
      <c r="G416" s="32" t="s">
        <v>1937</v>
      </c>
      <c r="H416" s="26" t="s">
        <v>72</v>
      </c>
      <c r="I416" s="17" t="s">
        <v>36</v>
      </c>
      <c r="J416" s="32" t="s">
        <v>1843</v>
      </c>
      <c r="K416" s="33" t="n">
        <v>2004</v>
      </c>
      <c r="L416" s="33" t="s">
        <v>99</v>
      </c>
      <c r="M416" s="27"/>
      <c r="N416" s="17" t="s">
        <v>1938</v>
      </c>
      <c r="O416" s="17"/>
      <c r="P416" s="19" t="s">
        <v>76</v>
      </c>
      <c r="Q416" s="12"/>
      <c r="R416" s="12" t="s">
        <v>1939</v>
      </c>
      <c r="S416" s="12"/>
      <c r="T416" s="12" t="s">
        <v>1940</v>
      </c>
      <c r="U416" s="12"/>
      <c r="V416" s="21" t="s">
        <v>31</v>
      </c>
      <c r="Z416" s="12"/>
      <c r="AA416" s="22" t="str">
        <f aca="false">IF(P416="OD500 US (submitted)", "5", " ")</f>
        <v>5</v>
      </c>
      <c r="AB416" s="12"/>
      <c r="AC416" s="12"/>
      <c r="AD416" s="12"/>
      <c r="AE416" s="12"/>
    </row>
    <row r="417" customFormat="false" ht="15.75" hidden="false" customHeight="false" outlineLevel="0" collapsed="false">
      <c r="A417" s="12" t="str">
        <f aca="false">IF((AA417&gt;=4), "Y", "N")</f>
        <v>Y</v>
      </c>
      <c r="B417" s="13"/>
      <c r="C417" s="31" t="s">
        <v>1941</v>
      </c>
      <c r="D417" s="24" t="s">
        <v>94</v>
      </c>
      <c r="E417" s="32" t="s">
        <v>1942</v>
      </c>
      <c r="F417" s="17" t="s">
        <v>1943</v>
      </c>
      <c r="G417" s="17"/>
      <c r="H417" s="17"/>
      <c r="I417" s="26" t="s">
        <v>266</v>
      </c>
      <c r="J417" s="32" t="s">
        <v>1843</v>
      </c>
      <c r="K417" s="33" t="n">
        <v>1995</v>
      </c>
      <c r="L417" s="33" t="s">
        <v>99</v>
      </c>
      <c r="M417" s="27"/>
      <c r="N417" s="17" t="s">
        <v>1944</v>
      </c>
      <c r="O417" s="17"/>
      <c r="P417" s="40" t="s">
        <v>268</v>
      </c>
      <c r="Q417" s="20"/>
      <c r="R417" s="20"/>
      <c r="S417" s="20"/>
      <c r="T417" s="20"/>
      <c r="U417" s="20"/>
      <c r="V417" s="45"/>
      <c r="Z417" s="20"/>
      <c r="AA417" s="29" t="str">
        <f aca="false">IF(P417="OD500 MX", "5", " ")</f>
        <v>5</v>
      </c>
      <c r="AB417" s="20"/>
      <c r="AC417" s="20"/>
      <c r="AD417" s="20"/>
      <c r="AE417" s="20"/>
    </row>
    <row r="418" customFormat="false" ht="15.75" hidden="false" customHeight="false" outlineLevel="0" collapsed="false">
      <c r="A418" s="12" t="str">
        <f aca="false">IF((AA418&gt;=4), "Y", "N")</f>
        <v>Y</v>
      </c>
      <c r="B418" s="12"/>
      <c r="C418" s="23" t="s">
        <v>1945</v>
      </c>
      <c r="D418" s="24" t="s">
        <v>94</v>
      </c>
      <c r="E418" s="25" t="s">
        <v>1946</v>
      </c>
      <c r="F418" s="17" t="s">
        <v>1947</v>
      </c>
      <c r="G418" s="17" t="s">
        <v>296</v>
      </c>
      <c r="H418" s="26" t="s">
        <v>297</v>
      </c>
      <c r="I418" s="17" t="s">
        <v>36</v>
      </c>
      <c r="J418" s="17" t="s">
        <v>1843</v>
      </c>
      <c r="K418" s="17" t="n">
        <v>2008</v>
      </c>
      <c r="L418" s="38" t="s">
        <v>482</v>
      </c>
      <c r="M418" s="27"/>
      <c r="N418" s="39" t="s">
        <v>1948</v>
      </c>
      <c r="O418" s="17"/>
      <c r="P418" s="40" t="s">
        <v>111</v>
      </c>
      <c r="Q418" s="12"/>
      <c r="R418" s="12"/>
      <c r="S418" s="12"/>
      <c r="T418" s="12"/>
      <c r="U418" s="12"/>
      <c r="V418" s="21"/>
      <c r="Z418" s="12"/>
      <c r="AA418" s="29" t="n">
        <v>5</v>
      </c>
      <c r="AB418" s="12"/>
      <c r="AC418" s="12"/>
      <c r="AD418" s="12"/>
      <c r="AE418" s="12"/>
    </row>
    <row r="419" customFormat="false" ht="15.75" hidden="false" customHeight="false" outlineLevel="0" collapsed="false">
      <c r="A419" s="12" t="str">
        <f aca="false">IF((AA419&gt;=4), "Y", "N")</f>
        <v>Y</v>
      </c>
      <c r="B419" s="12"/>
      <c r="C419" s="23" t="s">
        <v>1949</v>
      </c>
      <c r="D419" s="24" t="s">
        <v>94</v>
      </c>
      <c r="E419" s="25" t="s">
        <v>1950</v>
      </c>
      <c r="F419" s="17" t="s">
        <v>1951</v>
      </c>
      <c r="G419" s="17" t="s">
        <v>389</v>
      </c>
      <c r="H419" s="26" t="s">
        <v>390</v>
      </c>
      <c r="I419" s="17" t="s">
        <v>36</v>
      </c>
      <c r="J419" s="17" t="s">
        <v>1843</v>
      </c>
      <c r="K419" s="17" t="n">
        <v>1986</v>
      </c>
      <c r="L419" s="38" t="s">
        <v>99</v>
      </c>
      <c r="M419" s="27"/>
      <c r="N419" s="17"/>
      <c r="O419" s="17"/>
      <c r="P419" s="40" t="s">
        <v>111</v>
      </c>
      <c r="Q419" s="12"/>
      <c r="R419" s="12"/>
      <c r="S419" s="12"/>
      <c r="T419" s="12"/>
      <c r="U419" s="12"/>
      <c r="V419" s="21"/>
      <c r="Z419" s="12"/>
      <c r="AA419" s="29" t="n">
        <v>5</v>
      </c>
      <c r="AB419" s="12"/>
      <c r="AC419" s="12"/>
      <c r="AD419" s="12"/>
      <c r="AE419" s="12"/>
    </row>
    <row r="420" customFormat="false" ht="15.75" hidden="false" customHeight="false" outlineLevel="0" collapsed="false">
      <c r="A420" s="12"/>
      <c r="B420" s="12"/>
      <c r="C420" s="23" t="s">
        <v>1952</v>
      </c>
      <c r="D420" s="24"/>
      <c r="E420" s="17"/>
      <c r="F420" s="17"/>
      <c r="G420" s="17"/>
      <c r="H420" s="17"/>
      <c r="I420" s="17" t="s">
        <v>260</v>
      </c>
      <c r="J420" s="32" t="s">
        <v>1843</v>
      </c>
      <c r="K420" s="17"/>
      <c r="L420" s="17"/>
      <c r="M420" s="27"/>
      <c r="N420" s="17"/>
      <c r="O420" s="17"/>
      <c r="P420" s="40" t="s">
        <v>261</v>
      </c>
      <c r="Q420" s="12"/>
      <c r="R420" s="12"/>
      <c r="S420" s="12"/>
      <c r="T420" s="12"/>
      <c r="U420" s="12"/>
      <c r="V420" s="21"/>
      <c r="Z420" s="12"/>
      <c r="AA420" s="29"/>
      <c r="AB420" s="12"/>
      <c r="AC420" s="12"/>
      <c r="AD420" s="12"/>
      <c r="AE420" s="12"/>
    </row>
    <row r="421" customFormat="false" ht="15.75" hidden="false" customHeight="false" outlineLevel="0" collapsed="false">
      <c r="A421" s="12" t="str">
        <f aca="false">IF((AA421&gt;=4), "Y", "N")</f>
        <v>Y</v>
      </c>
      <c r="B421" s="13"/>
      <c r="C421" s="31" t="s">
        <v>1953</v>
      </c>
      <c r="D421" s="16" t="s">
        <v>94</v>
      </c>
      <c r="E421" s="32" t="s">
        <v>1954</v>
      </c>
      <c r="F421" s="32" t="s">
        <v>1955</v>
      </c>
      <c r="G421" s="32" t="s">
        <v>71</v>
      </c>
      <c r="H421" s="26" t="s">
        <v>72</v>
      </c>
      <c r="I421" s="17" t="s">
        <v>36</v>
      </c>
      <c r="J421" s="32" t="s">
        <v>1843</v>
      </c>
      <c r="K421" s="33" t="n">
        <v>2011</v>
      </c>
      <c r="L421" s="33" t="s">
        <v>109</v>
      </c>
      <c r="M421" s="27"/>
      <c r="N421" s="39" t="s">
        <v>1342</v>
      </c>
      <c r="O421" s="17"/>
      <c r="P421" s="19" t="s">
        <v>76</v>
      </c>
      <c r="Q421" s="12"/>
      <c r="R421" s="12" t="s">
        <v>1956</v>
      </c>
      <c r="S421" s="12"/>
      <c r="T421" s="12" t="s">
        <v>1957</v>
      </c>
      <c r="U421" s="12"/>
      <c r="V421" s="21" t="s">
        <v>31</v>
      </c>
      <c r="Z421" s="12"/>
      <c r="AA421" s="22" t="str">
        <f aca="false">IF(P421="OD500 US (submitted)", "5", " ")</f>
        <v>5</v>
      </c>
      <c r="AB421" s="12"/>
      <c r="AC421" s="12"/>
      <c r="AD421" s="12"/>
      <c r="AE421" s="12"/>
    </row>
    <row r="422" customFormat="false" ht="15.75" hidden="false" customHeight="false" outlineLevel="0" collapsed="false">
      <c r="A422" s="12" t="str">
        <f aca="false">IF((AA422&gt;=4), "Y", "N")</f>
        <v>Y</v>
      </c>
      <c r="B422" s="12"/>
      <c r="C422" s="23" t="s">
        <v>1958</v>
      </c>
      <c r="D422" s="24" t="s">
        <v>94</v>
      </c>
      <c r="E422" s="25" t="s">
        <v>1959</v>
      </c>
      <c r="F422" s="17" t="s">
        <v>1960</v>
      </c>
      <c r="G422" s="17" t="s">
        <v>71</v>
      </c>
      <c r="H422" s="26" t="s">
        <v>72</v>
      </c>
      <c r="I422" s="17" t="s">
        <v>36</v>
      </c>
      <c r="J422" s="17" t="s">
        <v>1843</v>
      </c>
      <c r="K422" s="17" t="n">
        <v>2009</v>
      </c>
      <c r="L422" s="38" t="s">
        <v>99</v>
      </c>
      <c r="M422" s="27"/>
      <c r="N422" s="39" t="s">
        <v>1961</v>
      </c>
      <c r="O422" s="17"/>
      <c r="P422" s="40" t="s">
        <v>111</v>
      </c>
      <c r="Q422" s="12"/>
      <c r="R422" s="12"/>
      <c r="S422" s="12"/>
      <c r="T422" s="12"/>
      <c r="U422" s="12"/>
      <c r="V422" s="21"/>
      <c r="Z422" s="12"/>
      <c r="AA422" s="29" t="n">
        <v>4</v>
      </c>
      <c r="AB422" s="12"/>
      <c r="AC422" s="12"/>
      <c r="AD422" s="12"/>
      <c r="AE422" s="12"/>
    </row>
    <row r="423" customFormat="false" ht="15.75" hidden="false" customHeight="false" outlineLevel="0" collapsed="false">
      <c r="A423" s="12"/>
      <c r="B423" s="12"/>
      <c r="C423" s="23" t="s">
        <v>1962</v>
      </c>
      <c r="D423" s="24" t="s">
        <v>94</v>
      </c>
      <c r="E423" s="25" t="s">
        <v>1963</v>
      </c>
      <c r="F423" s="17" t="s">
        <v>1964</v>
      </c>
      <c r="G423" s="17" t="s">
        <v>1965</v>
      </c>
      <c r="H423" s="26" t="s">
        <v>376</v>
      </c>
      <c r="I423" s="17" t="s">
        <v>36</v>
      </c>
      <c r="J423" s="17" t="s">
        <v>1843</v>
      </c>
      <c r="K423" s="17" t="n">
        <v>2008</v>
      </c>
      <c r="L423" s="38" t="s">
        <v>109</v>
      </c>
      <c r="M423" s="27"/>
      <c r="N423" s="17"/>
      <c r="O423" s="17"/>
      <c r="P423" s="40" t="s">
        <v>111</v>
      </c>
      <c r="Q423" s="17"/>
      <c r="R423" s="17"/>
      <c r="S423" s="17"/>
      <c r="T423" s="17"/>
      <c r="U423" s="17"/>
      <c r="V423" s="27"/>
      <c r="Z423" s="17"/>
      <c r="AA423" s="29" t="n">
        <v>3</v>
      </c>
      <c r="AB423" s="17"/>
      <c r="AC423" s="17"/>
      <c r="AD423" s="17"/>
      <c r="AE423" s="17"/>
    </row>
    <row r="424" customFormat="false" ht="15.75" hidden="false" customHeight="false" outlineLevel="0" collapsed="false">
      <c r="A424" s="12"/>
      <c r="B424" s="12"/>
      <c r="C424" s="23" t="s">
        <v>1966</v>
      </c>
      <c r="D424" s="24" t="s">
        <v>94</v>
      </c>
      <c r="E424" s="25" t="s">
        <v>1967</v>
      </c>
      <c r="F424" s="17" t="s">
        <v>1968</v>
      </c>
      <c r="G424" s="17" t="s">
        <v>296</v>
      </c>
      <c r="H424" s="26" t="s">
        <v>297</v>
      </c>
      <c r="I424" s="17" t="s">
        <v>36</v>
      </c>
      <c r="J424" s="17" t="s">
        <v>1843</v>
      </c>
      <c r="K424" s="17" t="n">
        <v>2000</v>
      </c>
      <c r="L424" s="38" t="s">
        <v>73</v>
      </c>
      <c r="M424" s="27"/>
      <c r="N424" s="17"/>
      <c r="O424" s="17"/>
      <c r="P424" s="40" t="s">
        <v>111</v>
      </c>
      <c r="Q424" s="17"/>
      <c r="R424" s="17"/>
      <c r="S424" s="17"/>
      <c r="T424" s="17"/>
      <c r="U424" s="17"/>
      <c r="V424" s="27"/>
      <c r="Z424" s="17"/>
      <c r="AA424" s="29" t="n">
        <v>3</v>
      </c>
      <c r="AB424" s="17"/>
      <c r="AC424" s="17"/>
      <c r="AD424" s="17"/>
      <c r="AE424" s="17"/>
    </row>
    <row r="425" customFormat="false" ht="15.75" hidden="false" customHeight="false" outlineLevel="0" collapsed="false">
      <c r="A425" s="12" t="str">
        <f aca="false">IF((AA425&gt;=4), "Y", "N")</f>
        <v>Y</v>
      </c>
      <c r="B425" s="13"/>
      <c r="C425" s="31" t="s">
        <v>1969</v>
      </c>
      <c r="D425" s="16" t="s">
        <v>94</v>
      </c>
      <c r="E425" s="32" t="s">
        <v>1970</v>
      </c>
      <c r="F425" s="32" t="s">
        <v>1971</v>
      </c>
      <c r="G425" s="32" t="s">
        <v>1972</v>
      </c>
      <c r="H425" s="26" t="s">
        <v>341</v>
      </c>
      <c r="I425" s="17" t="s">
        <v>36</v>
      </c>
      <c r="J425" s="32" t="s">
        <v>1843</v>
      </c>
      <c r="K425" s="33" t="n">
        <v>2009</v>
      </c>
      <c r="L425" s="33" t="s">
        <v>109</v>
      </c>
      <c r="M425" s="27"/>
      <c r="N425" s="39" t="s">
        <v>1973</v>
      </c>
      <c r="O425" s="17"/>
      <c r="P425" s="19" t="s">
        <v>76</v>
      </c>
      <c r="Q425" s="12"/>
      <c r="R425" s="12" t="s">
        <v>1974</v>
      </c>
      <c r="S425" s="12"/>
      <c r="T425" s="12" t="s">
        <v>1975</v>
      </c>
      <c r="U425" s="12"/>
      <c r="V425" s="21" t="s">
        <v>31</v>
      </c>
      <c r="Z425" s="12"/>
      <c r="AA425" s="22" t="str">
        <f aca="false">IF(P425="OD500 US (submitted)", "5", " ")</f>
        <v>5</v>
      </c>
      <c r="AB425" s="12"/>
      <c r="AC425" s="12"/>
      <c r="AD425" s="12"/>
      <c r="AE425" s="12"/>
    </row>
    <row r="426" customFormat="false" ht="15.75" hidden="false" customHeight="false" outlineLevel="0" collapsed="false">
      <c r="A426" s="12" t="str">
        <f aca="false">IF((AA426&gt;=4), "Y", "N")</f>
        <v>Y</v>
      </c>
      <c r="B426" s="12"/>
      <c r="C426" s="23" t="s">
        <v>1976</v>
      </c>
      <c r="D426" s="24" t="s">
        <v>94</v>
      </c>
      <c r="E426" s="25" t="s">
        <v>1977</v>
      </c>
      <c r="F426" s="17" t="s">
        <v>1978</v>
      </c>
      <c r="G426" s="17" t="s">
        <v>1979</v>
      </c>
      <c r="H426" s="26" t="s">
        <v>72</v>
      </c>
      <c r="I426" s="17" t="s">
        <v>36</v>
      </c>
      <c r="J426" s="17" t="s">
        <v>1843</v>
      </c>
      <c r="K426" s="17" t="n">
        <v>2010</v>
      </c>
      <c r="L426" s="38" t="s">
        <v>99</v>
      </c>
      <c r="M426" s="27"/>
      <c r="N426" s="39" t="s">
        <v>1342</v>
      </c>
      <c r="O426" s="17"/>
      <c r="P426" s="40" t="s">
        <v>111</v>
      </c>
      <c r="Q426" s="12"/>
      <c r="R426" s="12"/>
      <c r="S426" s="12"/>
      <c r="T426" s="12"/>
      <c r="U426" s="12"/>
      <c r="V426" s="21"/>
      <c r="Z426" s="12"/>
      <c r="AA426" s="29" t="n">
        <v>5</v>
      </c>
      <c r="AB426" s="12"/>
      <c r="AC426" s="12"/>
      <c r="AD426" s="12"/>
      <c r="AE426" s="12"/>
    </row>
    <row r="427" customFormat="false" ht="15.75" hidden="false" customHeight="false" outlineLevel="0" collapsed="false">
      <c r="A427" s="12"/>
      <c r="B427" s="12"/>
      <c r="C427" s="23" t="s">
        <v>1980</v>
      </c>
      <c r="D427" s="24" t="s">
        <v>94</v>
      </c>
      <c r="E427" s="25" t="s">
        <v>1981</v>
      </c>
      <c r="F427" s="17" t="s">
        <v>1982</v>
      </c>
      <c r="G427" s="17" t="s">
        <v>296</v>
      </c>
      <c r="H427" s="26" t="s">
        <v>297</v>
      </c>
      <c r="I427" s="17" t="s">
        <v>36</v>
      </c>
      <c r="J427" s="17" t="s">
        <v>1843</v>
      </c>
      <c r="K427" s="17" t="n">
        <v>2009</v>
      </c>
      <c r="L427" s="38" t="s">
        <v>99</v>
      </c>
      <c r="M427" s="27"/>
      <c r="N427" s="17"/>
      <c r="O427" s="17"/>
      <c r="P427" s="40" t="s">
        <v>111</v>
      </c>
      <c r="Q427" s="20"/>
      <c r="R427" s="20"/>
      <c r="S427" s="20"/>
      <c r="T427" s="20"/>
      <c r="U427" s="20"/>
      <c r="V427" s="45"/>
      <c r="Z427" s="20"/>
      <c r="AA427" s="22" t="n">
        <v>3</v>
      </c>
      <c r="AB427" s="20"/>
      <c r="AC427" s="20"/>
      <c r="AD427" s="20"/>
      <c r="AE427" s="20"/>
    </row>
    <row r="428" customFormat="false" ht="15.75" hidden="false" customHeight="false" outlineLevel="0" collapsed="false">
      <c r="A428" s="12" t="str">
        <f aca="false">IF((AA428&gt;=4), "Y", "N")</f>
        <v>Y</v>
      </c>
      <c r="B428" s="13"/>
      <c r="C428" s="31" t="s">
        <v>1983</v>
      </c>
      <c r="D428" s="16" t="s">
        <v>94</v>
      </c>
      <c r="E428" s="32" t="s">
        <v>1984</v>
      </c>
      <c r="F428" s="32" t="s">
        <v>1985</v>
      </c>
      <c r="G428" s="32" t="s">
        <v>1986</v>
      </c>
      <c r="H428" s="26" t="s">
        <v>1030</v>
      </c>
      <c r="I428" s="17" t="s">
        <v>36</v>
      </c>
      <c r="J428" s="32" t="s">
        <v>1843</v>
      </c>
      <c r="K428" s="33" t="n">
        <v>2010</v>
      </c>
      <c r="L428" s="33" t="s">
        <v>99</v>
      </c>
      <c r="M428" s="27"/>
      <c r="N428" s="44" t="s">
        <v>1342</v>
      </c>
      <c r="O428" s="17"/>
      <c r="P428" s="19" t="s">
        <v>76</v>
      </c>
      <c r="Q428" s="20"/>
      <c r="R428" s="20" t="s">
        <v>1987</v>
      </c>
      <c r="S428" s="20"/>
      <c r="T428" s="20" t="s">
        <v>1988</v>
      </c>
      <c r="U428" s="20"/>
      <c r="V428" s="21" t="s">
        <v>31</v>
      </c>
      <c r="Z428" s="20"/>
      <c r="AA428" s="22" t="str">
        <f aca="false">IF(P428="OD500 US (submitted)", "5", " ")</f>
        <v>5</v>
      </c>
      <c r="AB428" s="20"/>
      <c r="AC428" s="20"/>
      <c r="AD428" s="20"/>
      <c r="AE428" s="20"/>
    </row>
    <row r="429" customFormat="false" ht="15.75" hidden="false" customHeight="false" outlineLevel="0" collapsed="false">
      <c r="A429" s="12"/>
      <c r="B429" s="12"/>
      <c r="C429" s="23" t="s">
        <v>1989</v>
      </c>
      <c r="D429" s="24" t="s">
        <v>94</v>
      </c>
      <c r="E429" s="25" t="s">
        <v>1990</v>
      </c>
      <c r="F429" s="17" t="s">
        <v>1991</v>
      </c>
      <c r="G429" s="17" t="s">
        <v>1992</v>
      </c>
      <c r="H429" s="26" t="s">
        <v>72</v>
      </c>
      <c r="I429" s="17" t="s">
        <v>36</v>
      </c>
      <c r="J429" s="17" t="s">
        <v>1843</v>
      </c>
      <c r="K429" s="17" t="n">
        <v>2009</v>
      </c>
      <c r="L429" s="38" t="s">
        <v>330</v>
      </c>
      <c r="M429" s="27"/>
      <c r="N429" s="17"/>
      <c r="O429" s="17"/>
      <c r="P429" s="40" t="s">
        <v>111</v>
      </c>
      <c r="Q429" s="20"/>
      <c r="R429" s="20"/>
      <c r="S429" s="20"/>
      <c r="T429" s="20"/>
      <c r="U429" s="20"/>
      <c r="V429" s="45"/>
      <c r="Z429" s="20"/>
      <c r="AA429" s="22" t="n">
        <v>3</v>
      </c>
      <c r="AB429" s="20"/>
      <c r="AC429" s="20"/>
      <c r="AD429" s="20"/>
      <c r="AE429" s="20"/>
    </row>
    <row r="430" customFormat="false" ht="15.75" hidden="false" customHeight="false" outlineLevel="0" collapsed="false">
      <c r="A430" s="12"/>
      <c r="B430" s="12"/>
      <c r="C430" s="23" t="s">
        <v>1993</v>
      </c>
      <c r="D430" s="24"/>
      <c r="E430" s="17"/>
      <c r="F430" s="17"/>
      <c r="G430" s="17"/>
      <c r="H430" s="17"/>
      <c r="I430" s="17" t="s">
        <v>260</v>
      </c>
      <c r="J430" s="32" t="s">
        <v>1843</v>
      </c>
      <c r="K430" s="17"/>
      <c r="L430" s="17"/>
      <c r="M430" s="27"/>
      <c r="N430" s="17"/>
      <c r="O430" s="17"/>
      <c r="P430" s="40" t="s">
        <v>261</v>
      </c>
      <c r="Q430" s="20"/>
      <c r="R430" s="20"/>
      <c r="S430" s="20"/>
      <c r="T430" s="20"/>
      <c r="U430" s="20"/>
      <c r="V430" s="45"/>
      <c r="Z430" s="20"/>
      <c r="AA430" s="22"/>
      <c r="AB430" s="20"/>
      <c r="AC430" s="20"/>
      <c r="AD430" s="20"/>
      <c r="AE430" s="20"/>
    </row>
    <row r="431" customFormat="false" ht="15.75" hidden="false" customHeight="false" outlineLevel="0" collapsed="false">
      <c r="A431" s="12"/>
      <c r="B431" s="12"/>
      <c r="C431" s="23" t="s">
        <v>1994</v>
      </c>
      <c r="D431" s="24" t="s">
        <v>94</v>
      </c>
      <c r="E431" s="25" t="s">
        <v>1995</v>
      </c>
      <c r="F431" s="17" t="s">
        <v>1996</v>
      </c>
      <c r="G431" s="17" t="s">
        <v>1997</v>
      </c>
      <c r="H431" s="26" t="s">
        <v>72</v>
      </c>
      <c r="I431" s="17" t="s">
        <v>36</v>
      </c>
      <c r="J431" s="17" t="s">
        <v>1843</v>
      </c>
      <c r="K431" s="17" t="n">
        <v>2006</v>
      </c>
      <c r="L431" s="38" t="s">
        <v>109</v>
      </c>
      <c r="M431" s="27"/>
      <c r="N431" s="17"/>
      <c r="O431" s="17"/>
      <c r="P431" s="40" t="s">
        <v>111</v>
      </c>
      <c r="Q431" s="12"/>
      <c r="R431" s="12"/>
      <c r="S431" s="12"/>
      <c r="T431" s="12"/>
      <c r="U431" s="12"/>
      <c r="V431" s="21"/>
      <c r="Z431" s="12"/>
      <c r="AA431" s="29" t="n">
        <v>1</v>
      </c>
      <c r="AB431" s="12"/>
      <c r="AC431" s="12"/>
      <c r="AD431" s="12"/>
      <c r="AE431" s="12"/>
    </row>
    <row r="432" customFormat="false" ht="15.75" hidden="false" customHeight="false" outlineLevel="0" collapsed="false">
      <c r="A432" s="12" t="str">
        <f aca="false">IF((AA432&gt;=4), "Y", "N")</f>
        <v>Y</v>
      </c>
      <c r="B432" s="13"/>
      <c r="C432" s="31" t="s">
        <v>1998</v>
      </c>
      <c r="D432" s="16" t="s">
        <v>94</v>
      </c>
      <c r="E432" s="32" t="s">
        <v>1999</v>
      </c>
      <c r="F432" s="32" t="s">
        <v>2000</v>
      </c>
      <c r="G432" s="32" t="s">
        <v>2001</v>
      </c>
      <c r="H432" s="26" t="s">
        <v>146</v>
      </c>
      <c r="I432" s="17" t="s">
        <v>36</v>
      </c>
      <c r="J432" s="32" t="s">
        <v>1843</v>
      </c>
      <c r="K432" s="33" t="n">
        <v>2013</v>
      </c>
      <c r="L432" s="33" t="s">
        <v>109</v>
      </c>
      <c r="M432" s="27"/>
      <c r="N432" s="39" t="s">
        <v>1342</v>
      </c>
      <c r="O432" s="17"/>
      <c r="P432" s="19" t="s">
        <v>76</v>
      </c>
      <c r="Q432" s="12"/>
      <c r="R432" s="12" t="s">
        <v>2002</v>
      </c>
      <c r="S432" s="12"/>
      <c r="T432" s="12" t="s">
        <v>2003</v>
      </c>
      <c r="U432" s="12"/>
      <c r="V432" s="21" t="s">
        <v>31</v>
      </c>
      <c r="Z432" s="12"/>
      <c r="AA432" s="22" t="str">
        <f aca="false">IF(P432="OD500 US (submitted)", "5", " ")</f>
        <v>5</v>
      </c>
      <c r="AB432" s="12"/>
      <c r="AC432" s="12"/>
      <c r="AD432" s="12"/>
      <c r="AE432" s="12"/>
    </row>
    <row r="433" customFormat="false" ht="15.75" hidden="false" customHeight="false" outlineLevel="0" collapsed="false">
      <c r="A433" s="12"/>
      <c r="B433" s="12"/>
      <c r="C433" s="23" t="s">
        <v>2004</v>
      </c>
      <c r="D433" s="16" t="s">
        <v>94</v>
      </c>
      <c r="E433" s="25" t="s">
        <v>2005</v>
      </c>
      <c r="F433" s="17"/>
      <c r="G433" s="17"/>
      <c r="H433" s="17"/>
      <c r="I433" s="17" t="s">
        <v>260</v>
      </c>
      <c r="J433" s="32" t="s">
        <v>1843</v>
      </c>
      <c r="K433" s="17"/>
      <c r="L433" s="17"/>
      <c r="M433" s="27"/>
      <c r="N433" s="17"/>
      <c r="O433" s="17"/>
      <c r="P433" s="40" t="s">
        <v>261</v>
      </c>
      <c r="Q433" s="12"/>
      <c r="R433" s="12"/>
      <c r="S433" s="12"/>
      <c r="T433" s="12"/>
      <c r="U433" s="12"/>
      <c r="V433" s="21"/>
      <c r="Z433" s="12"/>
      <c r="AA433" s="29"/>
      <c r="AB433" s="12"/>
      <c r="AC433" s="12"/>
      <c r="AD433" s="12"/>
      <c r="AE433" s="12"/>
    </row>
    <row r="434" customFormat="false" ht="15.75" hidden="false" customHeight="false" outlineLevel="0" collapsed="false">
      <c r="A434" s="12"/>
      <c r="B434" s="12"/>
      <c r="C434" s="23" t="s">
        <v>2006</v>
      </c>
      <c r="D434" s="16" t="s">
        <v>94</v>
      </c>
      <c r="E434" s="25" t="s">
        <v>2007</v>
      </c>
      <c r="F434" s="17" t="s">
        <v>2008</v>
      </c>
      <c r="G434" s="17"/>
      <c r="H434" s="17"/>
      <c r="I434" s="17" t="s">
        <v>260</v>
      </c>
      <c r="J434" s="32" t="s">
        <v>2009</v>
      </c>
      <c r="K434" s="17"/>
      <c r="L434" s="17"/>
      <c r="M434" s="27"/>
      <c r="N434" s="17"/>
      <c r="O434" s="17"/>
      <c r="P434" s="40" t="s">
        <v>261</v>
      </c>
      <c r="Q434" s="12"/>
      <c r="R434" s="12"/>
      <c r="S434" s="12"/>
      <c r="T434" s="12"/>
      <c r="U434" s="12"/>
      <c r="V434" s="21"/>
      <c r="Z434" s="12"/>
      <c r="AA434" s="29"/>
      <c r="AB434" s="12"/>
      <c r="AC434" s="12"/>
      <c r="AD434" s="12"/>
      <c r="AE434" s="12"/>
    </row>
    <row r="435" customFormat="false" ht="15.75" hidden="false" customHeight="false" outlineLevel="0" collapsed="false">
      <c r="A435" s="12"/>
      <c r="B435" s="12"/>
      <c r="C435" s="23" t="s">
        <v>2010</v>
      </c>
      <c r="D435" s="16" t="s">
        <v>94</v>
      </c>
      <c r="E435" s="25" t="s">
        <v>2011</v>
      </c>
      <c r="F435" s="17" t="s">
        <v>2012</v>
      </c>
      <c r="G435" s="17" t="s">
        <v>1986</v>
      </c>
      <c r="H435" s="26" t="s">
        <v>1030</v>
      </c>
      <c r="I435" s="17" t="s">
        <v>36</v>
      </c>
      <c r="J435" s="17" t="s">
        <v>1843</v>
      </c>
      <c r="K435" s="17" t="n">
        <v>2004</v>
      </c>
      <c r="L435" s="38" t="s">
        <v>73</v>
      </c>
      <c r="M435" s="27"/>
      <c r="N435" s="17"/>
      <c r="O435" s="17"/>
      <c r="P435" s="40" t="s">
        <v>111</v>
      </c>
      <c r="Q435" s="12"/>
      <c r="R435" s="12"/>
      <c r="S435" s="12"/>
      <c r="T435" s="12"/>
      <c r="U435" s="12"/>
      <c r="V435" s="21"/>
      <c r="Z435" s="12"/>
      <c r="AA435" s="29" t="n">
        <v>3</v>
      </c>
      <c r="AB435" s="12"/>
      <c r="AC435" s="12"/>
      <c r="AD435" s="12"/>
      <c r="AE435" s="12"/>
    </row>
    <row r="436" customFormat="false" ht="15.75" hidden="false" customHeight="false" outlineLevel="0" collapsed="false">
      <c r="A436" s="12" t="str">
        <f aca="false">IF((AA436&gt;=4), "Y", "N")</f>
        <v>Y</v>
      </c>
      <c r="B436" s="13"/>
      <c r="C436" s="31" t="s">
        <v>2013</v>
      </c>
      <c r="D436" s="16" t="s">
        <v>94</v>
      </c>
      <c r="E436" s="32" t="s">
        <v>2014</v>
      </c>
      <c r="F436" s="32" t="s">
        <v>2015</v>
      </c>
      <c r="G436" s="32" t="s">
        <v>2016</v>
      </c>
      <c r="H436" s="26" t="s">
        <v>423</v>
      </c>
      <c r="I436" s="17" t="s">
        <v>36</v>
      </c>
      <c r="J436" s="32" t="s">
        <v>1843</v>
      </c>
      <c r="K436" s="33" t="n">
        <v>2005</v>
      </c>
      <c r="L436" s="33" t="s">
        <v>109</v>
      </c>
      <c r="M436" s="27"/>
      <c r="N436" s="39" t="s">
        <v>2017</v>
      </c>
      <c r="O436" s="17"/>
      <c r="P436" s="19" t="s">
        <v>76</v>
      </c>
      <c r="Q436" s="12"/>
      <c r="R436" s="12" t="s">
        <v>2018</v>
      </c>
      <c r="S436" s="12"/>
      <c r="T436" s="12" t="s">
        <v>2019</v>
      </c>
      <c r="U436" s="12"/>
      <c r="V436" s="21" t="s">
        <v>31</v>
      </c>
      <c r="Z436" s="12"/>
      <c r="AA436" s="22" t="str">
        <f aca="false">IF(P436="OD500 US (submitted)", "5", " ")</f>
        <v>5</v>
      </c>
      <c r="AB436" s="12"/>
      <c r="AC436" s="12"/>
      <c r="AD436" s="12"/>
      <c r="AE436" s="12"/>
    </row>
    <row r="437" customFormat="false" ht="15.75" hidden="false" customHeight="false" outlineLevel="0" collapsed="false">
      <c r="A437" s="12" t="str">
        <f aca="false">IF((AA437&gt;=4), "Y", "N")</f>
        <v>Y</v>
      </c>
      <c r="B437" s="12"/>
      <c r="C437" s="23" t="s">
        <v>2020</v>
      </c>
      <c r="D437" s="24" t="s">
        <v>94</v>
      </c>
      <c r="E437" s="25" t="s">
        <v>2021</v>
      </c>
      <c r="F437" s="17" t="s">
        <v>2022</v>
      </c>
      <c r="G437" s="17" t="s">
        <v>1611</v>
      </c>
      <c r="H437" s="26" t="s">
        <v>297</v>
      </c>
      <c r="I437" s="17" t="s">
        <v>36</v>
      </c>
      <c r="J437" s="17" t="s">
        <v>1843</v>
      </c>
      <c r="K437" s="17" t="n">
        <v>2010</v>
      </c>
      <c r="L437" s="33"/>
      <c r="M437" s="27"/>
      <c r="N437" s="39" t="s">
        <v>2023</v>
      </c>
      <c r="O437" s="17"/>
      <c r="P437" s="40" t="s">
        <v>111</v>
      </c>
      <c r="Q437" s="12"/>
      <c r="R437" s="12"/>
      <c r="S437" s="12"/>
      <c r="T437" s="12"/>
      <c r="U437" s="12"/>
      <c r="V437" s="21"/>
      <c r="Z437" s="12"/>
      <c r="AA437" s="29" t="n">
        <v>4</v>
      </c>
      <c r="AB437" s="12"/>
      <c r="AC437" s="12"/>
      <c r="AD437" s="12"/>
      <c r="AE437" s="12"/>
    </row>
    <row r="438" customFormat="false" ht="15.75" hidden="false" customHeight="false" outlineLevel="0" collapsed="false">
      <c r="A438" s="12"/>
      <c r="B438" s="12"/>
      <c r="C438" s="23" t="s">
        <v>2024</v>
      </c>
      <c r="D438" s="24" t="s">
        <v>94</v>
      </c>
      <c r="E438" s="25" t="s">
        <v>1841</v>
      </c>
      <c r="F438" s="17" t="s">
        <v>2025</v>
      </c>
      <c r="G438" s="17" t="s">
        <v>405</v>
      </c>
      <c r="H438" s="26" t="s">
        <v>72</v>
      </c>
      <c r="I438" s="17" t="s">
        <v>36</v>
      </c>
      <c r="J438" s="17" t="s">
        <v>1843</v>
      </c>
      <c r="K438" s="17" t="n">
        <v>2008</v>
      </c>
      <c r="L438" s="38" t="s">
        <v>99</v>
      </c>
      <c r="M438" s="27"/>
      <c r="N438" s="39" t="s">
        <v>2026</v>
      </c>
      <c r="O438" s="17"/>
      <c r="P438" s="40" t="s">
        <v>111</v>
      </c>
      <c r="Q438" s="12"/>
      <c r="R438" s="12"/>
      <c r="S438" s="12"/>
      <c r="T438" s="12"/>
      <c r="U438" s="12"/>
      <c r="V438" s="21"/>
      <c r="Z438" s="12"/>
      <c r="AA438" s="29" t="n">
        <v>5</v>
      </c>
      <c r="AB438" s="12"/>
      <c r="AC438" s="12"/>
      <c r="AD438" s="12"/>
      <c r="AE438" s="12"/>
    </row>
    <row r="439" customFormat="false" ht="15.75" hidden="false" customHeight="false" outlineLevel="0" collapsed="false">
      <c r="A439" s="12"/>
      <c r="B439" s="12"/>
      <c r="C439" s="23" t="s">
        <v>2027</v>
      </c>
      <c r="D439" s="24" t="s">
        <v>94</v>
      </c>
      <c r="E439" s="25" t="s">
        <v>2028</v>
      </c>
      <c r="F439" s="17" t="s">
        <v>2029</v>
      </c>
      <c r="G439" s="17" t="s">
        <v>963</v>
      </c>
      <c r="H439" s="26" t="s">
        <v>72</v>
      </c>
      <c r="I439" s="17" t="s">
        <v>36</v>
      </c>
      <c r="J439" s="17" t="s">
        <v>1843</v>
      </c>
      <c r="K439" s="17" t="n">
        <v>2010</v>
      </c>
      <c r="L439" s="38" t="s">
        <v>109</v>
      </c>
      <c r="M439" s="27"/>
      <c r="N439" s="39" t="s">
        <v>1342</v>
      </c>
      <c r="O439" s="17"/>
      <c r="P439" s="40" t="s">
        <v>111</v>
      </c>
      <c r="Q439" s="12"/>
      <c r="R439" s="12"/>
      <c r="S439" s="12"/>
      <c r="T439" s="12"/>
      <c r="U439" s="12"/>
      <c r="V439" s="21"/>
      <c r="Z439" s="12"/>
      <c r="AA439" s="29" t="n">
        <v>5</v>
      </c>
      <c r="AB439" s="12"/>
      <c r="AC439" s="12"/>
      <c r="AD439" s="12"/>
      <c r="AE439" s="12"/>
    </row>
    <row r="440" customFormat="false" ht="15.75" hidden="false" customHeight="false" outlineLevel="0" collapsed="false">
      <c r="A440" s="12"/>
      <c r="B440" s="12"/>
      <c r="C440" s="23" t="s">
        <v>2030</v>
      </c>
      <c r="D440" s="24"/>
      <c r="E440" s="25" t="s">
        <v>2031</v>
      </c>
      <c r="F440" s="17"/>
      <c r="G440" s="17"/>
      <c r="H440" s="17"/>
      <c r="I440" s="26" t="s">
        <v>45</v>
      </c>
      <c r="J440" s="17"/>
      <c r="K440" s="17"/>
      <c r="L440" s="17"/>
      <c r="M440" s="27"/>
      <c r="N440" s="17"/>
      <c r="O440" s="17"/>
      <c r="P440" s="28" t="s">
        <v>46</v>
      </c>
      <c r="Q440" s="12"/>
      <c r="R440" s="12"/>
      <c r="S440" s="12"/>
      <c r="T440" s="12"/>
      <c r="U440" s="12"/>
      <c r="V440" s="21"/>
      <c r="Z440" s="12"/>
      <c r="AA440" s="29"/>
      <c r="AB440" s="12"/>
      <c r="AC440" s="12"/>
      <c r="AD440" s="12"/>
      <c r="AE440" s="12"/>
    </row>
    <row r="441" customFormat="false" ht="15.75" hidden="false" customHeight="false" outlineLevel="0" collapsed="false">
      <c r="A441" s="12"/>
      <c r="B441" s="20"/>
      <c r="C441" s="48" t="s">
        <v>2032</v>
      </c>
      <c r="D441" s="24" t="s">
        <v>61</v>
      </c>
      <c r="E441" s="49" t="s">
        <v>2033</v>
      </c>
      <c r="F441" s="49" t="s">
        <v>2034</v>
      </c>
      <c r="G441" s="17"/>
      <c r="H441" s="17"/>
      <c r="I441" s="26" t="s">
        <v>166</v>
      </c>
      <c r="J441" s="32" t="s">
        <v>2035</v>
      </c>
      <c r="K441" s="17"/>
      <c r="L441" s="17"/>
      <c r="M441" s="50"/>
      <c r="N441" s="17"/>
      <c r="O441" s="17"/>
      <c r="P441" s="40" t="s">
        <v>168</v>
      </c>
      <c r="Q441" s="12"/>
      <c r="R441" s="12" t="s">
        <v>2036</v>
      </c>
      <c r="S441" s="12"/>
      <c r="T441" s="12"/>
      <c r="U441" s="12" t="s">
        <v>2037</v>
      </c>
      <c r="V441" s="21" t="s">
        <v>31</v>
      </c>
      <c r="Z441" s="12"/>
      <c r="AA441" s="29" t="n">
        <v>3</v>
      </c>
      <c r="AB441" s="12" t="s">
        <v>2038</v>
      </c>
      <c r="AC441" s="12"/>
      <c r="AD441" s="12"/>
      <c r="AE441" s="12"/>
      <c r="AF441" s="12"/>
      <c r="AG441" s="12"/>
    </row>
    <row r="442" customFormat="false" ht="15.75" hidden="false" customHeight="false" outlineLevel="0" collapsed="false">
      <c r="A442" s="12" t="str">
        <f aca="false">IF((AA442&gt;=4), "Y", "N")</f>
        <v>Y</v>
      </c>
      <c r="B442" s="13"/>
      <c r="C442" s="31" t="s">
        <v>2039</v>
      </c>
      <c r="D442" s="16" t="s">
        <v>51</v>
      </c>
      <c r="E442" s="32" t="s">
        <v>2040</v>
      </c>
      <c r="F442" s="32" t="s">
        <v>2041</v>
      </c>
      <c r="G442" s="32" t="s">
        <v>988</v>
      </c>
      <c r="H442" s="17" t="s">
        <v>72</v>
      </c>
      <c r="I442" s="17" t="s">
        <v>36</v>
      </c>
      <c r="J442" s="47" t="s">
        <v>2035</v>
      </c>
      <c r="K442" s="33" t="n">
        <v>2007</v>
      </c>
      <c r="L442" s="33" t="s">
        <v>109</v>
      </c>
      <c r="M442" s="27"/>
      <c r="N442" s="37" t="s">
        <v>1342</v>
      </c>
      <c r="O442" s="17"/>
      <c r="P442" s="19" t="s">
        <v>76</v>
      </c>
      <c r="Q442" s="17"/>
      <c r="R442" s="17" t="s">
        <v>2042</v>
      </c>
      <c r="S442" s="17"/>
      <c r="T442" s="17" t="s">
        <v>2043</v>
      </c>
      <c r="U442" s="17"/>
      <c r="V442" s="21" t="s">
        <v>31</v>
      </c>
      <c r="Z442" s="17"/>
      <c r="AA442" s="22" t="str">
        <f aca="false">IF(P442="OD500 US (submitted)", "5", " ")</f>
        <v>5</v>
      </c>
      <c r="AB442" s="17"/>
      <c r="AC442" s="17"/>
      <c r="AD442" s="17"/>
      <c r="AE442" s="17"/>
    </row>
    <row r="443" customFormat="false" ht="15.75" hidden="false" customHeight="false" outlineLevel="0" collapsed="false">
      <c r="A443" s="12"/>
      <c r="B443" s="12"/>
      <c r="C443" s="23" t="s">
        <v>2044</v>
      </c>
      <c r="D443" s="24" t="s">
        <v>51</v>
      </c>
      <c r="E443" s="25" t="s">
        <v>2045</v>
      </c>
      <c r="F443" s="17" t="s">
        <v>2046</v>
      </c>
      <c r="G443" s="17" t="s">
        <v>130</v>
      </c>
      <c r="H443" s="17"/>
      <c r="I443" s="17" t="s">
        <v>131</v>
      </c>
      <c r="J443" s="17" t="s">
        <v>2035</v>
      </c>
      <c r="K443" s="17"/>
      <c r="L443" s="17"/>
      <c r="M443" s="27"/>
      <c r="N443" s="17"/>
      <c r="O443" s="17"/>
      <c r="P443" s="28" t="s">
        <v>46</v>
      </c>
      <c r="Q443" s="20"/>
      <c r="R443" s="20"/>
      <c r="S443" s="20"/>
      <c r="T443" s="20"/>
      <c r="U443" s="20"/>
      <c r="V443" s="45"/>
      <c r="Z443" s="20"/>
      <c r="AA443" s="22"/>
      <c r="AB443" s="20"/>
      <c r="AC443" s="20"/>
      <c r="AD443" s="20"/>
      <c r="AE443" s="20"/>
    </row>
    <row r="444" customFormat="false" ht="15.75" hidden="false" customHeight="false" outlineLevel="0" collapsed="false">
      <c r="A444" s="12" t="str">
        <f aca="false">IF((AA444&gt;=4), "Y", "N")</f>
        <v>Y</v>
      </c>
      <c r="B444" s="12"/>
      <c r="C444" s="23" t="s">
        <v>2047</v>
      </c>
      <c r="D444" s="24" t="s">
        <v>94</v>
      </c>
      <c r="E444" s="25" t="s">
        <v>2048</v>
      </c>
      <c r="F444" s="17" t="s">
        <v>2049</v>
      </c>
      <c r="G444" s="17" t="s">
        <v>2050</v>
      </c>
      <c r="H444" s="17" t="s">
        <v>1172</v>
      </c>
      <c r="I444" s="17" t="s">
        <v>36</v>
      </c>
      <c r="J444" s="47" t="s">
        <v>2035</v>
      </c>
      <c r="K444" s="17" t="n">
        <v>1990</v>
      </c>
      <c r="L444" s="38" t="s">
        <v>73</v>
      </c>
      <c r="M444" s="27"/>
      <c r="N444" s="37" t="s">
        <v>2051</v>
      </c>
      <c r="O444" s="17"/>
      <c r="P444" s="40" t="s">
        <v>111</v>
      </c>
      <c r="V444" s="60"/>
      <c r="AA444" s="63" t="n">
        <v>5</v>
      </c>
    </row>
    <row r="445" customFormat="false" ht="15.75" hidden="false" customHeight="false" outlineLevel="0" collapsed="false">
      <c r="A445" s="12"/>
      <c r="B445" s="54"/>
      <c r="C445" s="55" t="s">
        <v>206</v>
      </c>
      <c r="D445" s="15"/>
      <c r="E445" s="16" t="s">
        <v>2052</v>
      </c>
      <c r="F445" s="15" t="s">
        <v>2053</v>
      </c>
      <c r="G445" s="15"/>
      <c r="H445" s="15"/>
      <c r="I445" s="26" t="s">
        <v>209</v>
      </c>
      <c r="J445" s="15" t="s">
        <v>2035</v>
      </c>
      <c r="K445" s="15" t="n">
        <v>2013</v>
      </c>
      <c r="L445" s="17"/>
      <c r="M445" s="18"/>
      <c r="N445" s="17"/>
      <c r="O445" s="17"/>
      <c r="P445" s="19" t="s">
        <v>39</v>
      </c>
      <c r="R445" s="0" t="s">
        <v>2054</v>
      </c>
      <c r="T445" s="0" t="s">
        <v>211</v>
      </c>
      <c r="V445" s="21" t="s">
        <v>31</v>
      </c>
      <c r="AA445" s="63"/>
      <c r="AB445" s="18" t="s">
        <v>2055</v>
      </c>
    </row>
    <row r="446" customFormat="false" ht="15.75" hidden="false" customHeight="false" outlineLevel="0" collapsed="false">
      <c r="A446" s="12"/>
      <c r="B446" s="54"/>
      <c r="C446" s="55" t="s">
        <v>2056</v>
      </c>
      <c r="D446" s="15"/>
      <c r="E446" s="16" t="s">
        <v>2057</v>
      </c>
      <c r="F446" s="15" t="s">
        <v>2058</v>
      </c>
      <c r="G446" s="15"/>
      <c r="H446" s="15"/>
      <c r="I446" s="26" t="s">
        <v>166</v>
      </c>
      <c r="J446" s="15" t="s">
        <v>2035</v>
      </c>
      <c r="K446" s="15" t="n">
        <v>2014</v>
      </c>
      <c r="L446" s="17"/>
      <c r="M446" s="18"/>
      <c r="N446" s="17"/>
      <c r="O446" s="17"/>
      <c r="P446" s="19" t="s">
        <v>39</v>
      </c>
      <c r="Q446" s="20"/>
      <c r="R446" s="20" t="s">
        <v>2059</v>
      </c>
      <c r="S446" s="20"/>
      <c r="T446" s="20" t="s">
        <v>2060</v>
      </c>
      <c r="U446" s="20"/>
      <c r="V446" s="21" t="s">
        <v>31</v>
      </c>
      <c r="Z446" s="20"/>
      <c r="AA446" s="22"/>
      <c r="AB446" s="18" t="s">
        <v>2061</v>
      </c>
      <c r="AC446" s="20"/>
      <c r="AD446" s="20"/>
      <c r="AE446" s="20"/>
    </row>
    <row r="447" customFormat="false" ht="15.75" hidden="false" customHeight="false" outlineLevel="0" collapsed="false">
      <c r="A447" s="12" t="str">
        <f aca="false">IF((AA447&gt;=4), "Y", "N")</f>
        <v>Y</v>
      </c>
      <c r="B447" s="12"/>
      <c r="C447" s="23" t="s">
        <v>2062</v>
      </c>
      <c r="D447" s="24" t="s">
        <v>94</v>
      </c>
      <c r="E447" s="25" t="s">
        <v>2063</v>
      </c>
      <c r="F447" s="17" t="s">
        <v>2064</v>
      </c>
      <c r="G447" s="17" t="s">
        <v>2065</v>
      </c>
      <c r="H447" s="26" t="s">
        <v>1364</v>
      </c>
      <c r="I447" s="17" t="s">
        <v>36</v>
      </c>
      <c r="J447" s="47" t="s">
        <v>2035</v>
      </c>
      <c r="K447" s="17" t="n">
        <v>2009</v>
      </c>
      <c r="L447" s="38" t="s">
        <v>109</v>
      </c>
      <c r="M447" s="27"/>
      <c r="N447" s="39" t="s">
        <v>2066</v>
      </c>
      <c r="O447" s="17"/>
      <c r="P447" s="40" t="s">
        <v>111</v>
      </c>
      <c r="Q447" s="12"/>
      <c r="R447" s="12"/>
      <c r="S447" s="12"/>
      <c r="T447" s="12"/>
      <c r="U447" s="12"/>
      <c r="V447" s="21"/>
      <c r="Z447" s="12"/>
      <c r="AA447" s="29" t="n">
        <v>5</v>
      </c>
      <c r="AB447" s="84"/>
      <c r="AC447" s="12"/>
      <c r="AD447" s="12"/>
      <c r="AE447" s="12"/>
    </row>
    <row r="448" customFormat="false" ht="15.75" hidden="false" customHeight="false" outlineLevel="0" collapsed="false">
      <c r="A448" s="12"/>
      <c r="B448" s="54"/>
      <c r="C448" s="55" t="s">
        <v>2067</v>
      </c>
      <c r="D448" s="15"/>
      <c r="E448" s="16" t="s">
        <v>2068</v>
      </c>
      <c r="F448" s="15" t="s">
        <v>2069</v>
      </c>
      <c r="G448" s="15"/>
      <c r="H448" s="15"/>
      <c r="I448" s="17" t="s">
        <v>36</v>
      </c>
      <c r="J448" s="15" t="s">
        <v>2035</v>
      </c>
      <c r="K448" s="15" t="n">
        <v>2014</v>
      </c>
      <c r="L448" s="17"/>
      <c r="M448" s="18"/>
      <c r="N448" s="17"/>
      <c r="O448" s="17"/>
      <c r="P448" s="19" t="s">
        <v>39</v>
      </c>
      <c r="Q448" s="12"/>
      <c r="R448" s="12"/>
      <c r="S448" s="12"/>
      <c r="T448" s="12"/>
      <c r="U448" s="12"/>
      <c r="V448" s="21"/>
      <c r="Z448" s="12"/>
      <c r="AA448" s="29"/>
      <c r="AB448" s="18" t="s">
        <v>2070</v>
      </c>
      <c r="AC448" s="12"/>
      <c r="AD448" s="12"/>
      <c r="AE448" s="12"/>
    </row>
    <row r="449" customFormat="false" ht="15.75" hidden="false" customHeight="false" outlineLevel="0" collapsed="false">
      <c r="A449" s="12"/>
      <c r="B449" s="13"/>
      <c r="C449" s="14" t="s">
        <v>2071</v>
      </c>
      <c r="D449" s="15"/>
      <c r="E449" s="16" t="s">
        <v>2071</v>
      </c>
      <c r="F449" s="15" t="s">
        <v>2072</v>
      </c>
      <c r="G449" s="15" t="s">
        <v>478</v>
      </c>
      <c r="H449" s="15"/>
      <c r="I449" s="15" t="s">
        <v>2073</v>
      </c>
      <c r="J449" s="15" t="s">
        <v>2035</v>
      </c>
      <c r="K449" s="32"/>
      <c r="L449" s="17"/>
      <c r="M449" s="18"/>
      <c r="N449" s="17"/>
      <c r="O449" s="17"/>
      <c r="P449" s="19" t="s">
        <v>39</v>
      </c>
      <c r="Q449" s="20"/>
      <c r="R449" s="20" t="s">
        <v>2074</v>
      </c>
      <c r="S449" s="20"/>
      <c r="T449" s="20"/>
      <c r="U449" s="20"/>
      <c r="V449" s="45"/>
      <c r="Z449" s="20"/>
      <c r="AA449" s="22"/>
      <c r="AB449" s="18" t="s">
        <v>2075</v>
      </c>
      <c r="AC449" s="20"/>
      <c r="AD449" s="20"/>
      <c r="AE449" s="20"/>
    </row>
    <row r="450" customFormat="false" ht="15.75" hidden="false" customHeight="false" outlineLevel="0" collapsed="false">
      <c r="A450" s="12" t="s">
        <v>31</v>
      </c>
      <c r="B450" s="12" t="s">
        <v>32</v>
      </c>
      <c r="C450" s="35" t="s">
        <v>2076</v>
      </c>
      <c r="D450" s="24" t="s">
        <v>94</v>
      </c>
      <c r="E450" s="25" t="s">
        <v>2077</v>
      </c>
      <c r="F450" s="36" t="s">
        <v>2078</v>
      </c>
      <c r="G450" s="17" t="s">
        <v>1100</v>
      </c>
      <c r="H450" s="17"/>
      <c r="I450" s="26" t="s">
        <v>82</v>
      </c>
      <c r="J450" s="17" t="s">
        <v>66</v>
      </c>
      <c r="K450" s="17" t="n">
        <v>2003</v>
      </c>
      <c r="L450" s="17" t="s">
        <v>73</v>
      </c>
      <c r="M450" s="27" t="s">
        <v>140</v>
      </c>
      <c r="N450" s="17"/>
      <c r="O450" s="17" t="s">
        <v>1495</v>
      </c>
      <c r="P450" s="19" t="s">
        <v>84</v>
      </c>
      <c r="Q450" s="20"/>
      <c r="R450" s="20"/>
      <c r="S450" s="20"/>
      <c r="T450" s="20"/>
      <c r="U450" s="20"/>
      <c r="V450" s="45"/>
      <c r="Z450" s="20"/>
      <c r="AA450" s="22" t="n">
        <v>5</v>
      </c>
      <c r="AB450" s="20"/>
      <c r="AC450" s="20"/>
      <c r="AD450" s="20"/>
      <c r="AE450" s="20"/>
    </row>
    <row r="451" customFormat="false" ht="15.75" hidden="false" customHeight="false" outlineLevel="0" collapsed="false">
      <c r="A451" s="12" t="str">
        <f aca="false">IF((AA451&gt;=4), "Y", "N")</f>
        <v>Y</v>
      </c>
      <c r="B451" s="13"/>
      <c r="C451" s="31" t="s">
        <v>2079</v>
      </c>
      <c r="D451" s="16" t="s">
        <v>94</v>
      </c>
      <c r="E451" s="32" t="s">
        <v>2080</v>
      </c>
      <c r="F451" s="32" t="s">
        <v>2081</v>
      </c>
      <c r="G451" s="32" t="s">
        <v>302</v>
      </c>
      <c r="H451" s="26" t="s">
        <v>303</v>
      </c>
      <c r="I451" s="17" t="s">
        <v>36</v>
      </c>
      <c r="J451" s="47" t="s">
        <v>2035</v>
      </c>
      <c r="K451" s="33" t="n">
        <v>2007</v>
      </c>
      <c r="L451" s="33" t="s">
        <v>109</v>
      </c>
      <c r="M451" s="27"/>
      <c r="N451" s="39" t="s">
        <v>2082</v>
      </c>
      <c r="O451" s="17"/>
      <c r="P451" s="19" t="s">
        <v>76</v>
      </c>
      <c r="Q451" s="12"/>
      <c r="R451" s="12" t="s">
        <v>2083</v>
      </c>
      <c r="S451" s="12"/>
      <c r="T451" s="12" t="s">
        <v>2084</v>
      </c>
      <c r="U451" s="12"/>
      <c r="V451" s="21" t="s">
        <v>31</v>
      </c>
      <c r="Z451" s="12"/>
      <c r="AA451" s="22" t="str">
        <f aca="false">IF(P451="OD500 US (submitted)", "5", " ")</f>
        <v>5</v>
      </c>
      <c r="AB451" s="12"/>
      <c r="AC451" s="12"/>
      <c r="AD451" s="12"/>
      <c r="AE451" s="12"/>
    </row>
    <row r="452" customFormat="false" ht="15.75" hidden="false" customHeight="false" outlineLevel="0" collapsed="false">
      <c r="A452" s="12"/>
      <c r="B452" s="13" t="s">
        <v>528</v>
      </c>
      <c r="C452" s="14" t="s">
        <v>2085</v>
      </c>
      <c r="D452" s="24" t="s">
        <v>94</v>
      </c>
      <c r="E452" s="25" t="s">
        <v>2086</v>
      </c>
      <c r="F452" s="17" t="s">
        <v>2087</v>
      </c>
      <c r="G452" s="17" t="s">
        <v>71</v>
      </c>
      <c r="H452" s="17" t="s">
        <v>72</v>
      </c>
      <c r="I452" s="17" t="s">
        <v>36</v>
      </c>
      <c r="J452" s="32" t="s">
        <v>2035</v>
      </c>
      <c r="K452" s="17" t="n">
        <v>2007</v>
      </c>
      <c r="L452" s="17" t="s">
        <v>275</v>
      </c>
      <c r="M452" s="27" t="s">
        <v>140</v>
      </c>
      <c r="N452" s="17" t="s">
        <v>2088</v>
      </c>
      <c r="O452" s="17" t="s">
        <v>675</v>
      </c>
      <c r="P452" s="40" t="s">
        <v>150</v>
      </c>
      <c r="Q452" s="12"/>
      <c r="R452" s="12"/>
      <c r="S452" s="12"/>
      <c r="T452" s="12"/>
      <c r="U452" s="12"/>
      <c r="V452" s="21"/>
      <c r="Z452" s="12"/>
      <c r="AA452" s="29" t="n">
        <v>4</v>
      </c>
      <c r="AB452" s="12" t="s">
        <v>2089</v>
      </c>
      <c r="AC452" s="12"/>
      <c r="AD452" s="12"/>
      <c r="AE452" s="12"/>
    </row>
    <row r="453" customFormat="false" ht="15.75" hidden="false" customHeight="false" outlineLevel="0" collapsed="false">
      <c r="A453" s="12" t="str">
        <f aca="false">IF((AA453&gt;=4), "Y", "N")</f>
        <v>Y</v>
      </c>
      <c r="B453" s="13"/>
      <c r="C453" s="14" t="s">
        <v>2090</v>
      </c>
      <c r="D453" s="24" t="s">
        <v>51</v>
      </c>
      <c r="E453" s="25" t="s">
        <v>2091</v>
      </c>
      <c r="F453" s="17" t="s">
        <v>2092</v>
      </c>
      <c r="G453" s="17" t="s">
        <v>476</v>
      </c>
      <c r="H453" s="17" t="s">
        <v>477</v>
      </c>
      <c r="I453" s="17" t="s">
        <v>36</v>
      </c>
      <c r="J453" s="32" t="s">
        <v>2093</v>
      </c>
      <c r="K453" s="17"/>
      <c r="L453" s="17"/>
      <c r="M453" s="27"/>
      <c r="N453" s="17"/>
      <c r="O453" s="17"/>
      <c r="P453" s="52" t="s">
        <v>185</v>
      </c>
      <c r="Q453" s="12"/>
      <c r="R453" s="12"/>
      <c r="S453" s="12"/>
      <c r="T453" s="12"/>
      <c r="U453" s="12"/>
      <c r="V453" s="21"/>
      <c r="Z453" s="12"/>
      <c r="AA453" s="29" t="n">
        <v>5</v>
      </c>
      <c r="AB453" s="12"/>
      <c r="AC453" s="12"/>
      <c r="AD453" s="12"/>
      <c r="AE453" s="12"/>
    </row>
    <row r="454" customFormat="false" ht="15.75" hidden="false" customHeight="false" outlineLevel="0" collapsed="false">
      <c r="A454" s="12" t="str">
        <f aca="false">IF((AA454&gt;=4), "Y", "N")</f>
        <v>Y</v>
      </c>
      <c r="B454" s="13"/>
      <c r="C454" s="31" t="s">
        <v>2094</v>
      </c>
      <c r="D454" s="24" t="s">
        <v>61</v>
      </c>
      <c r="E454" s="32" t="s">
        <v>2095</v>
      </c>
      <c r="F454" s="17" t="s">
        <v>2096</v>
      </c>
      <c r="G454" s="17"/>
      <c r="H454" s="17"/>
      <c r="I454" s="26" t="s">
        <v>266</v>
      </c>
      <c r="J454" s="32" t="s">
        <v>2093</v>
      </c>
      <c r="K454" s="33" t="n">
        <v>2003</v>
      </c>
      <c r="L454" s="33"/>
      <c r="M454" s="27"/>
      <c r="N454" s="17" t="s">
        <v>2097</v>
      </c>
      <c r="O454" s="17"/>
      <c r="P454" s="40" t="s">
        <v>268</v>
      </c>
      <c r="Q454" s="12"/>
      <c r="R454" s="12" t="s">
        <v>2098</v>
      </c>
      <c r="S454" s="12"/>
      <c r="T454" s="12" t="s">
        <v>2099</v>
      </c>
      <c r="U454" s="12"/>
      <c r="V454" s="21" t="s">
        <v>31</v>
      </c>
      <c r="Z454" s="12"/>
      <c r="AA454" s="29" t="str">
        <f aca="false">IF(P454="OD500 MX", "5", " ")</f>
        <v>5</v>
      </c>
      <c r="AB454" s="12" t="s">
        <v>2100</v>
      </c>
      <c r="AC454" s="12"/>
      <c r="AD454" s="12"/>
      <c r="AE454" s="12"/>
    </row>
    <row r="455" customFormat="false" ht="15.75" hidden="false" customHeight="false" outlineLevel="0" collapsed="false">
      <c r="A455" s="12"/>
      <c r="B455" s="12"/>
      <c r="C455" s="23" t="s">
        <v>2101</v>
      </c>
      <c r="D455" s="24" t="s">
        <v>94</v>
      </c>
      <c r="E455" s="25" t="s">
        <v>2102</v>
      </c>
      <c r="F455" s="17" t="s">
        <v>2103</v>
      </c>
      <c r="G455" s="17" t="s">
        <v>2104</v>
      </c>
      <c r="H455" s="26" t="s">
        <v>120</v>
      </c>
      <c r="I455" s="17" t="s">
        <v>36</v>
      </c>
      <c r="J455" s="32" t="s">
        <v>2093</v>
      </c>
      <c r="K455" s="17" t="n">
        <v>1993</v>
      </c>
      <c r="L455" s="38" t="s">
        <v>73</v>
      </c>
      <c r="M455" s="27"/>
      <c r="N455" s="17"/>
      <c r="O455" s="17"/>
      <c r="P455" s="40" t="s">
        <v>111</v>
      </c>
      <c r="V455" s="60"/>
      <c r="AA455" s="63" t="n">
        <v>1</v>
      </c>
    </row>
    <row r="456" customFormat="false" ht="15.75" hidden="false" customHeight="false" outlineLevel="0" collapsed="false">
      <c r="A456" s="12"/>
      <c r="B456" s="54"/>
      <c r="C456" s="55" t="s">
        <v>2105</v>
      </c>
      <c r="D456" s="24"/>
      <c r="E456" s="15" t="s">
        <v>2106</v>
      </c>
      <c r="F456" s="15" t="s">
        <v>2107</v>
      </c>
      <c r="G456" s="15"/>
      <c r="H456" s="15"/>
      <c r="I456" s="26" t="s">
        <v>2108</v>
      </c>
      <c r="J456" s="32" t="s">
        <v>2093</v>
      </c>
      <c r="K456" s="17"/>
      <c r="L456" s="17"/>
      <c r="M456" s="18"/>
      <c r="N456" s="17"/>
      <c r="O456" s="17"/>
      <c r="P456" s="19" t="s">
        <v>39</v>
      </c>
      <c r="Q456" s="12"/>
      <c r="R456" s="12" t="s">
        <v>2109</v>
      </c>
      <c r="S456" s="12"/>
      <c r="T456" s="12"/>
      <c r="U456" s="12"/>
      <c r="V456" s="21"/>
      <c r="Z456" s="12"/>
      <c r="AA456" s="29"/>
      <c r="AB456" s="18" t="s">
        <v>2110</v>
      </c>
      <c r="AC456" s="12"/>
      <c r="AD456" s="12"/>
      <c r="AE456" s="12"/>
    </row>
    <row r="457" customFormat="false" ht="15.75" hidden="false" customHeight="false" outlineLevel="0" collapsed="false">
      <c r="A457" s="12"/>
      <c r="B457" s="54"/>
      <c r="C457" s="55" t="s">
        <v>2111</v>
      </c>
      <c r="D457" s="24"/>
      <c r="E457" s="86" t="s">
        <v>2112</v>
      </c>
      <c r="F457" s="15" t="s">
        <v>2113</v>
      </c>
      <c r="G457" s="15"/>
      <c r="H457" s="15"/>
      <c r="I457" s="26" t="s">
        <v>2108</v>
      </c>
      <c r="J457" s="32" t="s">
        <v>2093</v>
      </c>
      <c r="K457" s="17"/>
      <c r="L457" s="17"/>
      <c r="M457" s="18"/>
      <c r="N457" s="17"/>
      <c r="O457" s="17"/>
      <c r="P457" s="19" t="s">
        <v>39</v>
      </c>
      <c r="Q457" s="12"/>
      <c r="R457" s="12" t="s">
        <v>2114</v>
      </c>
      <c r="S457" s="12"/>
      <c r="T457" s="12" t="s">
        <v>2115</v>
      </c>
      <c r="U457" s="12"/>
      <c r="V457" s="21" t="s">
        <v>31</v>
      </c>
      <c r="Z457" s="12"/>
      <c r="AA457" s="29"/>
      <c r="AB457" s="18" t="s">
        <v>2116</v>
      </c>
      <c r="AC457" s="12"/>
      <c r="AD457" s="12"/>
      <c r="AE457" s="12"/>
    </row>
    <row r="458" customFormat="false" ht="15.75" hidden="false" customHeight="false" outlineLevel="0" collapsed="false">
      <c r="A458" s="12"/>
      <c r="B458" s="54"/>
      <c r="C458" s="55" t="s">
        <v>2117</v>
      </c>
      <c r="D458" s="24"/>
      <c r="E458" s="15" t="s">
        <v>2118</v>
      </c>
      <c r="F458" s="15" t="s">
        <v>2119</v>
      </c>
      <c r="G458" s="15"/>
      <c r="H458" s="15"/>
      <c r="I458" s="26" t="s">
        <v>2108</v>
      </c>
      <c r="J458" s="32" t="s">
        <v>2093</v>
      </c>
      <c r="K458" s="17"/>
      <c r="L458" s="17"/>
      <c r="M458" s="18"/>
      <c r="N458" s="17"/>
      <c r="O458" s="17"/>
      <c r="P458" s="19" t="s">
        <v>39</v>
      </c>
      <c r="Q458" s="12"/>
      <c r="R458" s="12" t="s">
        <v>2114</v>
      </c>
      <c r="S458" s="12"/>
      <c r="T458" s="12" t="s">
        <v>2115</v>
      </c>
      <c r="U458" s="12"/>
      <c r="V458" s="21" t="s">
        <v>31</v>
      </c>
      <c r="Z458" s="12"/>
      <c r="AA458" s="29"/>
      <c r="AB458" s="18" t="s">
        <v>2120</v>
      </c>
      <c r="AC458" s="12"/>
      <c r="AD458" s="12"/>
      <c r="AE458" s="12"/>
    </row>
    <row r="459" customFormat="false" ht="15.75" hidden="false" customHeight="false" outlineLevel="0" collapsed="false">
      <c r="A459" s="12"/>
      <c r="B459" s="12"/>
      <c r="C459" s="23" t="s">
        <v>2121</v>
      </c>
      <c r="D459" s="24" t="s">
        <v>51</v>
      </c>
      <c r="E459" s="25" t="s">
        <v>2122</v>
      </c>
      <c r="F459" s="17" t="s">
        <v>2123</v>
      </c>
      <c r="G459" s="17" t="s">
        <v>44</v>
      </c>
      <c r="H459" s="17"/>
      <c r="I459" s="26" t="s">
        <v>45</v>
      </c>
      <c r="J459" s="17" t="s">
        <v>2035</v>
      </c>
      <c r="K459" s="17"/>
      <c r="L459" s="17"/>
      <c r="M459" s="27"/>
      <c r="N459" s="17"/>
      <c r="O459" s="17"/>
      <c r="P459" s="28" t="s">
        <v>46</v>
      </c>
      <c r="Q459" s="12"/>
      <c r="R459" s="12"/>
      <c r="S459" s="12"/>
      <c r="T459" s="12"/>
      <c r="U459" s="12"/>
      <c r="V459" s="21"/>
      <c r="Z459" s="12"/>
      <c r="AA459" s="29"/>
      <c r="AB459" s="84"/>
      <c r="AC459" s="12"/>
      <c r="AD459" s="12"/>
      <c r="AE459" s="12"/>
    </row>
    <row r="460" customFormat="false" ht="15.75" hidden="false" customHeight="false" outlineLevel="0" collapsed="false">
      <c r="A460" s="12"/>
      <c r="B460" s="54"/>
      <c r="C460" s="55" t="s">
        <v>2124</v>
      </c>
      <c r="D460" s="15"/>
      <c r="E460" s="16" t="s">
        <v>2125</v>
      </c>
      <c r="F460" s="15" t="s">
        <v>2126</v>
      </c>
      <c r="G460" s="15" t="s">
        <v>2127</v>
      </c>
      <c r="H460" s="15"/>
      <c r="I460" s="26" t="s">
        <v>905</v>
      </c>
      <c r="J460" s="15" t="s">
        <v>58</v>
      </c>
      <c r="K460" s="15" t="n">
        <v>2014</v>
      </c>
      <c r="L460" s="17"/>
      <c r="M460" s="18"/>
      <c r="N460" s="17"/>
      <c r="O460" s="17"/>
      <c r="P460" s="19" t="s">
        <v>39</v>
      </c>
      <c r="Q460" s="12"/>
      <c r="R460" s="12" t="s">
        <v>2128</v>
      </c>
      <c r="S460" s="12"/>
      <c r="T460" s="12" t="s">
        <v>2129</v>
      </c>
      <c r="U460" s="12"/>
      <c r="V460" s="21" t="s">
        <v>31</v>
      </c>
      <c r="Z460" s="12"/>
      <c r="AA460" s="29"/>
      <c r="AB460" s="18" t="s">
        <v>2130</v>
      </c>
      <c r="AC460" s="12"/>
      <c r="AD460" s="12"/>
      <c r="AE460" s="12"/>
    </row>
    <row r="461" customFormat="false" ht="15.75" hidden="false" customHeight="false" outlineLevel="0" collapsed="false">
      <c r="A461" s="12"/>
      <c r="B461" s="54"/>
      <c r="C461" s="55" t="s">
        <v>2131</v>
      </c>
      <c r="D461" s="24"/>
      <c r="E461" s="57" t="s">
        <v>2132</v>
      </c>
      <c r="F461" s="15" t="s">
        <v>2133</v>
      </c>
      <c r="G461" s="15"/>
      <c r="H461" s="15"/>
      <c r="I461" s="26" t="s">
        <v>551</v>
      </c>
      <c r="J461" s="15" t="s">
        <v>58</v>
      </c>
      <c r="K461" s="17"/>
      <c r="L461" s="17"/>
      <c r="M461" s="18"/>
      <c r="N461" s="17"/>
      <c r="O461" s="17"/>
      <c r="P461" s="19" t="s">
        <v>39</v>
      </c>
      <c r="Q461" s="12"/>
      <c r="R461" s="12" t="s">
        <v>2134</v>
      </c>
      <c r="S461" s="12"/>
      <c r="T461" s="12" t="s">
        <v>2135</v>
      </c>
      <c r="U461" s="12"/>
      <c r="V461" s="21" t="s">
        <v>31</v>
      </c>
      <c r="Z461" s="12"/>
      <c r="AA461" s="29"/>
      <c r="AB461" s="18" t="s">
        <v>2136</v>
      </c>
      <c r="AC461" s="12"/>
      <c r="AD461" s="12"/>
      <c r="AE461" s="12"/>
    </row>
    <row r="462" customFormat="false" ht="15.75" hidden="false" customHeight="false" outlineLevel="0" collapsed="false">
      <c r="A462" s="12"/>
      <c r="B462" s="54"/>
      <c r="C462" s="55" t="s">
        <v>2137</v>
      </c>
      <c r="D462" s="15"/>
      <c r="E462" s="16" t="s">
        <v>2138</v>
      </c>
      <c r="F462" s="15" t="s">
        <v>2139</v>
      </c>
      <c r="G462" s="15"/>
      <c r="H462" s="15"/>
      <c r="I462" s="15"/>
      <c r="J462" s="15" t="s">
        <v>58</v>
      </c>
      <c r="K462" s="15" t="n">
        <v>2002</v>
      </c>
      <c r="L462" s="17"/>
      <c r="M462" s="18"/>
      <c r="N462" s="17"/>
      <c r="O462" s="17"/>
      <c r="P462" s="19" t="s">
        <v>39</v>
      </c>
      <c r="V462" s="60"/>
      <c r="AA462" s="63"/>
      <c r="AB462" s="18" t="s">
        <v>2140</v>
      </c>
    </row>
    <row r="463" customFormat="false" ht="15.75" hidden="false" customHeight="false" outlineLevel="0" collapsed="false">
      <c r="A463" s="12"/>
      <c r="B463" s="20"/>
      <c r="C463" s="48" t="s">
        <v>2141</v>
      </c>
      <c r="D463" s="24" t="s">
        <v>61</v>
      </c>
      <c r="E463" s="49" t="s">
        <v>2142</v>
      </c>
      <c r="F463" s="49" t="s">
        <v>2143</v>
      </c>
      <c r="G463" s="17"/>
      <c r="H463" s="17"/>
      <c r="I463" s="26" t="s">
        <v>166</v>
      </c>
      <c r="J463" s="32" t="s">
        <v>231</v>
      </c>
      <c r="K463" s="17"/>
      <c r="L463" s="17"/>
      <c r="M463" s="46"/>
      <c r="N463" s="17"/>
      <c r="O463" s="17"/>
      <c r="P463" s="40" t="s">
        <v>168</v>
      </c>
      <c r="Q463" s="12"/>
      <c r="R463" s="12" t="s">
        <v>2144</v>
      </c>
      <c r="S463" s="12"/>
      <c r="T463" s="12" t="s">
        <v>2145</v>
      </c>
      <c r="U463" s="12" t="s">
        <v>2146</v>
      </c>
      <c r="V463" s="21" t="s">
        <v>31</v>
      </c>
      <c r="Z463" s="12"/>
      <c r="AA463" s="29" t="n">
        <v>2</v>
      </c>
      <c r="AB463" s="12" t="s">
        <v>2147</v>
      </c>
      <c r="AC463" s="59" t="s">
        <v>2142</v>
      </c>
      <c r="AD463" s="12"/>
      <c r="AE463" s="12"/>
      <c r="AF463" s="12"/>
      <c r="AG463" s="12"/>
    </row>
    <row r="464" customFormat="false" ht="15.75" hidden="false" customHeight="false" outlineLevel="0" collapsed="false">
      <c r="A464" s="12"/>
      <c r="B464" s="12"/>
      <c r="C464" s="23" t="s">
        <v>2148</v>
      </c>
      <c r="D464" s="24" t="s">
        <v>94</v>
      </c>
      <c r="E464" s="25" t="s">
        <v>2149</v>
      </c>
      <c r="F464" s="17" t="s">
        <v>2150</v>
      </c>
      <c r="G464" s="17"/>
      <c r="H464" s="17"/>
      <c r="I464" s="17" t="s">
        <v>260</v>
      </c>
      <c r="J464" s="32" t="s">
        <v>231</v>
      </c>
      <c r="K464" s="17"/>
      <c r="L464" s="17"/>
      <c r="M464" s="27"/>
      <c r="N464" s="17"/>
      <c r="O464" s="17"/>
      <c r="P464" s="40" t="s">
        <v>261</v>
      </c>
      <c r="Q464" s="12"/>
      <c r="R464" s="12"/>
      <c r="S464" s="12"/>
      <c r="T464" s="12"/>
      <c r="U464" s="12"/>
      <c r="V464" s="21"/>
      <c r="Z464" s="12"/>
      <c r="AA464" s="29"/>
      <c r="AB464" s="12" t="s">
        <v>2151</v>
      </c>
      <c r="AC464" s="12"/>
      <c r="AD464" s="12"/>
      <c r="AE464" s="12"/>
    </row>
    <row r="465" customFormat="false" ht="15.75" hidden="false" customHeight="false" outlineLevel="0" collapsed="false">
      <c r="A465" s="12"/>
      <c r="B465" s="12"/>
      <c r="C465" s="23" t="s">
        <v>2152</v>
      </c>
      <c r="D465" s="24" t="s">
        <v>61</v>
      </c>
      <c r="E465" s="17"/>
      <c r="F465" s="17"/>
      <c r="G465" s="17"/>
      <c r="H465" s="17"/>
      <c r="I465" s="17" t="s">
        <v>260</v>
      </c>
      <c r="J465" s="32" t="s">
        <v>231</v>
      </c>
      <c r="K465" s="17"/>
      <c r="L465" s="17"/>
      <c r="M465" s="27"/>
      <c r="N465" s="17"/>
      <c r="O465" s="17"/>
      <c r="P465" s="40" t="s">
        <v>261</v>
      </c>
      <c r="Q465" s="12"/>
      <c r="R465" s="12"/>
      <c r="S465" s="12"/>
      <c r="T465" s="12"/>
      <c r="U465" s="12"/>
      <c r="V465" s="21"/>
      <c r="Z465" s="12"/>
      <c r="AA465" s="29"/>
      <c r="AB465" s="12"/>
      <c r="AC465" s="12"/>
      <c r="AD465" s="12"/>
      <c r="AE465" s="12"/>
    </row>
    <row r="466" customFormat="false" ht="15.75" hidden="false" customHeight="false" outlineLevel="0" collapsed="false">
      <c r="A466" s="12"/>
      <c r="B466" s="12"/>
      <c r="C466" s="23" t="s">
        <v>2153</v>
      </c>
      <c r="D466" s="24" t="s">
        <v>61</v>
      </c>
      <c r="E466" s="25" t="s">
        <v>2154</v>
      </c>
      <c r="F466" s="17" t="s">
        <v>2155</v>
      </c>
      <c r="G466" s="17"/>
      <c r="H466" s="17"/>
      <c r="I466" s="17" t="s">
        <v>260</v>
      </c>
      <c r="J466" s="32" t="s">
        <v>231</v>
      </c>
      <c r="K466" s="17"/>
      <c r="L466" s="17"/>
      <c r="M466" s="27"/>
      <c r="N466" s="17"/>
      <c r="O466" s="17"/>
      <c r="P466" s="40" t="s">
        <v>261</v>
      </c>
      <c r="Q466" s="12"/>
      <c r="R466" s="12"/>
      <c r="S466" s="12"/>
      <c r="T466" s="12"/>
      <c r="U466" s="12"/>
      <c r="V466" s="21"/>
      <c r="Z466" s="12"/>
      <c r="AA466" s="29" t="n">
        <v>2</v>
      </c>
      <c r="AB466" s="12"/>
      <c r="AC466" s="12"/>
      <c r="AD466" s="12"/>
      <c r="AE466" s="12"/>
    </row>
    <row r="467" customFormat="false" ht="15.75" hidden="false" customHeight="false" outlineLevel="0" collapsed="false">
      <c r="A467" s="12" t="str">
        <f aca="false">IF((AA467&gt;=4), "Y", "N")</f>
        <v>Y</v>
      </c>
      <c r="B467" s="13"/>
      <c r="C467" s="31" t="s">
        <v>2156</v>
      </c>
      <c r="D467" s="24" t="s">
        <v>94</v>
      </c>
      <c r="E467" s="32" t="s">
        <v>2157</v>
      </c>
      <c r="F467" s="17"/>
      <c r="G467" s="17"/>
      <c r="H467" s="17"/>
      <c r="I467" s="26" t="s">
        <v>266</v>
      </c>
      <c r="J467" s="32" t="s">
        <v>231</v>
      </c>
      <c r="K467" s="33" t="n">
        <v>2013</v>
      </c>
      <c r="L467" s="33" t="s">
        <v>109</v>
      </c>
      <c r="M467" s="27"/>
      <c r="N467" s="17" t="s">
        <v>2158</v>
      </c>
      <c r="O467" s="17"/>
      <c r="P467" s="40" t="s">
        <v>268</v>
      </c>
      <c r="Q467" s="12"/>
      <c r="R467" s="12"/>
      <c r="S467" s="12"/>
      <c r="T467" s="12"/>
      <c r="U467" s="12"/>
      <c r="V467" s="21"/>
      <c r="Z467" s="12"/>
      <c r="AA467" s="29" t="str">
        <f aca="false">IF(P467="OD500 MX", "5", " ")</f>
        <v>5</v>
      </c>
      <c r="AB467" s="70"/>
      <c r="AC467" s="12"/>
      <c r="AD467" s="12"/>
      <c r="AE467" s="12"/>
    </row>
    <row r="468" customFormat="false" ht="15.75" hidden="false" customHeight="false" outlineLevel="0" collapsed="false">
      <c r="A468" s="12" t="str">
        <f aca="false">IF((AA468&gt;=4), "Y", "N")</f>
        <v>Y</v>
      </c>
      <c r="B468" s="13"/>
      <c r="C468" s="31" t="s">
        <v>2159</v>
      </c>
      <c r="D468" s="24" t="s">
        <v>94</v>
      </c>
      <c r="E468" s="32" t="s">
        <v>2160</v>
      </c>
      <c r="F468" s="17"/>
      <c r="G468" s="17"/>
      <c r="H468" s="17"/>
      <c r="I468" s="26" t="s">
        <v>266</v>
      </c>
      <c r="J468" s="32" t="s">
        <v>231</v>
      </c>
      <c r="K468" s="33" t="n">
        <v>1884</v>
      </c>
      <c r="L468" s="33" t="s">
        <v>275</v>
      </c>
      <c r="M468" s="27"/>
      <c r="N468" s="17" t="s">
        <v>2161</v>
      </c>
      <c r="O468" s="17"/>
      <c r="P468" s="40" t="s">
        <v>268</v>
      </c>
      <c r="Q468" s="12"/>
      <c r="R468" s="12"/>
      <c r="S468" s="12"/>
      <c r="T468" s="12"/>
      <c r="U468" s="12"/>
      <c r="V468" s="21"/>
      <c r="Z468" s="12"/>
      <c r="AA468" s="29" t="str">
        <f aca="false">IF(P468="OD500 MX", "5", " ")</f>
        <v>5</v>
      </c>
      <c r="AB468" s="70"/>
      <c r="AC468" s="12"/>
      <c r="AD468" s="12"/>
      <c r="AE468" s="12"/>
    </row>
    <row r="469" customFormat="false" ht="15.75" hidden="false" customHeight="false" outlineLevel="0" collapsed="false">
      <c r="A469" s="12"/>
      <c r="B469" s="12"/>
      <c r="C469" s="23" t="s">
        <v>2162</v>
      </c>
      <c r="D469" s="24"/>
      <c r="E469" s="25" t="s">
        <v>2163</v>
      </c>
      <c r="F469" s="17" t="s">
        <v>2164</v>
      </c>
      <c r="G469" s="17"/>
      <c r="H469" s="17"/>
      <c r="I469" s="17" t="s">
        <v>260</v>
      </c>
      <c r="J469" s="32" t="s">
        <v>231</v>
      </c>
      <c r="K469" s="17"/>
      <c r="L469" s="17"/>
      <c r="M469" s="27"/>
      <c r="N469" s="17"/>
      <c r="O469" s="17"/>
      <c r="P469" s="40" t="s">
        <v>261</v>
      </c>
      <c r="Q469" s="12"/>
      <c r="R469" s="12"/>
      <c r="S469" s="12"/>
      <c r="T469" s="12"/>
      <c r="U469" s="12"/>
      <c r="V469" s="21"/>
      <c r="Z469" s="12"/>
      <c r="AA469" s="29"/>
      <c r="AB469" s="84"/>
      <c r="AC469" s="12"/>
      <c r="AD469" s="12"/>
      <c r="AE469" s="12"/>
    </row>
    <row r="470" customFormat="false" ht="15.75" hidden="false" customHeight="false" outlineLevel="0" collapsed="false">
      <c r="A470" s="12" t="str">
        <f aca="false">IF((AA470&gt;=4), "Y", "N")</f>
        <v>Y</v>
      </c>
      <c r="B470" s="13"/>
      <c r="C470" s="31" t="s">
        <v>2165</v>
      </c>
      <c r="D470" s="16" t="s">
        <v>94</v>
      </c>
      <c r="E470" s="32" t="s">
        <v>2166</v>
      </c>
      <c r="F470" s="17"/>
      <c r="G470" s="17"/>
      <c r="H470" s="17"/>
      <c r="I470" s="26" t="s">
        <v>266</v>
      </c>
      <c r="J470" s="32" t="s">
        <v>231</v>
      </c>
      <c r="K470" s="33" t="n">
        <v>1899</v>
      </c>
      <c r="L470" s="33" t="s">
        <v>275</v>
      </c>
      <c r="M470" s="27"/>
      <c r="N470" s="17" t="s">
        <v>2167</v>
      </c>
      <c r="O470" s="17"/>
      <c r="P470" s="40" t="s">
        <v>268</v>
      </c>
      <c r="Q470" s="12"/>
      <c r="R470" s="12"/>
      <c r="S470" s="12"/>
      <c r="T470" s="12"/>
      <c r="U470" s="12"/>
      <c r="V470" s="21"/>
      <c r="Z470" s="12"/>
      <c r="AA470" s="29" t="str">
        <f aca="false">IF(P470="OD500 MX", "5", " ")</f>
        <v>5</v>
      </c>
      <c r="AB470" s="70"/>
      <c r="AC470" s="12"/>
      <c r="AD470" s="12"/>
      <c r="AE470" s="12"/>
    </row>
    <row r="471" customFormat="false" ht="15.75" hidden="false" customHeight="false" outlineLevel="0" collapsed="false">
      <c r="A471" s="12" t="str">
        <f aca="false">IF((AA471&gt;=4), "Y", "N")</f>
        <v>Y</v>
      </c>
      <c r="B471" s="13"/>
      <c r="C471" s="31" t="s">
        <v>2168</v>
      </c>
      <c r="D471" s="24" t="s">
        <v>94</v>
      </c>
      <c r="E471" s="32" t="s">
        <v>2169</v>
      </c>
      <c r="F471" s="17"/>
      <c r="G471" s="17"/>
      <c r="H471" s="17"/>
      <c r="I471" s="26" t="s">
        <v>266</v>
      </c>
      <c r="J471" s="32" t="s">
        <v>231</v>
      </c>
      <c r="K471" s="33" t="n">
        <v>1994</v>
      </c>
      <c r="L471" s="33" t="s">
        <v>275</v>
      </c>
      <c r="M471" s="27"/>
      <c r="N471" s="17" t="s">
        <v>2170</v>
      </c>
      <c r="O471" s="17"/>
      <c r="P471" s="40" t="s">
        <v>268</v>
      </c>
      <c r="V471" s="60"/>
      <c r="AA471" s="29" t="str">
        <f aca="false">IF(P471="OD500 MX", "5", " ")</f>
        <v>5</v>
      </c>
      <c r="AB471" s="70"/>
    </row>
    <row r="472" customFormat="false" ht="15.75" hidden="false" customHeight="false" outlineLevel="0" collapsed="false">
      <c r="A472" s="12"/>
      <c r="B472" s="12"/>
      <c r="C472" s="23" t="s">
        <v>2171</v>
      </c>
      <c r="D472" s="16" t="s">
        <v>94</v>
      </c>
      <c r="E472" s="25" t="s">
        <v>2172</v>
      </c>
      <c r="F472" s="17" t="s">
        <v>2173</v>
      </c>
      <c r="G472" s="17" t="s">
        <v>458</v>
      </c>
      <c r="H472" s="26" t="s">
        <v>444</v>
      </c>
      <c r="I472" s="17" t="s">
        <v>36</v>
      </c>
      <c r="J472" s="32" t="s">
        <v>231</v>
      </c>
      <c r="K472" s="17" t="n">
        <v>1988</v>
      </c>
      <c r="L472" s="33" t="s">
        <v>275</v>
      </c>
      <c r="M472" s="27"/>
      <c r="N472" s="17"/>
      <c r="O472" s="17"/>
      <c r="P472" s="40" t="s">
        <v>111</v>
      </c>
      <c r="Q472" s="12"/>
      <c r="R472" s="12"/>
      <c r="S472" s="12"/>
      <c r="T472" s="12"/>
      <c r="U472" s="12"/>
      <c r="V472" s="21"/>
      <c r="Z472" s="12"/>
      <c r="AA472" s="29" t="n">
        <v>3</v>
      </c>
      <c r="AB472" s="84"/>
      <c r="AC472" s="12"/>
      <c r="AD472" s="12"/>
      <c r="AE472" s="12"/>
    </row>
    <row r="473" customFormat="false" ht="15.75" hidden="false" customHeight="false" outlineLevel="0" collapsed="false">
      <c r="A473" s="12"/>
      <c r="B473" s="12"/>
      <c r="C473" s="23" t="s">
        <v>2174</v>
      </c>
      <c r="D473" s="24" t="s">
        <v>94</v>
      </c>
      <c r="E473" s="25" t="s">
        <v>2175</v>
      </c>
      <c r="F473" s="17" t="s">
        <v>2176</v>
      </c>
      <c r="G473" s="17"/>
      <c r="H473" s="17"/>
      <c r="I473" s="17" t="s">
        <v>260</v>
      </c>
      <c r="J473" s="32" t="s">
        <v>231</v>
      </c>
      <c r="K473" s="17"/>
      <c r="L473" s="17"/>
      <c r="M473" s="27"/>
      <c r="N473" s="17"/>
      <c r="O473" s="17"/>
      <c r="P473" s="40" t="s">
        <v>261</v>
      </c>
      <c r="V473" s="60"/>
      <c r="AA473" s="63"/>
      <c r="AB473" s="84"/>
    </row>
    <row r="474" customFormat="false" ht="15.75" hidden="false" customHeight="false" outlineLevel="0" collapsed="false">
      <c r="A474" s="12"/>
      <c r="B474" s="12"/>
      <c r="C474" s="23" t="s">
        <v>2177</v>
      </c>
      <c r="D474" s="24" t="s">
        <v>94</v>
      </c>
      <c r="E474" s="25" t="s">
        <v>2178</v>
      </c>
      <c r="F474" s="17" t="s">
        <v>2179</v>
      </c>
      <c r="G474" s="17"/>
      <c r="H474" s="17"/>
      <c r="I474" s="17" t="s">
        <v>260</v>
      </c>
      <c r="J474" s="32" t="s">
        <v>231</v>
      </c>
      <c r="K474" s="17"/>
      <c r="L474" s="17"/>
      <c r="M474" s="27"/>
      <c r="N474" s="17"/>
      <c r="O474" s="17"/>
      <c r="P474" s="40" t="s">
        <v>261</v>
      </c>
      <c r="Q474" s="12"/>
      <c r="R474" s="12"/>
      <c r="S474" s="12"/>
      <c r="T474" s="12"/>
      <c r="U474" s="12"/>
      <c r="V474" s="21"/>
      <c r="Z474" s="12"/>
      <c r="AA474" s="29"/>
      <c r="AB474" s="84"/>
      <c r="AC474" s="12"/>
      <c r="AD474" s="12"/>
      <c r="AE474" s="12"/>
    </row>
    <row r="475" customFormat="false" ht="15.75" hidden="false" customHeight="false" outlineLevel="0" collapsed="false">
      <c r="A475" s="12"/>
      <c r="B475" s="12"/>
      <c r="C475" s="23" t="s">
        <v>2180</v>
      </c>
      <c r="D475" s="24" t="s">
        <v>94</v>
      </c>
      <c r="E475" s="25" t="s">
        <v>2181</v>
      </c>
      <c r="F475" s="17" t="s">
        <v>2182</v>
      </c>
      <c r="G475" s="17"/>
      <c r="H475" s="17"/>
      <c r="I475" s="17" t="s">
        <v>260</v>
      </c>
      <c r="J475" s="32" t="s">
        <v>231</v>
      </c>
      <c r="K475" s="17"/>
      <c r="L475" s="17"/>
      <c r="M475" s="27"/>
      <c r="N475" s="17"/>
      <c r="O475" s="17"/>
      <c r="P475" s="40" t="s">
        <v>261</v>
      </c>
      <c r="Q475" s="17"/>
      <c r="R475" s="17"/>
      <c r="S475" s="17"/>
      <c r="T475" s="17"/>
      <c r="U475" s="17"/>
      <c r="V475" s="27"/>
      <c r="Z475" s="17"/>
      <c r="AA475" s="29"/>
      <c r="AB475" s="84"/>
      <c r="AC475" s="17"/>
      <c r="AD475" s="17"/>
      <c r="AE475" s="17"/>
    </row>
    <row r="476" customFormat="false" ht="15.75" hidden="false" customHeight="false" outlineLevel="0" collapsed="false">
      <c r="A476" s="12"/>
      <c r="B476" s="12"/>
      <c r="C476" s="23" t="s">
        <v>2183</v>
      </c>
      <c r="D476" s="24" t="s">
        <v>94</v>
      </c>
      <c r="E476" s="25" t="s">
        <v>2184</v>
      </c>
      <c r="F476" s="17" t="s">
        <v>2185</v>
      </c>
      <c r="G476" s="17"/>
      <c r="H476" s="17"/>
      <c r="I476" s="17" t="s">
        <v>260</v>
      </c>
      <c r="J476" s="32" t="s">
        <v>231</v>
      </c>
      <c r="K476" s="17"/>
      <c r="L476" s="17"/>
      <c r="M476" s="27"/>
      <c r="N476" s="17"/>
      <c r="O476" s="17"/>
      <c r="P476" s="40" t="s">
        <v>261</v>
      </c>
      <c r="Q476" s="12"/>
      <c r="R476" s="12"/>
      <c r="S476" s="12"/>
      <c r="T476" s="12"/>
      <c r="U476" s="12"/>
      <c r="V476" s="21"/>
      <c r="Z476" s="12"/>
      <c r="AA476" s="29"/>
      <c r="AB476" s="84"/>
      <c r="AC476" s="12"/>
      <c r="AD476" s="12"/>
      <c r="AE476" s="12"/>
    </row>
    <row r="477" customFormat="false" ht="15.75" hidden="false" customHeight="false" outlineLevel="0" collapsed="false">
      <c r="A477" s="12"/>
      <c r="B477" s="12"/>
      <c r="C477" s="23" t="s">
        <v>2186</v>
      </c>
      <c r="D477" s="24" t="s">
        <v>94</v>
      </c>
      <c r="E477" s="25" t="s">
        <v>2187</v>
      </c>
      <c r="F477" s="17" t="s">
        <v>2188</v>
      </c>
      <c r="G477" s="17"/>
      <c r="H477" s="17"/>
      <c r="I477" s="17" t="s">
        <v>260</v>
      </c>
      <c r="J477" s="32" t="s">
        <v>231</v>
      </c>
      <c r="K477" s="17"/>
      <c r="L477" s="17"/>
      <c r="M477" s="27"/>
      <c r="N477" s="17"/>
      <c r="O477" s="17"/>
      <c r="P477" s="40" t="s">
        <v>261</v>
      </c>
      <c r="V477" s="60"/>
      <c r="AA477" s="63"/>
      <c r="AB477" s="84"/>
    </row>
    <row r="478" customFormat="false" ht="15.75" hidden="false" customHeight="false" outlineLevel="0" collapsed="false">
      <c r="A478" s="12"/>
      <c r="B478" s="12"/>
      <c r="C478" s="23" t="s">
        <v>2189</v>
      </c>
      <c r="D478" s="24" t="s">
        <v>94</v>
      </c>
      <c r="E478" s="25" t="s">
        <v>2190</v>
      </c>
      <c r="F478" s="17" t="s">
        <v>2191</v>
      </c>
      <c r="G478" s="17" t="s">
        <v>145</v>
      </c>
      <c r="H478" s="17" t="s">
        <v>146</v>
      </c>
      <c r="I478" s="17" t="s">
        <v>36</v>
      </c>
      <c r="J478" s="32" t="s">
        <v>231</v>
      </c>
      <c r="K478" s="17" t="n">
        <v>1913</v>
      </c>
      <c r="L478" s="33" t="s">
        <v>275</v>
      </c>
      <c r="M478" s="27"/>
      <c r="N478" s="17"/>
      <c r="O478" s="17"/>
      <c r="P478" s="40" t="s">
        <v>111</v>
      </c>
      <c r="V478" s="60"/>
      <c r="AA478" s="63" t="n">
        <v>3</v>
      </c>
      <c r="AB478" s="84"/>
    </row>
    <row r="479" customFormat="false" ht="15.75" hidden="false" customHeight="false" outlineLevel="0" collapsed="false">
      <c r="A479" s="12"/>
      <c r="B479" s="12"/>
      <c r="C479" s="23" t="s">
        <v>2192</v>
      </c>
      <c r="D479" s="24" t="s">
        <v>94</v>
      </c>
      <c r="E479" s="25" t="s">
        <v>2193</v>
      </c>
      <c r="F479" s="17" t="s">
        <v>2194</v>
      </c>
      <c r="G479" s="17" t="s">
        <v>2195</v>
      </c>
      <c r="H479" s="17" t="s">
        <v>353</v>
      </c>
      <c r="I479" s="17" t="s">
        <v>36</v>
      </c>
      <c r="J479" s="32" t="s">
        <v>231</v>
      </c>
      <c r="K479" s="17" t="n">
        <v>2010</v>
      </c>
      <c r="L479" s="38" t="s">
        <v>109</v>
      </c>
      <c r="M479" s="27"/>
      <c r="N479" s="17"/>
      <c r="O479" s="17"/>
      <c r="P479" s="40" t="s">
        <v>111</v>
      </c>
      <c r="Q479" s="12"/>
      <c r="R479" s="12"/>
      <c r="S479" s="12"/>
      <c r="T479" s="12"/>
      <c r="U479" s="12"/>
      <c r="V479" s="21"/>
      <c r="Z479" s="12"/>
      <c r="AA479" s="29" t="n">
        <v>1</v>
      </c>
      <c r="AB479" s="84"/>
      <c r="AC479" s="12"/>
      <c r="AD479" s="12"/>
      <c r="AE479" s="12"/>
    </row>
    <row r="480" customFormat="false" ht="15.75" hidden="false" customHeight="false" outlineLevel="0" collapsed="false">
      <c r="A480" s="12"/>
      <c r="B480" s="12"/>
      <c r="C480" s="23" t="s">
        <v>2196</v>
      </c>
      <c r="D480" s="24" t="s">
        <v>94</v>
      </c>
      <c r="E480" s="25" t="s">
        <v>2197</v>
      </c>
      <c r="F480" s="17" t="s">
        <v>2198</v>
      </c>
      <c r="G480" s="17"/>
      <c r="H480" s="17"/>
      <c r="I480" s="17" t="s">
        <v>260</v>
      </c>
      <c r="J480" s="32" t="s">
        <v>2199</v>
      </c>
      <c r="K480" s="17"/>
      <c r="L480" s="17"/>
      <c r="M480" s="27"/>
      <c r="N480" s="17"/>
      <c r="O480" s="17"/>
      <c r="P480" s="40" t="s">
        <v>261</v>
      </c>
      <c r="Q480" s="12"/>
      <c r="R480" s="12"/>
      <c r="S480" s="12"/>
      <c r="T480" s="12"/>
      <c r="U480" s="12"/>
      <c r="V480" s="21"/>
      <c r="Z480" s="12"/>
      <c r="AA480" s="29"/>
      <c r="AB480" s="84"/>
      <c r="AC480" s="12"/>
      <c r="AD480" s="12"/>
      <c r="AE480" s="12"/>
    </row>
    <row r="481" customFormat="false" ht="15.75" hidden="false" customHeight="false" outlineLevel="0" collapsed="false">
      <c r="A481" s="12" t="str">
        <f aca="false">IF((AA481&gt;=4), "Y", "N")</f>
        <v>Y</v>
      </c>
      <c r="B481" s="13"/>
      <c r="C481" s="31" t="s">
        <v>2200</v>
      </c>
      <c r="D481" s="24" t="s">
        <v>94</v>
      </c>
      <c r="E481" s="32" t="s">
        <v>2201</v>
      </c>
      <c r="F481" s="17" t="s">
        <v>2202</v>
      </c>
      <c r="G481" s="17"/>
      <c r="H481" s="17"/>
      <c r="I481" s="26" t="s">
        <v>266</v>
      </c>
      <c r="J481" s="32" t="s">
        <v>231</v>
      </c>
      <c r="K481" s="33" t="n">
        <v>2007</v>
      </c>
      <c r="L481" s="33" t="s">
        <v>99</v>
      </c>
      <c r="M481" s="27"/>
      <c r="N481" s="17" t="s">
        <v>478</v>
      </c>
      <c r="O481" s="17"/>
      <c r="P481" s="40" t="s">
        <v>268</v>
      </c>
      <c r="Q481" s="12"/>
      <c r="R481" s="12"/>
      <c r="S481" s="12"/>
      <c r="T481" s="12"/>
      <c r="U481" s="12"/>
      <c r="V481" s="21"/>
      <c r="Z481" s="12"/>
      <c r="AA481" s="29" t="str">
        <f aca="false">IF(P481="OD500 MX", "5", " ")</f>
        <v>5</v>
      </c>
      <c r="AB481" s="84"/>
      <c r="AC481" s="12"/>
      <c r="AD481" s="12"/>
      <c r="AE481" s="12"/>
    </row>
    <row r="482" customFormat="false" ht="15.75" hidden="false" customHeight="false" outlineLevel="0" collapsed="false">
      <c r="A482" s="12"/>
      <c r="B482" s="12"/>
      <c r="C482" s="23" t="s">
        <v>2203</v>
      </c>
      <c r="D482" s="24" t="s">
        <v>94</v>
      </c>
      <c r="E482" s="25" t="s">
        <v>2204</v>
      </c>
      <c r="F482" s="17" t="s">
        <v>2205</v>
      </c>
      <c r="G482" s="17" t="s">
        <v>145</v>
      </c>
      <c r="H482" s="26" t="s">
        <v>146</v>
      </c>
      <c r="I482" s="17" t="s">
        <v>36</v>
      </c>
      <c r="J482" s="32" t="s">
        <v>231</v>
      </c>
      <c r="K482" s="17" t="n">
        <v>2000</v>
      </c>
      <c r="L482" s="38" t="s">
        <v>73</v>
      </c>
      <c r="M482" s="27"/>
      <c r="N482" s="39" t="s">
        <v>2206</v>
      </c>
      <c r="O482" s="17"/>
      <c r="P482" s="40" t="s">
        <v>111</v>
      </c>
      <c r="Q482" s="12"/>
      <c r="R482" s="12"/>
      <c r="S482" s="12"/>
      <c r="T482" s="12"/>
      <c r="U482" s="12"/>
      <c r="V482" s="21"/>
      <c r="Z482" s="12"/>
      <c r="AA482" s="29" t="n">
        <v>3</v>
      </c>
      <c r="AB482" s="84"/>
      <c r="AC482" s="12"/>
      <c r="AD482" s="12"/>
      <c r="AE482" s="12"/>
    </row>
    <row r="483" customFormat="false" ht="15.75" hidden="false" customHeight="false" outlineLevel="0" collapsed="false">
      <c r="A483" s="12" t="str">
        <f aca="false">IF((AA483&gt;=4), "Y", "N")</f>
        <v>Y</v>
      </c>
      <c r="B483" s="13"/>
      <c r="C483" s="31" t="s">
        <v>2207</v>
      </c>
      <c r="D483" s="16" t="s">
        <v>51</v>
      </c>
      <c r="E483" s="32" t="s">
        <v>2208</v>
      </c>
      <c r="F483" s="17"/>
      <c r="G483" s="17"/>
      <c r="H483" s="17"/>
      <c r="I483" s="26" t="s">
        <v>266</v>
      </c>
      <c r="J483" s="32" t="s">
        <v>231</v>
      </c>
      <c r="K483" s="32"/>
      <c r="L483" s="33" t="s">
        <v>330</v>
      </c>
      <c r="M483" s="27"/>
      <c r="N483" s="17" t="s">
        <v>2209</v>
      </c>
      <c r="O483" s="17"/>
      <c r="P483" s="40" t="s">
        <v>268</v>
      </c>
      <c r="Q483" s="12"/>
      <c r="R483" s="12"/>
      <c r="S483" s="12"/>
      <c r="T483" s="12"/>
      <c r="U483" s="12"/>
      <c r="V483" s="21"/>
      <c r="Z483" s="12"/>
      <c r="AA483" s="29" t="str">
        <f aca="false">IF(P483="OD500 MX", "5", " ")</f>
        <v>5</v>
      </c>
      <c r="AB483" s="70"/>
      <c r="AC483" s="12"/>
      <c r="AD483" s="12"/>
      <c r="AE483" s="12"/>
    </row>
    <row r="484" customFormat="false" ht="15.75" hidden="false" customHeight="false" outlineLevel="0" collapsed="false">
      <c r="A484" s="12"/>
      <c r="B484" s="12"/>
      <c r="C484" s="23" t="s">
        <v>2210</v>
      </c>
      <c r="D484" s="24"/>
      <c r="E484" s="17"/>
      <c r="F484" s="17"/>
      <c r="G484" s="17"/>
      <c r="H484" s="17"/>
      <c r="I484" s="17" t="s">
        <v>260</v>
      </c>
      <c r="J484" s="32" t="s">
        <v>231</v>
      </c>
      <c r="K484" s="17"/>
      <c r="L484" s="17"/>
      <c r="M484" s="27"/>
      <c r="N484" s="17"/>
      <c r="O484" s="17"/>
      <c r="P484" s="40" t="s">
        <v>261</v>
      </c>
      <c r="Q484" s="12"/>
      <c r="R484" s="12"/>
      <c r="S484" s="12"/>
      <c r="T484" s="12"/>
      <c r="U484" s="12"/>
      <c r="V484" s="21"/>
      <c r="Z484" s="12"/>
      <c r="AA484" s="29"/>
      <c r="AB484" s="84"/>
      <c r="AC484" s="12"/>
      <c r="AD484" s="12"/>
      <c r="AE484" s="12"/>
    </row>
    <row r="485" customFormat="false" ht="15.75" hidden="false" customHeight="false" outlineLevel="0" collapsed="false">
      <c r="A485" s="12" t="str">
        <f aca="false">IF((AA485&gt;=4), "Y", "N")</f>
        <v>Y</v>
      </c>
      <c r="B485" s="13"/>
      <c r="C485" s="31" t="s">
        <v>2211</v>
      </c>
      <c r="D485" s="24" t="s">
        <v>94</v>
      </c>
      <c r="E485" s="32" t="s">
        <v>2212</v>
      </c>
      <c r="F485" s="17"/>
      <c r="G485" s="17"/>
      <c r="H485" s="17"/>
      <c r="I485" s="26" t="s">
        <v>266</v>
      </c>
      <c r="J485" s="32" t="s">
        <v>231</v>
      </c>
      <c r="K485" s="33" t="n">
        <v>1799</v>
      </c>
      <c r="L485" s="33" t="s">
        <v>275</v>
      </c>
      <c r="M485" s="27"/>
      <c r="N485" s="17" t="s">
        <v>2213</v>
      </c>
      <c r="O485" s="17"/>
      <c r="P485" s="40" t="s">
        <v>268</v>
      </c>
      <c r="Q485" s="20"/>
      <c r="R485" s="20"/>
      <c r="S485" s="20"/>
      <c r="T485" s="20"/>
      <c r="U485" s="20"/>
      <c r="V485" s="45"/>
      <c r="Z485" s="20"/>
      <c r="AA485" s="29" t="str">
        <f aca="false">IF(P485="OD500 MX", "5", " ")</f>
        <v>5</v>
      </c>
      <c r="AB485" s="70"/>
      <c r="AC485" s="20"/>
      <c r="AD485" s="20"/>
      <c r="AE485" s="20"/>
    </row>
    <row r="486" customFormat="false" ht="15.75" hidden="false" customHeight="false" outlineLevel="0" collapsed="false">
      <c r="A486" s="12" t="str">
        <f aca="false">IF((AA486&gt;=4), "Y", "N")</f>
        <v>Y</v>
      </c>
      <c r="B486" s="13"/>
      <c r="C486" s="31" t="s">
        <v>2214</v>
      </c>
      <c r="D486" s="24" t="s">
        <v>94</v>
      </c>
      <c r="E486" s="32" t="s">
        <v>2215</v>
      </c>
      <c r="F486" s="17"/>
      <c r="G486" s="17"/>
      <c r="H486" s="17"/>
      <c r="I486" s="26" t="s">
        <v>266</v>
      </c>
      <c r="J486" s="32" t="s">
        <v>231</v>
      </c>
      <c r="K486" s="33" t="n">
        <v>2013</v>
      </c>
      <c r="L486" s="33" t="s">
        <v>99</v>
      </c>
      <c r="M486" s="27"/>
      <c r="N486" s="17" t="s">
        <v>2216</v>
      </c>
      <c r="O486" s="17"/>
      <c r="P486" s="40" t="s">
        <v>268</v>
      </c>
      <c r="Q486" s="12"/>
      <c r="R486" s="12"/>
      <c r="S486" s="12"/>
      <c r="T486" s="12"/>
      <c r="U486" s="12"/>
      <c r="V486" s="21"/>
      <c r="Z486" s="12"/>
      <c r="AA486" s="29" t="str">
        <f aca="false">IF(P486="OD500 MX", "5", " ")</f>
        <v>5</v>
      </c>
      <c r="AB486" s="70"/>
      <c r="AC486" s="12"/>
      <c r="AD486" s="12"/>
      <c r="AE486" s="12"/>
    </row>
    <row r="487" customFormat="false" ht="15.75" hidden="false" customHeight="false" outlineLevel="0" collapsed="false">
      <c r="A487" s="12"/>
      <c r="B487" s="12"/>
      <c r="C487" s="23" t="s">
        <v>2217</v>
      </c>
      <c r="D487" s="24" t="s">
        <v>94</v>
      </c>
      <c r="E487" s="25" t="s">
        <v>2218</v>
      </c>
      <c r="F487" s="17" t="s">
        <v>2219</v>
      </c>
      <c r="G487" s="17" t="s">
        <v>145</v>
      </c>
      <c r="H487" s="26" t="s">
        <v>146</v>
      </c>
      <c r="I487" s="17" t="s">
        <v>36</v>
      </c>
      <c r="J487" s="32" t="s">
        <v>231</v>
      </c>
      <c r="K487" s="17" t="n">
        <v>2010</v>
      </c>
      <c r="L487" s="38" t="s">
        <v>73</v>
      </c>
      <c r="M487" s="27"/>
      <c r="N487" s="17"/>
      <c r="O487" s="17"/>
      <c r="P487" s="40" t="s">
        <v>111</v>
      </c>
      <c r="Q487" s="12"/>
      <c r="R487" s="12"/>
      <c r="S487" s="12"/>
      <c r="T487" s="12"/>
      <c r="U487" s="12"/>
      <c r="V487" s="21"/>
      <c r="Z487" s="12"/>
      <c r="AA487" s="29" t="n">
        <v>3</v>
      </c>
      <c r="AB487" s="84"/>
      <c r="AC487" s="12"/>
      <c r="AD487" s="12"/>
      <c r="AE487" s="12"/>
    </row>
    <row r="488" customFormat="false" ht="15.75" hidden="false" customHeight="false" outlineLevel="0" collapsed="false">
      <c r="A488" s="12" t="str">
        <f aca="false">IF((AA488&gt;=4), "Y", "N")</f>
        <v>Y</v>
      </c>
      <c r="B488" s="13"/>
      <c r="C488" s="31" t="s">
        <v>2220</v>
      </c>
      <c r="D488" s="24" t="s">
        <v>94</v>
      </c>
      <c r="E488" s="32" t="s">
        <v>2221</v>
      </c>
      <c r="F488" s="17"/>
      <c r="G488" s="17"/>
      <c r="H488" s="17"/>
      <c r="I488" s="26" t="s">
        <v>266</v>
      </c>
      <c r="J488" s="32" t="s">
        <v>231</v>
      </c>
      <c r="K488" s="33" t="n">
        <v>2012</v>
      </c>
      <c r="L488" s="33" t="s">
        <v>99</v>
      </c>
      <c r="M488" s="27"/>
      <c r="N488" s="17" t="s">
        <v>2222</v>
      </c>
      <c r="O488" s="17"/>
      <c r="P488" s="40" t="s">
        <v>268</v>
      </c>
      <c r="Q488" s="12"/>
      <c r="R488" s="12"/>
      <c r="S488" s="12"/>
      <c r="T488" s="12"/>
      <c r="U488" s="12"/>
      <c r="V488" s="21"/>
      <c r="Z488" s="12"/>
      <c r="AA488" s="29" t="str">
        <f aca="false">IF(P488="OD500 MX", "5", " ")</f>
        <v>5</v>
      </c>
      <c r="AB488" s="70"/>
      <c r="AC488" s="12"/>
      <c r="AD488" s="12"/>
      <c r="AE488" s="12"/>
    </row>
    <row r="489" customFormat="false" ht="15.75" hidden="false" customHeight="false" outlineLevel="0" collapsed="false">
      <c r="A489" s="12" t="str">
        <f aca="false">IF((AA489&gt;=4), "Y", "N")</f>
        <v>Y</v>
      </c>
      <c r="B489" s="13"/>
      <c r="C489" s="31" t="s">
        <v>2223</v>
      </c>
      <c r="D489" s="24" t="s">
        <v>94</v>
      </c>
      <c r="E489" s="32" t="s">
        <v>2224</v>
      </c>
      <c r="F489" s="17"/>
      <c r="G489" s="17"/>
      <c r="H489" s="17"/>
      <c r="I489" s="26" t="s">
        <v>266</v>
      </c>
      <c r="J489" s="32" t="s">
        <v>231</v>
      </c>
      <c r="K489" s="33" t="n">
        <v>2012</v>
      </c>
      <c r="L489" s="33" t="s">
        <v>99</v>
      </c>
      <c r="M489" s="27"/>
      <c r="N489" s="17" t="s">
        <v>2225</v>
      </c>
      <c r="O489" s="17"/>
      <c r="P489" s="40" t="s">
        <v>268</v>
      </c>
      <c r="Q489" s="17"/>
      <c r="R489" s="17"/>
      <c r="S489" s="17"/>
      <c r="T489" s="17"/>
      <c r="U489" s="17"/>
      <c r="V489" s="27"/>
      <c r="Z489" s="17"/>
      <c r="AA489" s="29" t="str">
        <f aca="false">IF(P489="OD500 MX", "5", " ")</f>
        <v>5</v>
      </c>
      <c r="AB489" s="70"/>
      <c r="AC489" s="17"/>
      <c r="AD489" s="17"/>
      <c r="AE489" s="17"/>
    </row>
    <row r="490" customFormat="false" ht="15.75" hidden="false" customHeight="false" outlineLevel="0" collapsed="false">
      <c r="A490" s="12"/>
      <c r="B490" s="12"/>
      <c r="C490" s="23" t="s">
        <v>2226</v>
      </c>
      <c r="D490" s="24" t="s">
        <v>94</v>
      </c>
      <c r="E490" s="17"/>
      <c r="F490" s="17"/>
      <c r="G490" s="17"/>
      <c r="H490" s="17"/>
      <c r="I490" s="17" t="s">
        <v>260</v>
      </c>
      <c r="J490" s="32" t="s">
        <v>231</v>
      </c>
      <c r="K490" s="17"/>
      <c r="L490" s="17"/>
      <c r="M490" s="27"/>
      <c r="N490" s="17"/>
      <c r="O490" s="17"/>
      <c r="P490" s="40" t="s">
        <v>261</v>
      </c>
      <c r="Q490" s="20"/>
      <c r="R490" s="20"/>
      <c r="S490" s="20"/>
      <c r="T490" s="20"/>
      <c r="U490" s="20"/>
      <c r="V490" s="45"/>
      <c r="Z490" s="20"/>
      <c r="AA490" s="22"/>
      <c r="AB490" s="84"/>
      <c r="AC490" s="20"/>
      <c r="AD490" s="20"/>
      <c r="AE490" s="20"/>
    </row>
    <row r="491" customFormat="false" ht="15.75" hidden="false" customHeight="false" outlineLevel="0" collapsed="false">
      <c r="A491" s="12"/>
      <c r="B491" s="12"/>
      <c r="C491" s="23" t="s">
        <v>2227</v>
      </c>
      <c r="D491" s="24" t="s">
        <v>94</v>
      </c>
      <c r="E491" s="25" t="s">
        <v>2228</v>
      </c>
      <c r="F491" s="17" t="s">
        <v>2229</v>
      </c>
      <c r="G491" s="17" t="s">
        <v>405</v>
      </c>
      <c r="H491" s="26" t="s">
        <v>72</v>
      </c>
      <c r="I491" s="17" t="s">
        <v>36</v>
      </c>
      <c r="J491" s="32" t="s">
        <v>231</v>
      </c>
      <c r="K491" s="17" t="n">
        <v>2006</v>
      </c>
      <c r="L491" s="33" t="s">
        <v>275</v>
      </c>
      <c r="M491" s="27"/>
      <c r="N491" s="17"/>
      <c r="O491" s="17"/>
      <c r="P491" s="40" t="s">
        <v>111</v>
      </c>
      <c r="Q491" s="12"/>
      <c r="R491" s="12"/>
      <c r="S491" s="12"/>
      <c r="T491" s="12"/>
      <c r="U491" s="12"/>
      <c r="V491" s="21"/>
      <c r="Z491" s="12"/>
      <c r="AA491" s="29" t="n">
        <v>1</v>
      </c>
      <c r="AB491" s="84"/>
      <c r="AC491" s="12"/>
      <c r="AD491" s="12"/>
      <c r="AE491" s="12"/>
    </row>
    <row r="492" customFormat="false" ht="15.75" hidden="false" customHeight="false" outlineLevel="0" collapsed="false">
      <c r="A492" s="12" t="str">
        <f aca="false">IF((AA492&gt;=4), "Y", "N")</f>
        <v>Y</v>
      </c>
      <c r="B492" s="13"/>
      <c r="C492" s="31" t="s">
        <v>2230</v>
      </c>
      <c r="D492" s="24" t="s">
        <v>94</v>
      </c>
      <c r="E492" s="32" t="s">
        <v>2231</v>
      </c>
      <c r="F492" s="17"/>
      <c r="G492" s="17"/>
      <c r="H492" s="17"/>
      <c r="I492" s="26" t="s">
        <v>266</v>
      </c>
      <c r="J492" s="32" t="s">
        <v>231</v>
      </c>
      <c r="K492" s="33" t="n">
        <v>1904</v>
      </c>
      <c r="L492" s="33" t="s">
        <v>275</v>
      </c>
      <c r="M492" s="27"/>
      <c r="N492" s="17" t="s">
        <v>2216</v>
      </c>
      <c r="O492" s="17"/>
      <c r="P492" s="40" t="s">
        <v>268</v>
      </c>
      <c r="Q492" s="17"/>
      <c r="R492" s="17"/>
      <c r="S492" s="17"/>
      <c r="T492" s="17"/>
      <c r="U492" s="17"/>
      <c r="V492" s="27"/>
      <c r="Z492" s="17"/>
      <c r="AA492" s="29" t="str">
        <f aca="false">IF(P492="OD500 MX", "5", " ")</f>
        <v>5</v>
      </c>
      <c r="AB492" s="70"/>
      <c r="AC492" s="17"/>
      <c r="AD492" s="17"/>
      <c r="AE492" s="17"/>
    </row>
    <row r="493" customFormat="false" ht="15.75" hidden="false" customHeight="false" outlineLevel="0" collapsed="false">
      <c r="A493" s="12"/>
      <c r="B493" s="12"/>
      <c r="C493" s="23" t="s">
        <v>2232</v>
      </c>
      <c r="D493" s="24" t="s">
        <v>94</v>
      </c>
      <c r="E493" s="25" t="s">
        <v>2233</v>
      </c>
      <c r="F493" s="17" t="s">
        <v>2234</v>
      </c>
      <c r="G493" s="17"/>
      <c r="H493" s="17"/>
      <c r="I493" s="17" t="s">
        <v>260</v>
      </c>
      <c r="J493" s="32" t="s">
        <v>231</v>
      </c>
      <c r="K493" s="17"/>
      <c r="L493" s="17"/>
      <c r="M493" s="27"/>
      <c r="N493" s="17"/>
      <c r="O493" s="17"/>
      <c r="P493" s="40" t="s">
        <v>261</v>
      </c>
      <c r="Q493" s="12"/>
      <c r="R493" s="12"/>
      <c r="S493" s="12"/>
      <c r="T493" s="12"/>
      <c r="U493" s="12"/>
      <c r="V493" s="21"/>
      <c r="Z493" s="12"/>
      <c r="AA493" s="29"/>
      <c r="AB493" s="84"/>
      <c r="AC493" s="12"/>
      <c r="AD493" s="12"/>
      <c r="AE493" s="12"/>
    </row>
    <row r="494" customFormat="false" ht="15.75" hidden="false" customHeight="false" outlineLevel="0" collapsed="false">
      <c r="A494" s="12"/>
      <c r="B494" s="12"/>
      <c r="C494" s="23" t="s">
        <v>2235</v>
      </c>
      <c r="D494" s="24" t="s">
        <v>94</v>
      </c>
      <c r="E494" s="17"/>
      <c r="F494" s="17"/>
      <c r="G494" s="17"/>
      <c r="H494" s="17"/>
      <c r="I494" s="17" t="s">
        <v>260</v>
      </c>
      <c r="J494" s="32" t="s">
        <v>231</v>
      </c>
      <c r="K494" s="17"/>
      <c r="L494" s="17"/>
      <c r="M494" s="27"/>
      <c r="N494" s="17"/>
      <c r="O494" s="17"/>
      <c r="P494" s="40" t="s">
        <v>261</v>
      </c>
      <c r="Q494" s="12"/>
      <c r="R494" s="12"/>
      <c r="S494" s="12"/>
      <c r="T494" s="12"/>
      <c r="U494" s="12"/>
      <c r="V494" s="21"/>
      <c r="Z494" s="12"/>
      <c r="AA494" s="29"/>
      <c r="AB494" s="84"/>
      <c r="AC494" s="12"/>
      <c r="AD494" s="12"/>
      <c r="AE494" s="12"/>
    </row>
    <row r="495" customFormat="false" ht="15.75" hidden="false" customHeight="false" outlineLevel="0" collapsed="false">
      <c r="A495" s="12"/>
      <c r="B495" s="12"/>
      <c r="C495" s="23" t="s">
        <v>2236</v>
      </c>
      <c r="D495" s="24" t="s">
        <v>94</v>
      </c>
      <c r="E495" s="17"/>
      <c r="F495" s="17"/>
      <c r="G495" s="17"/>
      <c r="H495" s="17"/>
      <c r="I495" s="17" t="s">
        <v>260</v>
      </c>
      <c r="J495" s="32" t="s">
        <v>2199</v>
      </c>
      <c r="K495" s="17"/>
      <c r="L495" s="17"/>
      <c r="M495" s="27"/>
      <c r="N495" s="17"/>
      <c r="O495" s="17"/>
      <c r="P495" s="40" t="s">
        <v>261</v>
      </c>
      <c r="Q495" s="12"/>
      <c r="R495" s="12"/>
      <c r="S495" s="12"/>
      <c r="T495" s="12"/>
      <c r="U495" s="12"/>
      <c r="V495" s="21"/>
      <c r="Z495" s="12"/>
      <c r="AA495" s="29"/>
      <c r="AB495" s="84"/>
      <c r="AC495" s="12"/>
      <c r="AD495" s="12"/>
      <c r="AE495" s="12"/>
    </row>
    <row r="496" customFormat="false" ht="15.75" hidden="false" customHeight="false" outlineLevel="0" collapsed="false">
      <c r="A496" s="12"/>
      <c r="B496" s="12"/>
      <c r="C496" s="23" t="s">
        <v>2237</v>
      </c>
      <c r="D496" s="24" t="s">
        <v>94</v>
      </c>
      <c r="E496" s="25" t="s">
        <v>2238</v>
      </c>
      <c r="F496" s="17" t="s">
        <v>2239</v>
      </c>
      <c r="G496" s="17" t="s">
        <v>145</v>
      </c>
      <c r="H496" s="17" t="s">
        <v>146</v>
      </c>
      <c r="I496" s="17" t="s">
        <v>36</v>
      </c>
      <c r="J496" s="32" t="s">
        <v>231</v>
      </c>
      <c r="K496" s="17" t="n">
        <v>2010</v>
      </c>
      <c r="L496" s="33" t="s">
        <v>275</v>
      </c>
      <c r="M496" s="27"/>
      <c r="N496" s="17"/>
      <c r="O496" s="17"/>
      <c r="P496" s="40" t="s">
        <v>111</v>
      </c>
      <c r="Q496" s="17"/>
      <c r="R496" s="17"/>
      <c r="S496" s="17"/>
      <c r="T496" s="17"/>
      <c r="U496" s="17"/>
      <c r="V496" s="27"/>
      <c r="Z496" s="17"/>
      <c r="AA496" s="29" t="n">
        <v>1</v>
      </c>
      <c r="AB496" s="84"/>
      <c r="AC496" s="17"/>
      <c r="AD496" s="17"/>
      <c r="AE496" s="17"/>
    </row>
    <row r="497" customFormat="false" ht="15.75" hidden="false" customHeight="false" outlineLevel="0" collapsed="false">
      <c r="A497" s="12"/>
      <c r="B497" s="12"/>
      <c r="C497" s="23" t="s">
        <v>2240</v>
      </c>
      <c r="D497" s="24"/>
      <c r="E497" s="17"/>
      <c r="F497" s="17"/>
      <c r="G497" s="17"/>
      <c r="H497" s="17"/>
      <c r="I497" s="17" t="s">
        <v>260</v>
      </c>
      <c r="J497" s="32" t="s">
        <v>231</v>
      </c>
      <c r="K497" s="17"/>
      <c r="L497" s="17"/>
      <c r="M497" s="27"/>
      <c r="N497" s="17"/>
      <c r="O497" s="17"/>
      <c r="P497" s="40" t="s">
        <v>261</v>
      </c>
      <c r="Q497" s="12"/>
      <c r="R497" s="12"/>
      <c r="S497" s="12"/>
      <c r="T497" s="12"/>
      <c r="U497" s="12"/>
      <c r="V497" s="21"/>
      <c r="Z497" s="12"/>
      <c r="AA497" s="29"/>
      <c r="AB497" s="84"/>
      <c r="AC497" s="12"/>
      <c r="AD497" s="12"/>
      <c r="AE497" s="12"/>
    </row>
    <row r="498" customFormat="false" ht="15.75" hidden="false" customHeight="false" outlineLevel="0" collapsed="false">
      <c r="A498" s="12"/>
      <c r="B498" s="12"/>
      <c r="C498" s="23" t="s">
        <v>2241</v>
      </c>
      <c r="D498" s="24" t="s">
        <v>94</v>
      </c>
      <c r="E498" s="25" t="s">
        <v>2242</v>
      </c>
      <c r="F498" s="17" t="s">
        <v>2243</v>
      </c>
      <c r="G498" s="17" t="s">
        <v>145</v>
      </c>
      <c r="H498" s="26" t="s">
        <v>146</v>
      </c>
      <c r="I498" s="17" t="s">
        <v>36</v>
      </c>
      <c r="J498" s="32" t="s">
        <v>231</v>
      </c>
      <c r="K498" s="17" t="n">
        <v>1860</v>
      </c>
      <c r="L498" s="33" t="s">
        <v>275</v>
      </c>
      <c r="M498" s="27"/>
      <c r="N498" s="17"/>
      <c r="O498" s="17"/>
      <c r="P498" s="40" t="s">
        <v>111</v>
      </c>
      <c r="Q498" s="12"/>
      <c r="R498" s="12"/>
      <c r="S498" s="12"/>
      <c r="T498" s="12"/>
      <c r="U498" s="12"/>
      <c r="V498" s="21"/>
      <c r="Z498" s="12"/>
      <c r="AA498" s="29" t="n">
        <v>3</v>
      </c>
      <c r="AB498" s="84"/>
      <c r="AC498" s="12"/>
      <c r="AD498" s="12"/>
      <c r="AE498" s="12"/>
    </row>
    <row r="499" customFormat="false" ht="15.75" hidden="false" customHeight="false" outlineLevel="0" collapsed="false">
      <c r="A499" s="12"/>
      <c r="B499" s="12"/>
      <c r="C499" s="23" t="s">
        <v>2244</v>
      </c>
      <c r="D499" s="24"/>
      <c r="E499" s="17"/>
      <c r="F499" s="17"/>
      <c r="G499" s="17"/>
      <c r="H499" s="17"/>
      <c r="I499" s="17" t="s">
        <v>260</v>
      </c>
      <c r="J499" s="32" t="s">
        <v>231</v>
      </c>
      <c r="K499" s="17"/>
      <c r="L499" s="17"/>
      <c r="M499" s="27"/>
      <c r="N499" s="17"/>
      <c r="O499" s="17"/>
      <c r="P499" s="40" t="s">
        <v>261</v>
      </c>
      <c r="Q499" s="12"/>
      <c r="R499" s="12"/>
      <c r="S499" s="12"/>
      <c r="T499" s="12"/>
      <c r="U499" s="12"/>
      <c r="V499" s="21"/>
      <c r="Z499" s="12"/>
      <c r="AA499" s="29"/>
      <c r="AB499" s="84"/>
      <c r="AC499" s="12"/>
      <c r="AD499" s="12"/>
      <c r="AE499" s="12"/>
    </row>
    <row r="500" customFormat="false" ht="15.75" hidden="false" customHeight="false" outlineLevel="0" collapsed="false">
      <c r="A500" s="12"/>
      <c r="B500" s="12"/>
      <c r="C500" s="23" t="s">
        <v>2245</v>
      </c>
      <c r="D500" s="24" t="s">
        <v>94</v>
      </c>
      <c r="E500" s="25" t="s">
        <v>2246</v>
      </c>
      <c r="F500" s="17" t="s">
        <v>2247</v>
      </c>
      <c r="G500" s="17" t="s">
        <v>2248</v>
      </c>
      <c r="H500" s="26" t="s">
        <v>120</v>
      </c>
      <c r="I500" s="17" t="s">
        <v>36</v>
      </c>
      <c r="J500" s="32" t="s">
        <v>231</v>
      </c>
      <c r="K500" s="17" t="n">
        <v>1937</v>
      </c>
      <c r="L500" s="33"/>
      <c r="M500" s="27"/>
      <c r="N500" s="17"/>
      <c r="O500" s="17"/>
      <c r="P500" s="40" t="s">
        <v>111</v>
      </c>
      <c r="Q500" s="12"/>
      <c r="R500" s="12"/>
      <c r="S500" s="12"/>
      <c r="T500" s="12"/>
      <c r="U500" s="12"/>
      <c r="V500" s="21"/>
      <c r="Z500" s="12"/>
      <c r="AA500" s="29" t="n">
        <v>3</v>
      </c>
      <c r="AB500" s="84"/>
      <c r="AC500" s="12"/>
      <c r="AD500" s="12"/>
      <c r="AE500" s="12"/>
    </row>
    <row r="501" customFormat="false" ht="15.75" hidden="false" customHeight="false" outlineLevel="0" collapsed="false">
      <c r="A501" s="12" t="str">
        <f aca="false">IF((AA501&gt;=4), "Y", "N")</f>
        <v>Y</v>
      </c>
      <c r="B501" s="13"/>
      <c r="C501" s="31" t="s">
        <v>2249</v>
      </c>
      <c r="D501" s="24" t="s">
        <v>94</v>
      </c>
      <c r="E501" s="32" t="s">
        <v>2250</v>
      </c>
      <c r="F501" s="17"/>
      <c r="G501" s="17"/>
      <c r="H501" s="17"/>
      <c r="I501" s="26" t="s">
        <v>266</v>
      </c>
      <c r="J501" s="32" t="s">
        <v>231</v>
      </c>
      <c r="K501" s="33" t="n">
        <v>2013</v>
      </c>
      <c r="L501" s="33" t="s">
        <v>99</v>
      </c>
      <c r="M501" s="27"/>
      <c r="N501" s="17" t="s">
        <v>2251</v>
      </c>
      <c r="O501" s="17"/>
      <c r="P501" s="40" t="s">
        <v>268</v>
      </c>
      <c r="Q501" s="17"/>
      <c r="R501" s="17"/>
      <c r="S501" s="17"/>
      <c r="T501" s="17"/>
      <c r="U501" s="17"/>
      <c r="V501" s="27"/>
      <c r="Z501" s="17"/>
      <c r="AA501" s="29" t="str">
        <f aca="false">IF(P501="OD500 MX", "5", " ")</f>
        <v>5</v>
      </c>
      <c r="AB501" s="70"/>
      <c r="AC501" s="17"/>
      <c r="AD501" s="17"/>
      <c r="AE501" s="17"/>
    </row>
    <row r="502" customFormat="false" ht="15.75" hidden="false" customHeight="false" outlineLevel="0" collapsed="false">
      <c r="A502" s="12"/>
      <c r="B502" s="12"/>
      <c r="C502" s="23" t="s">
        <v>2252</v>
      </c>
      <c r="D502" s="24"/>
      <c r="E502" s="17"/>
      <c r="F502" s="17"/>
      <c r="G502" s="17"/>
      <c r="H502" s="17"/>
      <c r="I502" s="17" t="s">
        <v>260</v>
      </c>
      <c r="J502" s="32" t="s">
        <v>231</v>
      </c>
      <c r="K502" s="17"/>
      <c r="L502" s="17"/>
      <c r="M502" s="27"/>
      <c r="N502" s="17"/>
      <c r="O502" s="17"/>
      <c r="P502" s="40" t="s">
        <v>261</v>
      </c>
      <c r="Q502" s="12"/>
      <c r="R502" s="12"/>
      <c r="S502" s="12"/>
      <c r="T502" s="12"/>
      <c r="U502" s="12"/>
      <c r="V502" s="21"/>
      <c r="Z502" s="12"/>
      <c r="AA502" s="29"/>
      <c r="AB502" s="84"/>
      <c r="AC502" s="12"/>
      <c r="AD502" s="12"/>
      <c r="AE502" s="12"/>
    </row>
    <row r="503" customFormat="false" ht="15.75" hidden="false" customHeight="false" outlineLevel="0" collapsed="false">
      <c r="A503" s="12" t="str">
        <f aca="false">IF((AA503&gt;=4), "Y", "N")</f>
        <v>Y</v>
      </c>
      <c r="B503" s="12"/>
      <c r="C503" s="23" t="s">
        <v>2253</v>
      </c>
      <c r="D503" s="24" t="s">
        <v>61</v>
      </c>
      <c r="E503" s="25" t="s">
        <v>2254</v>
      </c>
      <c r="F503" s="17" t="s">
        <v>2255</v>
      </c>
      <c r="G503" s="17" t="s">
        <v>145</v>
      </c>
      <c r="H503" s="17" t="s">
        <v>146</v>
      </c>
      <c r="I503" s="17" t="s">
        <v>36</v>
      </c>
      <c r="J503" s="32" t="s">
        <v>2199</v>
      </c>
      <c r="K503" s="17" t="n">
        <v>1896</v>
      </c>
      <c r="L503" s="33" t="s">
        <v>275</v>
      </c>
      <c r="M503" s="27"/>
      <c r="N503" s="17" t="s">
        <v>478</v>
      </c>
      <c r="O503" s="17"/>
      <c r="P503" s="40" t="s">
        <v>111</v>
      </c>
      <c r="Q503" s="12"/>
      <c r="R503" s="12"/>
      <c r="S503" s="12"/>
      <c r="T503" s="12"/>
      <c r="U503" s="12"/>
      <c r="V503" s="21"/>
      <c r="Z503" s="12"/>
      <c r="AA503" s="29" t="n">
        <v>5</v>
      </c>
      <c r="AB503" s="84"/>
      <c r="AC503" s="12"/>
      <c r="AD503" s="12"/>
      <c r="AE503" s="12"/>
    </row>
    <row r="504" customFormat="false" ht="15.75" hidden="false" customHeight="false" outlineLevel="0" collapsed="false">
      <c r="A504" s="12" t="str">
        <f aca="false">IF((AA504&gt;=4), "Y", "N")</f>
        <v>Y</v>
      </c>
      <c r="B504" s="12"/>
      <c r="C504" s="23" t="s">
        <v>2256</v>
      </c>
      <c r="D504" s="24" t="s">
        <v>94</v>
      </c>
      <c r="E504" s="25" t="s">
        <v>2257</v>
      </c>
      <c r="F504" s="17" t="s">
        <v>2258</v>
      </c>
      <c r="G504" s="17" t="s">
        <v>145</v>
      </c>
      <c r="H504" s="17" t="s">
        <v>146</v>
      </c>
      <c r="I504" s="17" t="s">
        <v>36</v>
      </c>
      <c r="J504" s="32" t="s">
        <v>231</v>
      </c>
      <c r="K504" s="17" t="n">
        <v>2003</v>
      </c>
      <c r="L504" s="38" t="s">
        <v>73</v>
      </c>
      <c r="M504" s="27"/>
      <c r="N504" s="17" t="s">
        <v>478</v>
      </c>
      <c r="O504" s="17"/>
      <c r="P504" s="40" t="s">
        <v>111</v>
      </c>
      <c r="Q504" s="12"/>
      <c r="R504" s="12"/>
      <c r="S504" s="12"/>
      <c r="T504" s="12"/>
      <c r="U504" s="12"/>
      <c r="V504" s="21"/>
      <c r="Z504" s="12"/>
      <c r="AA504" s="29" t="n">
        <v>5</v>
      </c>
      <c r="AB504" s="84"/>
      <c r="AC504" s="12"/>
      <c r="AD504" s="12"/>
      <c r="AE504" s="12"/>
    </row>
    <row r="505" customFormat="false" ht="15.75" hidden="false" customHeight="false" outlineLevel="0" collapsed="false">
      <c r="A505" s="12" t="str">
        <f aca="false">IF((AA505&gt;=4), "Y", "N")</f>
        <v>Y</v>
      </c>
      <c r="B505" s="12"/>
      <c r="C505" s="23" t="s">
        <v>2259</v>
      </c>
      <c r="D505" s="24" t="s">
        <v>94</v>
      </c>
      <c r="E505" s="25" t="s">
        <v>2260</v>
      </c>
      <c r="F505" s="17" t="s">
        <v>2261</v>
      </c>
      <c r="G505" s="17" t="s">
        <v>2262</v>
      </c>
      <c r="H505" s="17" t="s">
        <v>303</v>
      </c>
      <c r="I505" s="17" t="s">
        <v>36</v>
      </c>
      <c r="J505" s="32" t="s">
        <v>244</v>
      </c>
      <c r="K505" s="17" t="n">
        <v>2004</v>
      </c>
      <c r="L505" s="38" t="s">
        <v>482</v>
      </c>
      <c r="M505" s="27"/>
      <c r="N505" s="17" t="s">
        <v>2263</v>
      </c>
      <c r="O505" s="17"/>
      <c r="P505" s="40" t="s">
        <v>111</v>
      </c>
      <c r="Q505" s="12"/>
      <c r="R505" s="12"/>
      <c r="S505" s="12"/>
      <c r="T505" s="12"/>
      <c r="U505" s="12"/>
      <c r="V505" s="21"/>
      <c r="Z505" s="12"/>
      <c r="AA505" s="29" t="n">
        <v>4</v>
      </c>
      <c r="AB505" s="84"/>
      <c r="AC505" s="12"/>
      <c r="AD505" s="12"/>
      <c r="AE505" s="12"/>
    </row>
    <row r="506" customFormat="false" ht="15.75" hidden="false" customHeight="false" outlineLevel="0" collapsed="false">
      <c r="A506" s="12" t="str">
        <f aca="false">IF((AA506&gt;=4), "Y", "N")</f>
        <v>Y</v>
      </c>
      <c r="B506" s="12"/>
      <c r="C506" s="23" t="s">
        <v>2264</v>
      </c>
      <c r="D506" s="24" t="s">
        <v>94</v>
      </c>
      <c r="E506" s="25" t="s">
        <v>2265</v>
      </c>
      <c r="F506" s="17" t="s">
        <v>2266</v>
      </c>
      <c r="G506" s="17" t="s">
        <v>145</v>
      </c>
      <c r="H506" s="26" t="s">
        <v>146</v>
      </c>
      <c r="I506" s="17" t="s">
        <v>36</v>
      </c>
      <c r="J506" s="32" t="s">
        <v>231</v>
      </c>
      <c r="K506" s="17" t="n">
        <v>2009</v>
      </c>
      <c r="L506" s="38" t="s">
        <v>109</v>
      </c>
      <c r="M506" s="27"/>
      <c r="N506" s="17" t="s">
        <v>2267</v>
      </c>
      <c r="O506" s="17"/>
      <c r="P506" s="40" t="s">
        <v>111</v>
      </c>
      <c r="Q506" s="12"/>
      <c r="R506" s="12"/>
      <c r="S506" s="12"/>
      <c r="T506" s="12"/>
      <c r="U506" s="12"/>
      <c r="V506" s="21"/>
      <c r="Z506" s="12"/>
      <c r="AA506" s="29" t="n">
        <v>4</v>
      </c>
      <c r="AB506" s="84"/>
      <c r="AC506" s="12"/>
      <c r="AD506" s="12"/>
      <c r="AE506" s="12"/>
    </row>
    <row r="507" customFormat="false" ht="15.75" hidden="false" customHeight="false" outlineLevel="0" collapsed="false">
      <c r="A507" s="12" t="str">
        <f aca="false">IF((AA507&gt;=4), "Y", "N")</f>
        <v>Y</v>
      </c>
      <c r="B507" s="12"/>
      <c r="C507" s="23" t="s">
        <v>2268</v>
      </c>
      <c r="D507" s="16" t="s">
        <v>94</v>
      </c>
      <c r="E507" s="25" t="s">
        <v>2269</v>
      </c>
      <c r="F507" s="17" t="s">
        <v>2270</v>
      </c>
      <c r="G507" s="17" t="s">
        <v>2271</v>
      </c>
      <c r="H507" s="26" t="s">
        <v>2272</v>
      </c>
      <c r="I507" s="17" t="s">
        <v>36</v>
      </c>
      <c r="J507" s="32" t="s">
        <v>231</v>
      </c>
      <c r="K507" s="17" t="n">
        <v>1998</v>
      </c>
      <c r="L507" s="33" t="s">
        <v>275</v>
      </c>
      <c r="M507" s="27"/>
      <c r="N507" s="37" t="s">
        <v>2273</v>
      </c>
      <c r="O507" s="17"/>
      <c r="P507" s="40" t="s">
        <v>111</v>
      </c>
      <c r="V507" s="60"/>
      <c r="AA507" s="63" t="n">
        <v>5</v>
      </c>
      <c r="AB507" s="84"/>
    </row>
    <row r="508" customFormat="false" ht="15.75" hidden="false" customHeight="false" outlineLevel="0" collapsed="false">
      <c r="A508" s="12" t="str">
        <f aca="false">IF((AA508&gt;=4), "Y", "N")</f>
        <v>Y</v>
      </c>
      <c r="B508" s="13"/>
      <c r="C508" s="31" t="s">
        <v>2274</v>
      </c>
      <c r="D508" s="16" t="s">
        <v>94</v>
      </c>
      <c r="E508" s="32" t="s">
        <v>2275</v>
      </c>
      <c r="F508" s="32" t="s">
        <v>2276</v>
      </c>
      <c r="G508" s="32" t="s">
        <v>145</v>
      </c>
      <c r="H508" s="26" t="s">
        <v>146</v>
      </c>
      <c r="I508" s="17" t="s">
        <v>36</v>
      </c>
      <c r="J508" s="32" t="s">
        <v>231</v>
      </c>
      <c r="K508" s="33" t="n">
        <v>2010</v>
      </c>
      <c r="L508" s="33" t="s">
        <v>99</v>
      </c>
      <c r="M508" s="27"/>
      <c r="N508" s="37" t="s">
        <v>2277</v>
      </c>
      <c r="O508" s="17"/>
      <c r="P508" s="19" t="s">
        <v>76</v>
      </c>
      <c r="R508" s="0" t="s">
        <v>2278</v>
      </c>
      <c r="T508" s="0" t="s">
        <v>2279</v>
      </c>
      <c r="V508" s="21" t="s">
        <v>31</v>
      </c>
      <c r="AA508" s="22" t="str">
        <f aca="false">IF(P508="OD500 US (submitted)", "5", " ")</f>
        <v>5</v>
      </c>
      <c r="AB508" s="84"/>
    </row>
    <row r="509" customFormat="false" ht="15.75" hidden="false" customHeight="false" outlineLevel="0" collapsed="false">
      <c r="A509" s="12" t="str">
        <f aca="false">IF((AA509&gt;=4), "Y", "N")</f>
        <v>Y</v>
      </c>
      <c r="B509" s="12"/>
      <c r="C509" s="23" t="s">
        <v>2280</v>
      </c>
      <c r="D509" s="24" t="s">
        <v>94</v>
      </c>
      <c r="E509" s="25" t="s">
        <v>2281</v>
      </c>
      <c r="F509" s="17" t="s">
        <v>2282</v>
      </c>
      <c r="G509" s="17" t="s">
        <v>145</v>
      </c>
      <c r="H509" s="26" t="s">
        <v>146</v>
      </c>
      <c r="I509" s="17" t="s">
        <v>36</v>
      </c>
      <c r="J509" s="32" t="s">
        <v>2283</v>
      </c>
      <c r="K509" s="17" t="n">
        <v>1982</v>
      </c>
      <c r="L509" s="33" t="s">
        <v>275</v>
      </c>
      <c r="M509" s="27"/>
      <c r="N509" s="17" t="s">
        <v>478</v>
      </c>
      <c r="O509" s="17"/>
      <c r="P509" s="40" t="s">
        <v>111</v>
      </c>
      <c r="Q509" s="12"/>
      <c r="R509" s="12"/>
      <c r="S509" s="12"/>
      <c r="T509" s="12"/>
      <c r="U509" s="12"/>
      <c r="V509" s="21"/>
      <c r="Z509" s="12"/>
      <c r="AA509" s="29" t="n">
        <v>4</v>
      </c>
      <c r="AB509" s="84"/>
      <c r="AC509" s="12"/>
      <c r="AD509" s="12"/>
      <c r="AE509" s="12"/>
    </row>
    <row r="510" customFormat="false" ht="15.75" hidden="false" customHeight="false" outlineLevel="0" collapsed="false">
      <c r="A510" s="12" t="str">
        <f aca="false">IF((AA510&gt;=4), "Y", "N")</f>
        <v>Y</v>
      </c>
      <c r="B510" s="12"/>
      <c r="C510" s="23" t="s">
        <v>2284</v>
      </c>
      <c r="D510" s="24" t="s">
        <v>94</v>
      </c>
      <c r="E510" s="25" t="s">
        <v>2285</v>
      </c>
      <c r="F510" s="17" t="s">
        <v>2286</v>
      </c>
      <c r="G510" s="17" t="s">
        <v>2287</v>
      </c>
      <c r="H510" s="26" t="s">
        <v>1172</v>
      </c>
      <c r="I510" s="17" t="s">
        <v>36</v>
      </c>
      <c r="J510" s="32" t="s">
        <v>231</v>
      </c>
      <c r="K510" s="17" t="n">
        <v>1975</v>
      </c>
      <c r="L510" s="33" t="s">
        <v>275</v>
      </c>
      <c r="M510" s="27"/>
      <c r="N510" s="37" t="s">
        <v>2288</v>
      </c>
      <c r="O510" s="17"/>
      <c r="P510" s="40" t="s">
        <v>111</v>
      </c>
      <c r="V510" s="60"/>
      <c r="AA510" s="63" t="n">
        <v>4</v>
      </c>
      <c r="AB510" s="84"/>
    </row>
    <row r="511" customFormat="false" ht="15.75" hidden="false" customHeight="false" outlineLevel="0" collapsed="false">
      <c r="A511" s="12" t="str">
        <f aca="false">IF((AA511&gt;=4), "Y", "N")</f>
        <v>Y</v>
      </c>
      <c r="B511" s="13"/>
      <c r="C511" s="31" t="s">
        <v>2289</v>
      </c>
      <c r="D511" s="16" t="s">
        <v>94</v>
      </c>
      <c r="E511" s="32" t="s">
        <v>2290</v>
      </c>
      <c r="F511" s="32" t="s">
        <v>2291</v>
      </c>
      <c r="G511" s="32" t="s">
        <v>2292</v>
      </c>
      <c r="H511" s="26" t="s">
        <v>72</v>
      </c>
      <c r="I511" s="17" t="s">
        <v>36</v>
      </c>
      <c r="J511" s="32" t="s">
        <v>231</v>
      </c>
      <c r="K511" s="33" t="n">
        <v>2008</v>
      </c>
      <c r="L511" s="33" t="s">
        <v>73</v>
      </c>
      <c r="M511" s="27"/>
      <c r="N511" s="37" t="s">
        <v>2288</v>
      </c>
      <c r="O511" s="17"/>
      <c r="P511" s="19" t="s">
        <v>76</v>
      </c>
      <c r="Q511" s="12"/>
      <c r="R511" s="12" t="s">
        <v>2293</v>
      </c>
      <c r="S511" s="12"/>
      <c r="T511" s="12" t="s">
        <v>2294</v>
      </c>
      <c r="U511" s="12"/>
      <c r="V511" s="21" t="s">
        <v>31</v>
      </c>
      <c r="Z511" s="12"/>
      <c r="AA511" s="22" t="str">
        <f aca="false">IF(P511="OD500 US (submitted)", "5", " ")</f>
        <v>5</v>
      </c>
      <c r="AB511" s="84"/>
      <c r="AC511" s="12"/>
      <c r="AD511" s="12"/>
      <c r="AE511" s="12"/>
    </row>
    <row r="512" customFormat="false" ht="15.75" hidden="false" customHeight="false" outlineLevel="0" collapsed="false">
      <c r="A512" s="12" t="str">
        <f aca="false">IF((AA512&gt;=4), "Y", "N")</f>
        <v>Y</v>
      </c>
      <c r="B512" s="12"/>
      <c r="C512" s="23" t="s">
        <v>2295</v>
      </c>
      <c r="D512" s="24" t="s">
        <v>94</v>
      </c>
      <c r="E512" s="25" t="s">
        <v>2296</v>
      </c>
      <c r="F512" s="17" t="s">
        <v>2297</v>
      </c>
      <c r="G512" s="17" t="s">
        <v>145</v>
      </c>
      <c r="H512" s="17" t="s">
        <v>146</v>
      </c>
      <c r="I512" s="17" t="s">
        <v>36</v>
      </c>
      <c r="J512" s="32" t="s">
        <v>231</v>
      </c>
      <c r="K512" s="17" t="n">
        <v>1984</v>
      </c>
      <c r="L512" s="38" t="s">
        <v>330</v>
      </c>
      <c r="M512" s="27"/>
      <c r="N512" s="17" t="s">
        <v>478</v>
      </c>
      <c r="O512" s="17"/>
      <c r="P512" s="40" t="s">
        <v>111</v>
      </c>
      <c r="Q512" s="12"/>
      <c r="R512" s="12"/>
      <c r="S512" s="12"/>
      <c r="T512" s="12"/>
      <c r="U512" s="12"/>
      <c r="V512" s="21"/>
      <c r="Z512" s="12"/>
      <c r="AA512" s="29" t="n">
        <v>5</v>
      </c>
      <c r="AB512" s="84"/>
      <c r="AC512" s="12"/>
      <c r="AD512" s="12"/>
      <c r="AE512" s="12"/>
    </row>
    <row r="513" customFormat="false" ht="15.75" hidden="false" customHeight="false" outlineLevel="0" collapsed="false">
      <c r="A513" s="12" t="str">
        <f aca="false">IF((AA513&gt;=4), "Y", "N")</f>
        <v>Y</v>
      </c>
      <c r="B513" s="13"/>
      <c r="C513" s="31" t="s">
        <v>2298</v>
      </c>
      <c r="D513" s="16" t="s">
        <v>94</v>
      </c>
      <c r="E513" s="32" t="s">
        <v>2299</v>
      </c>
      <c r="F513" s="32" t="s">
        <v>2300</v>
      </c>
      <c r="G513" s="32" t="s">
        <v>145</v>
      </c>
      <c r="H513" s="17" t="s">
        <v>146</v>
      </c>
      <c r="I513" s="17" t="s">
        <v>36</v>
      </c>
      <c r="J513" s="32" t="s">
        <v>231</v>
      </c>
      <c r="K513" s="33" t="n">
        <v>2012</v>
      </c>
      <c r="L513" s="33" t="s">
        <v>109</v>
      </c>
      <c r="M513" s="27"/>
      <c r="N513" s="37" t="s">
        <v>298</v>
      </c>
      <c r="O513" s="17"/>
      <c r="P513" s="19" t="s">
        <v>76</v>
      </c>
      <c r="Q513" s="17"/>
      <c r="R513" s="17" t="s">
        <v>2301</v>
      </c>
      <c r="S513" s="17"/>
      <c r="T513" s="17" t="s">
        <v>2302</v>
      </c>
      <c r="U513" s="17"/>
      <c r="V513" s="21" t="s">
        <v>31</v>
      </c>
      <c r="Z513" s="17"/>
      <c r="AA513" s="63" t="n">
        <v>5</v>
      </c>
      <c r="AB513" s="84"/>
      <c r="AC513" s="17"/>
      <c r="AD513" s="17"/>
      <c r="AE513" s="17"/>
    </row>
    <row r="514" customFormat="false" ht="15.75" hidden="false" customHeight="false" outlineLevel="0" collapsed="false">
      <c r="A514" s="12" t="str">
        <f aca="false">IF((AA514&gt;=4), "Y", "N")</f>
        <v>Y</v>
      </c>
      <c r="B514" s="12"/>
      <c r="C514" s="23" t="s">
        <v>2303</v>
      </c>
      <c r="D514" s="24" t="s">
        <v>94</v>
      </c>
      <c r="E514" s="25" t="s">
        <v>2304</v>
      </c>
      <c r="F514" s="17" t="s">
        <v>2305</v>
      </c>
      <c r="G514" s="17" t="s">
        <v>145</v>
      </c>
      <c r="H514" s="17" t="s">
        <v>146</v>
      </c>
      <c r="I514" s="17" t="s">
        <v>36</v>
      </c>
      <c r="J514" s="32" t="s">
        <v>231</v>
      </c>
      <c r="K514" s="17" t="n">
        <v>1971</v>
      </c>
      <c r="L514" s="38" t="s">
        <v>99</v>
      </c>
      <c r="M514" s="27"/>
      <c r="N514" s="17" t="s">
        <v>504</v>
      </c>
      <c r="O514" s="17"/>
      <c r="P514" s="40" t="s">
        <v>111</v>
      </c>
      <c r="V514" s="60"/>
      <c r="AA514" s="63" t="n">
        <v>5</v>
      </c>
      <c r="AB514" s="84"/>
    </row>
    <row r="515" customFormat="false" ht="15.75" hidden="false" customHeight="false" outlineLevel="0" collapsed="false">
      <c r="A515" s="12" t="str">
        <f aca="false">IF((AA515&gt;=4), "Y", "N")</f>
        <v>Y</v>
      </c>
      <c r="B515" s="13"/>
      <c r="C515" s="31" t="s">
        <v>2306</v>
      </c>
      <c r="D515" s="16" t="s">
        <v>94</v>
      </c>
      <c r="E515" s="32" t="s">
        <v>2307</v>
      </c>
      <c r="F515" s="32" t="s">
        <v>2308</v>
      </c>
      <c r="G515" s="32" t="s">
        <v>145</v>
      </c>
      <c r="H515" s="17" t="s">
        <v>146</v>
      </c>
      <c r="I515" s="17" t="s">
        <v>36</v>
      </c>
      <c r="J515" s="32" t="s">
        <v>231</v>
      </c>
      <c r="K515" s="33" t="n">
        <v>1998</v>
      </c>
      <c r="L515" s="33" t="s">
        <v>330</v>
      </c>
      <c r="M515" s="27"/>
      <c r="N515" s="37" t="s">
        <v>315</v>
      </c>
      <c r="O515" s="17"/>
      <c r="P515" s="19" t="s">
        <v>76</v>
      </c>
      <c r="R515" s="0" t="s">
        <v>2309</v>
      </c>
      <c r="T515" s="0" t="s">
        <v>2310</v>
      </c>
      <c r="V515" s="21" t="s">
        <v>31</v>
      </c>
      <c r="AA515" s="22" t="str">
        <f aca="false">IF(P515="OD500 US (submitted)", "5", " ")</f>
        <v>5</v>
      </c>
      <c r="AB515" s="84"/>
    </row>
    <row r="516" customFormat="false" ht="15.75" hidden="false" customHeight="false" outlineLevel="0" collapsed="false">
      <c r="A516" s="12" t="str">
        <f aca="false">IF((AA516&gt;=4), "Y", "N")</f>
        <v>Y</v>
      </c>
      <c r="B516" s="13"/>
      <c r="C516" s="31" t="s">
        <v>2311</v>
      </c>
      <c r="D516" s="16" t="s">
        <v>94</v>
      </c>
      <c r="E516" s="32" t="s">
        <v>2312</v>
      </c>
      <c r="F516" s="32" t="s">
        <v>2313</v>
      </c>
      <c r="G516" s="32" t="s">
        <v>2314</v>
      </c>
      <c r="H516" s="17" t="s">
        <v>146</v>
      </c>
      <c r="I516" s="17" t="s">
        <v>36</v>
      </c>
      <c r="J516" s="32" t="s">
        <v>231</v>
      </c>
      <c r="K516" s="33" t="n">
        <v>2010</v>
      </c>
      <c r="L516" s="33" t="s">
        <v>99</v>
      </c>
      <c r="M516" s="27"/>
      <c r="N516" s="37" t="s">
        <v>298</v>
      </c>
      <c r="O516" s="17"/>
      <c r="P516" s="19" t="s">
        <v>76</v>
      </c>
      <c r="R516" s="0" t="s">
        <v>2315</v>
      </c>
      <c r="T516" s="0" t="s">
        <v>2316</v>
      </c>
      <c r="V516" s="21" t="s">
        <v>31</v>
      </c>
      <c r="AA516" s="22" t="n">
        <v>4</v>
      </c>
      <c r="AB516" s="84"/>
    </row>
    <row r="517" customFormat="false" ht="15.75" hidden="false" customHeight="false" outlineLevel="0" collapsed="false">
      <c r="A517" s="12" t="str">
        <f aca="false">IF((AA517&gt;=4), "Y", "N")</f>
        <v>Y</v>
      </c>
      <c r="B517" s="13"/>
      <c r="C517" s="31" t="s">
        <v>2317</v>
      </c>
      <c r="D517" s="16" t="s">
        <v>94</v>
      </c>
      <c r="E517" s="32" t="s">
        <v>2318</v>
      </c>
      <c r="F517" s="32" t="s">
        <v>2319</v>
      </c>
      <c r="G517" s="32" t="s">
        <v>145</v>
      </c>
      <c r="H517" s="17" t="s">
        <v>146</v>
      </c>
      <c r="I517" s="17" t="s">
        <v>36</v>
      </c>
      <c r="J517" s="32" t="s">
        <v>231</v>
      </c>
      <c r="K517" s="33" t="n">
        <v>2009</v>
      </c>
      <c r="L517" s="33" t="s">
        <v>99</v>
      </c>
      <c r="M517" s="27"/>
      <c r="N517" s="37" t="s">
        <v>298</v>
      </c>
      <c r="O517" s="17"/>
      <c r="P517" s="19" t="s">
        <v>76</v>
      </c>
      <c r="R517" s="0" t="s">
        <v>2320</v>
      </c>
      <c r="T517" s="0" t="s">
        <v>2321</v>
      </c>
      <c r="V517" s="21" t="s">
        <v>31</v>
      </c>
      <c r="AA517" s="22" t="str">
        <f aca="false">IF(P517="OD500 US (submitted)", "5", " ")</f>
        <v>5</v>
      </c>
      <c r="AB517" s="84"/>
    </row>
    <row r="518" customFormat="false" ht="15.75" hidden="false" customHeight="false" outlineLevel="0" collapsed="false">
      <c r="A518" s="12" t="str">
        <f aca="false">IF((AA518&gt;=4), "Y", "N")</f>
        <v>Y</v>
      </c>
      <c r="B518" s="12"/>
      <c r="C518" s="23" t="s">
        <v>2322</v>
      </c>
      <c r="D518" s="16" t="s">
        <v>94</v>
      </c>
      <c r="E518" s="25" t="s">
        <v>2323</v>
      </c>
      <c r="F518" s="17" t="s">
        <v>2324</v>
      </c>
      <c r="G518" s="17" t="s">
        <v>71</v>
      </c>
      <c r="H518" s="17" t="s">
        <v>72</v>
      </c>
      <c r="I518" s="17" t="s">
        <v>36</v>
      </c>
      <c r="J518" s="32" t="s">
        <v>231</v>
      </c>
      <c r="K518" s="17" t="n">
        <v>1973</v>
      </c>
      <c r="L518" s="33" t="s">
        <v>275</v>
      </c>
      <c r="M518" s="27"/>
      <c r="N518" s="37" t="s">
        <v>298</v>
      </c>
      <c r="O518" s="17"/>
      <c r="P518" s="40" t="s">
        <v>111</v>
      </c>
      <c r="Q518" s="12"/>
      <c r="R518" s="12"/>
      <c r="S518" s="12"/>
      <c r="T518" s="12"/>
      <c r="U518" s="12"/>
      <c r="V518" s="21"/>
      <c r="Z518" s="12"/>
      <c r="AA518" s="29" t="n">
        <v>5</v>
      </c>
      <c r="AB518" s="84"/>
      <c r="AC518" s="12"/>
      <c r="AD518" s="12"/>
      <c r="AE518" s="12"/>
    </row>
    <row r="519" customFormat="false" ht="15.75" hidden="false" customHeight="false" outlineLevel="0" collapsed="false">
      <c r="A519" s="12" t="str">
        <f aca="false">IF((AA519&gt;=4), "Y", "N")</f>
        <v>Y</v>
      </c>
      <c r="B519" s="12"/>
      <c r="C519" s="23" t="s">
        <v>2325</v>
      </c>
      <c r="D519" s="16" t="s">
        <v>94</v>
      </c>
      <c r="E519" s="25" t="s">
        <v>2326</v>
      </c>
      <c r="F519" s="17" t="s">
        <v>2327</v>
      </c>
      <c r="G519" s="17" t="s">
        <v>145</v>
      </c>
      <c r="H519" s="17" t="s">
        <v>146</v>
      </c>
      <c r="I519" s="17" t="s">
        <v>36</v>
      </c>
      <c r="J519" s="32" t="s">
        <v>231</v>
      </c>
      <c r="K519" s="17" t="n">
        <v>1812</v>
      </c>
      <c r="L519" s="33" t="s">
        <v>275</v>
      </c>
      <c r="M519" s="27"/>
      <c r="N519" s="17" t="s">
        <v>377</v>
      </c>
      <c r="O519" s="17"/>
      <c r="P519" s="40" t="s">
        <v>111</v>
      </c>
      <c r="Q519" s="12"/>
      <c r="R519" s="12"/>
      <c r="S519" s="12"/>
      <c r="T519" s="12"/>
      <c r="U519" s="12"/>
      <c r="V519" s="21"/>
      <c r="Z519" s="12"/>
      <c r="AA519" s="29" t="n">
        <v>4</v>
      </c>
      <c r="AB519" s="84"/>
      <c r="AC519" s="12"/>
      <c r="AD519" s="12"/>
      <c r="AE519" s="12"/>
    </row>
    <row r="520" customFormat="false" ht="15.75" hidden="false" customHeight="false" outlineLevel="0" collapsed="false">
      <c r="A520" s="12" t="str">
        <f aca="false">IF((AA520&gt;=4), "Y", "N")</f>
        <v>Y</v>
      </c>
      <c r="B520" s="13"/>
      <c r="C520" s="31" t="s">
        <v>2328</v>
      </c>
      <c r="D520" s="16" t="s">
        <v>51</v>
      </c>
      <c r="E520" s="32" t="s">
        <v>2329</v>
      </c>
      <c r="F520" s="32" t="s">
        <v>2330</v>
      </c>
      <c r="G520" s="32" t="s">
        <v>368</v>
      </c>
      <c r="H520" s="17" t="s">
        <v>369</v>
      </c>
      <c r="I520" s="17" t="s">
        <v>36</v>
      </c>
      <c r="J520" s="32" t="s">
        <v>1565</v>
      </c>
      <c r="K520" s="33" t="n">
        <v>1994</v>
      </c>
      <c r="L520" s="38" t="s">
        <v>482</v>
      </c>
      <c r="M520" s="27"/>
      <c r="N520" s="37" t="s">
        <v>1224</v>
      </c>
      <c r="O520" s="17"/>
      <c r="P520" s="19" t="s">
        <v>76</v>
      </c>
      <c r="Q520" s="12"/>
      <c r="R520" s="12" t="s">
        <v>2331</v>
      </c>
      <c r="S520" s="12"/>
      <c r="T520" s="12" t="s">
        <v>2332</v>
      </c>
      <c r="U520" s="12"/>
      <c r="V520" s="21" t="s">
        <v>31</v>
      </c>
      <c r="Z520" s="12"/>
      <c r="AA520" s="22" t="str">
        <f aca="false">IF(P520="OD500 US (submitted)", "5", " ")</f>
        <v>5</v>
      </c>
      <c r="AB520" s="84"/>
      <c r="AC520" s="12"/>
      <c r="AD520" s="12"/>
      <c r="AE520" s="12"/>
    </row>
    <row r="521" customFormat="false" ht="15.75" hidden="false" customHeight="false" outlineLevel="0" collapsed="false">
      <c r="A521" s="12" t="str">
        <f aca="false">IF((AA521&gt;=4), "Y", "N")</f>
        <v>Y</v>
      </c>
      <c r="B521" s="12"/>
      <c r="C521" s="23" t="s">
        <v>2333</v>
      </c>
      <c r="D521" s="24" t="s">
        <v>94</v>
      </c>
      <c r="E521" s="25" t="s">
        <v>2334</v>
      </c>
      <c r="F521" s="17" t="s">
        <v>2335</v>
      </c>
      <c r="G521" s="17" t="s">
        <v>71</v>
      </c>
      <c r="H521" s="17" t="s">
        <v>72</v>
      </c>
      <c r="I521" s="17" t="s">
        <v>36</v>
      </c>
      <c r="J521" s="32" t="s">
        <v>231</v>
      </c>
      <c r="K521" s="17" t="n">
        <v>2007</v>
      </c>
      <c r="L521" s="38" t="s">
        <v>73</v>
      </c>
      <c r="M521" s="27"/>
      <c r="N521" s="37" t="s">
        <v>342</v>
      </c>
      <c r="O521" s="17"/>
      <c r="P521" s="40" t="s">
        <v>111</v>
      </c>
      <c r="V521" s="60"/>
      <c r="AA521" s="63" t="n">
        <v>5</v>
      </c>
      <c r="AB521" s="84"/>
    </row>
    <row r="522" customFormat="false" ht="15.75" hidden="false" customHeight="false" outlineLevel="0" collapsed="false">
      <c r="A522" s="12" t="str">
        <f aca="false">IF((AA522&gt;=4), "Y", "N")</f>
        <v>Y</v>
      </c>
      <c r="B522" s="13"/>
      <c r="C522" s="31" t="s">
        <v>2336</v>
      </c>
      <c r="D522" s="16" t="s">
        <v>94</v>
      </c>
      <c r="E522" s="32" t="s">
        <v>2337</v>
      </c>
      <c r="F522" s="32" t="s">
        <v>2338</v>
      </c>
      <c r="G522" s="32" t="s">
        <v>405</v>
      </c>
      <c r="H522" s="17" t="s">
        <v>72</v>
      </c>
      <c r="I522" s="17" t="s">
        <v>36</v>
      </c>
      <c r="J522" s="32" t="s">
        <v>231</v>
      </c>
      <c r="K522" s="33" t="n">
        <v>2010</v>
      </c>
      <c r="L522" s="33" t="s">
        <v>99</v>
      </c>
      <c r="M522" s="27"/>
      <c r="N522" s="37" t="s">
        <v>315</v>
      </c>
      <c r="O522" s="17"/>
      <c r="P522" s="19" t="s">
        <v>76</v>
      </c>
      <c r="Q522" s="12"/>
      <c r="R522" s="12" t="s">
        <v>2339</v>
      </c>
      <c r="S522" s="12"/>
      <c r="T522" s="12" t="s">
        <v>2340</v>
      </c>
      <c r="U522" s="12"/>
      <c r="V522" s="21" t="s">
        <v>31</v>
      </c>
      <c r="Z522" s="12"/>
      <c r="AA522" s="63" t="s">
        <v>478</v>
      </c>
      <c r="AB522" s="84"/>
      <c r="AC522" s="12"/>
      <c r="AD522" s="12"/>
      <c r="AE522" s="12"/>
    </row>
    <row r="523" customFormat="false" ht="15.75" hidden="false" customHeight="false" outlineLevel="0" collapsed="false">
      <c r="A523" s="12" t="str">
        <f aca="false">IF((AA523&gt;=4), "Y", "N")</f>
        <v>Y</v>
      </c>
      <c r="B523" s="12"/>
      <c r="C523" s="23" t="s">
        <v>2341</v>
      </c>
      <c r="D523" s="24" t="s">
        <v>94</v>
      </c>
      <c r="E523" s="25" t="s">
        <v>2342</v>
      </c>
      <c r="F523" s="17" t="s">
        <v>2343</v>
      </c>
      <c r="G523" s="17" t="s">
        <v>145</v>
      </c>
      <c r="H523" s="17" t="s">
        <v>146</v>
      </c>
      <c r="I523" s="17" t="s">
        <v>36</v>
      </c>
      <c r="J523" s="32" t="s">
        <v>231</v>
      </c>
      <c r="K523" s="17" t="n">
        <v>2011</v>
      </c>
      <c r="L523" s="38" t="s">
        <v>99</v>
      </c>
      <c r="M523" s="27"/>
      <c r="N523" s="17" t="s">
        <v>478</v>
      </c>
      <c r="O523" s="17"/>
      <c r="P523" s="40" t="s">
        <v>111</v>
      </c>
      <c r="V523" s="60"/>
      <c r="AA523" s="63" t="n">
        <v>4</v>
      </c>
      <c r="AB523" s="84"/>
    </row>
    <row r="524" customFormat="false" ht="15.75" hidden="false" customHeight="false" outlineLevel="0" collapsed="false">
      <c r="A524" s="12" t="str">
        <f aca="false">IF((AA524&gt;=4), "Y", "N")</f>
        <v>Y</v>
      </c>
      <c r="B524" s="12"/>
      <c r="C524" s="23" t="s">
        <v>2344</v>
      </c>
      <c r="D524" s="16" t="s">
        <v>94</v>
      </c>
      <c r="E524" s="25" t="s">
        <v>2345</v>
      </c>
      <c r="F524" s="17" t="s">
        <v>2346</v>
      </c>
      <c r="G524" s="17" t="s">
        <v>145</v>
      </c>
      <c r="H524" s="26" t="s">
        <v>146</v>
      </c>
      <c r="I524" s="17" t="s">
        <v>36</v>
      </c>
      <c r="J524" s="32" t="s">
        <v>2283</v>
      </c>
      <c r="K524" s="17" t="n">
        <v>1882</v>
      </c>
      <c r="L524" s="33" t="s">
        <v>275</v>
      </c>
      <c r="M524" s="27"/>
      <c r="N524" s="37" t="s">
        <v>1896</v>
      </c>
      <c r="O524" s="17"/>
      <c r="P524" s="40" t="s">
        <v>111</v>
      </c>
      <c r="V524" s="60"/>
      <c r="AA524" s="63" t="n">
        <v>5</v>
      </c>
      <c r="AB524" s="84"/>
    </row>
    <row r="525" customFormat="false" ht="15.75" hidden="false" customHeight="false" outlineLevel="0" collapsed="false">
      <c r="A525" s="12" t="str">
        <f aca="false">IF((AA525&gt;=4), "Y", "N")</f>
        <v>Y</v>
      </c>
      <c r="B525" s="13"/>
      <c r="C525" s="31" t="s">
        <v>2347</v>
      </c>
      <c r="D525" s="16" t="s">
        <v>94</v>
      </c>
      <c r="E525" s="32" t="s">
        <v>2348</v>
      </c>
      <c r="F525" s="32" t="s">
        <v>2349</v>
      </c>
      <c r="G525" s="32" t="s">
        <v>2350</v>
      </c>
      <c r="H525" s="17" t="s">
        <v>1172</v>
      </c>
      <c r="I525" s="17" t="s">
        <v>36</v>
      </c>
      <c r="J525" s="32" t="s">
        <v>231</v>
      </c>
      <c r="K525" s="33" t="n">
        <v>2008</v>
      </c>
      <c r="L525" s="33" t="s">
        <v>109</v>
      </c>
      <c r="M525" s="27"/>
      <c r="N525" s="37" t="s">
        <v>1896</v>
      </c>
      <c r="O525" s="17"/>
      <c r="P525" s="19" t="s">
        <v>76</v>
      </c>
      <c r="R525" s="0" t="s">
        <v>2351</v>
      </c>
      <c r="T525" s="0" t="s">
        <v>2352</v>
      </c>
      <c r="V525" s="21" t="s">
        <v>31</v>
      </c>
      <c r="AA525" s="22" t="str">
        <f aca="false">IF(P525="OD500 US (submitted)", "5", " ")</f>
        <v>5</v>
      </c>
      <c r="AB525" s="84"/>
    </row>
    <row r="526" customFormat="false" ht="15.75" hidden="false" customHeight="false" outlineLevel="0" collapsed="false">
      <c r="A526" s="12" t="str">
        <f aca="false">IF((AA526&gt;=4), "Y", "N")</f>
        <v>Y</v>
      </c>
      <c r="B526" s="12"/>
      <c r="C526" s="23" t="s">
        <v>2353</v>
      </c>
      <c r="D526" s="24" t="s">
        <v>94</v>
      </c>
      <c r="E526" s="25" t="s">
        <v>2354</v>
      </c>
      <c r="F526" s="17" t="s">
        <v>2355</v>
      </c>
      <c r="G526" s="17" t="s">
        <v>458</v>
      </c>
      <c r="H526" s="17" t="s">
        <v>444</v>
      </c>
      <c r="I526" s="17" t="s">
        <v>36</v>
      </c>
      <c r="J526" s="32" t="s">
        <v>231</v>
      </c>
      <c r="K526" s="17" t="n">
        <v>1899</v>
      </c>
      <c r="L526" s="33" t="s">
        <v>275</v>
      </c>
      <c r="M526" s="27"/>
      <c r="N526" s="37" t="s">
        <v>354</v>
      </c>
      <c r="O526" s="17"/>
      <c r="P526" s="40" t="s">
        <v>111</v>
      </c>
      <c r="Q526" s="20"/>
      <c r="R526" s="20"/>
      <c r="S526" s="20"/>
      <c r="T526" s="20"/>
      <c r="U526" s="20"/>
      <c r="V526" s="45"/>
      <c r="Z526" s="20"/>
      <c r="AA526" s="22" t="n">
        <v>5</v>
      </c>
      <c r="AB526" s="84"/>
      <c r="AC526" s="20"/>
      <c r="AD526" s="20"/>
      <c r="AE526" s="20"/>
    </row>
    <row r="527" customFormat="false" ht="15.75" hidden="false" customHeight="false" outlineLevel="0" collapsed="false">
      <c r="A527" s="12" t="str">
        <f aca="false">IF((AA527&gt;=4), "Y", "N")</f>
        <v>Y</v>
      </c>
      <c r="B527" s="12"/>
      <c r="C527" s="23" t="s">
        <v>2356</v>
      </c>
      <c r="D527" s="24" t="s">
        <v>94</v>
      </c>
      <c r="E527" s="25" t="s">
        <v>2357</v>
      </c>
      <c r="F527" s="17" t="s">
        <v>2358</v>
      </c>
      <c r="G527" s="17" t="s">
        <v>145</v>
      </c>
      <c r="H527" s="17" t="s">
        <v>146</v>
      </c>
      <c r="I527" s="17" t="s">
        <v>36</v>
      </c>
      <c r="J527" s="32" t="s">
        <v>244</v>
      </c>
      <c r="K527" s="17" t="n">
        <v>1998</v>
      </c>
      <c r="L527" s="33" t="s">
        <v>275</v>
      </c>
      <c r="M527" s="27"/>
      <c r="N527" s="17" t="s">
        <v>478</v>
      </c>
      <c r="O527" s="17"/>
      <c r="P527" s="40" t="s">
        <v>111</v>
      </c>
      <c r="Q527" s="12"/>
      <c r="R527" s="12"/>
      <c r="S527" s="12"/>
      <c r="T527" s="12"/>
      <c r="U527" s="12"/>
      <c r="V527" s="21"/>
      <c r="Z527" s="12"/>
      <c r="AA527" s="29" t="n">
        <v>4</v>
      </c>
      <c r="AB527" s="84"/>
      <c r="AC527" s="12"/>
      <c r="AD527" s="12"/>
      <c r="AE527" s="12"/>
    </row>
    <row r="528" customFormat="false" ht="15.75" hidden="false" customHeight="false" outlineLevel="0" collapsed="false">
      <c r="A528" s="12" t="str">
        <f aca="false">IF((AA528&gt;=4), "Y", "N")</f>
        <v>Y</v>
      </c>
      <c r="B528" s="12"/>
      <c r="C528" s="23" t="s">
        <v>2359</v>
      </c>
      <c r="D528" s="24" t="s">
        <v>94</v>
      </c>
      <c r="E528" s="25" t="s">
        <v>2360</v>
      </c>
      <c r="F528" s="17" t="s">
        <v>2361</v>
      </c>
      <c r="G528" s="17" t="s">
        <v>2362</v>
      </c>
      <c r="H528" s="17" t="s">
        <v>72</v>
      </c>
      <c r="I528" s="17" t="s">
        <v>36</v>
      </c>
      <c r="J528" s="32" t="s">
        <v>244</v>
      </c>
      <c r="K528" s="17" t="n">
        <v>1980</v>
      </c>
      <c r="L528" s="33" t="s">
        <v>275</v>
      </c>
      <c r="M528" s="27"/>
      <c r="N528" s="17" t="s">
        <v>315</v>
      </c>
      <c r="O528" s="17"/>
      <c r="P528" s="40" t="s">
        <v>111</v>
      </c>
      <c r="V528" s="60"/>
      <c r="AA528" s="63" t="n">
        <v>5</v>
      </c>
      <c r="AB528" s="84"/>
    </row>
    <row r="529" customFormat="false" ht="15.75" hidden="false" customHeight="false" outlineLevel="0" collapsed="false">
      <c r="A529" s="12" t="str">
        <f aca="false">IF((AA529&gt;=4), "Y", "N")</f>
        <v>Y</v>
      </c>
      <c r="B529" s="13"/>
      <c r="C529" s="31" t="s">
        <v>2363</v>
      </c>
      <c r="D529" s="16" t="s">
        <v>94</v>
      </c>
      <c r="E529" s="32" t="s">
        <v>2364</v>
      </c>
      <c r="F529" s="32" t="s">
        <v>2365</v>
      </c>
      <c r="G529" s="32" t="s">
        <v>1123</v>
      </c>
      <c r="H529" s="17" t="s">
        <v>353</v>
      </c>
      <c r="I529" s="17" t="s">
        <v>36</v>
      </c>
      <c r="J529" s="32" t="s">
        <v>231</v>
      </c>
      <c r="K529" s="33" t="n">
        <v>2009</v>
      </c>
      <c r="L529" s="33" t="s">
        <v>73</v>
      </c>
      <c r="M529" s="27"/>
      <c r="N529" s="37" t="s">
        <v>298</v>
      </c>
      <c r="O529" s="17"/>
      <c r="P529" s="19" t="s">
        <v>76</v>
      </c>
      <c r="Q529" s="12"/>
      <c r="R529" s="12" t="s">
        <v>2366</v>
      </c>
      <c r="S529" s="12"/>
      <c r="T529" s="12" t="s">
        <v>2367</v>
      </c>
      <c r="U529" s="12"/>
      <c r="V529" s="21" t="s">
        <v>31</v>
      </c>
      <c r="Z529" s="12"/>
      <c r="AA529" s="22" t="str">
        <f aca="false">IF(P529="OD500 US (submitted)", "5", " ")</f>
        <v>5</v>
      </c>
      <c r="AB529" s="84"/>
      <c r="AC529" s="12"/>
      <c r="AD529" s="12"/>
      <c r="AE529" s="12"/>
    </row>
    <row r="530" customFormat="false" ht="15.75" hidden="false" customHeight="false" outlineLevel="0" collapsed="false">
      <c r="A530" s="12" t="str">
        <f aca="false">IF((AA530&gt;=4), "Y", "N")</f>
        <v>Y</v>
      </c>
      <c r="B530" s="12"/>
      <c r="C530" s="23" t="s">
        <v>2368</v>
      </c>
      <c r="D530" s="24" t="s">
        <v>94</v>
      </c>
      <c r="E530" s="25" t="s">
        <v>2369</v>
      </c>
      <c r="F530" s="17" t="s">
        <v>2370</v>
      </c>
      <c r="G530" s="17" t="s">
        <v>2371</v>
      </c>
      <c r="H530" s="17" t="s">
        <v>1172</v>
      </c>
      <c r="I530" s="17" t="s">
        <v>36</v>
      </c>
      <c r="J530" s="32" t="s">
        <v>231</v>
      </c>
      <c r="K530" s="17" t="n">
        <v>1978</v>
      </c>
      <c r="L530" s="33" t="s">
        <v>275</v>
      </c>
      <c r="M530" s="27"/>
      <c r="N530" s="37" t="s">
        <v>2288</v>
      </c>
      <c r="O530" s="17"/>
      <c r="P530" s="40" t="s">
        <v>111</v>
      </c>
      <c r="V530" s="60"/>
      <c r="AA530" s="63" t="n">
        <v>5</v>
      </c>
      <c r="AB530" s="84"/>
    </row>
    <row r="531" customFormat="false" ht="15.75" hidden="false" customHeight="false" outlineLevel="0" collapsed="false">
      <c r="A531" s="12" t="str">
        <f aca="false">IF((AA531&gt;=4), "Y", "N")</f>
        <v>Y</v>
      </c>
      <c r="B531" s="12"/>
      <c r="C531" s="23" t="s">
        <v>2372</v>
      </c>
      <c r="D531" s="24" t="s">
        <v>94</v>
      </c>
      <c r="E531" s="25" t="s">
        <v>2373</v>
      </c>
      <c r="F531" s="17" t="s">
        <v>2374</v>
      </c>
      <c r="G531" s="17" t="s">
        <v>296</v>
      </c>
      <c r="H531" s="17" t="s">
        <v>297</v>
      </c>
      <c r="I531" s="17" t="s">
        <v>36</v>
      </c>
      <c r="J531" s="32" t="s">
        <v>231</v>
      </c>
      <c r="K531" s="17" t="n">
        <v>1946</v>
      </c>
      <c r="L531" s="33" t="s">
        <v>275</v>
      </c>
      <c r="M531" s="27"/>
      <c r="N531" s="37" t="s">
        <v>298</v>
      </c>
      <c r="O531" s="17"/>
      <c r="P531" s="40" t="s">
        <v>111</v>
      </c>
      <c r="V531" s="60"/>
      <c r="AA531" s="63" t="n">
        <v>4</v>
      </c>
      <c r="AB531" s="84"/>
    </row>
    <row r="532" customFormat="false" ht="15.75" hidden="false" customHeight="false" outlineLevel="0" collapsed="false">
      <c r="A532" s="12" t="str">
        <f aca="false">IF((AA532&gt;=4), "Y", "N")</f>
        <v>Y</v>
      </c>
      <c r="B532" s="12"/>
      <c r="C532" s="23" t="s">
        <v>2375</v>
      </c>
      <c r="D532" s="24" t="s">
        <v>94</v>
      </c>
      <c r="E532" s="25" t="s">
        <v>2376</v>
      </c>
      <c r="F532" s="17" t="s">
        <v>2377</v>
      </c>
      <c r="G532" s="17" t="s">
        <v>71</v>
      </c>
      <c r="H532" s="17" t="s">
        <v>72</v>
      </c>
      <c r="I532" s="17" t="s">
        <v>36</v>
      </c>
      <c r="J532" s="32" t="s">
        <v>231</v>
      </c>
      <c r="K532" s="17" t="n">
        <v>2010</v>
      </c>
      <c r="L532" s="38" t="s">
        <v>73</v>
      </c>
      <c r="M532" s="27"/>
      <c r="N532" s="37" t="s">
        <v>331</v>
      </c>
      <c r="O532" s="17"/>
      <c r="P532" s="40" t="s">
        <v>111</v>
      </c>
      <c r="V532" s="60"/>
      <c r="AA532" s="63" t="n">
        <v>5</v>
      </c>
      <c r="AB532" s="84"/>
    </row>
    <row r="533" customFormat="false" ht="15.75" hidden="false" customHeight="false" outlineLevel="0" collapsed="false">
      <c r="A533" s="12" t="str">
        <f aca="false">IF((AA533&gt;=4), "Y", "N")</f>
        <v>Y</v>
      </c>
      <c r="B533" s="12"/>
      <c r="C533" s="23" t="s">
        <v>2378</v>
      </c>
      <c r="D533" s="24" t="s">
        <v>94</v>
      </c>
      <c r="E533" s="25" t="s">
        <v>2379</v>
      </c>
      <c r="F533" s="17" t="s">
        <v>2380</v>
      </c>
      <c r="G533" s="17" t="s">
        <v>71</v>
      </c>
      <c r="H533" s="17" t="s">
        <v>72</v>
      </c>
      <c r="I533" s="17" t="s">
        <v>36</v>
      </c>
      <c r="J533" s="32" t="s">
        <v>231</v>
      </c>
      <c r="K533" s="17" t="n">
        <v>2010</v>
      </c>
      <c r="L533" s="38" t="s">
        <v>99</v>
      </c>
      <c r="M533" s="27"/>
      <c r="N533" s="37" t="s">
        <v>298</v>
      </c>
      <c r="O533" s="17"/>
      <c r="P533" s="40" t="s">
        <v>111</v>
      </c>
      <c r="Q533" s="12"/>
      <c r="R533" s="12"/>
      <c r="S533" s="12"/>
      <c r="T533" s="12"/>
      <c r="U533" s="12"/>
      <c r="V533" s="21"/>
      <c r="Z533" s="12"/>
      <c r="AA533" s="29" t="n">
        <v>5</v>
      </c>
      <c r="AB533" s="84"/>
      <c r="AC533" s="12"/>
      <c r="AD533" s="12"/>
      <c r="AE533" s="12"/>
    </row>
    <row r="534" customFormat="false" ht="15.75" hidden="false" customHeight="false" outlineLevel="0" collapsed="false">
      <c r="A534" s="12" t="str">
        <f aca="false">IF((AA534&gt;=4), "Y", "N")</f>
        <v>Y</v>
      </c>
      <c r="B534" s="12"/>
      <c r="C534" s="23" t="s">
        <v>2381</v>
      </c>
      <c r="D534" s="24" t="s">
        <v>94</v>
      </c>
      <c r="E534" s="25" t="s">
        <v>2382</v>
      </c>
      <c r="F534" s="17" t="s">
        <v>2383</v>
      </c>
      <c r="G534" s="17" t="s">
        <v>145</v>
      </c>
      <c r="H534" s="17" t="s">
        <v>146</v>
      </c>
      <c r="I534" s="17" t="s">
        <v>36</v>
      </c>
      <c r="J534" s="32" t="s">
        <v>231</v>
      </c>
      <c r="K534" s="17" t="n">
        <v>2010</v>
      </c>
      <c r="L534" s="38" t="s">
        <v>109</v>
      </c>
      <c r="M534" s="27"/>
      <c r="N534" s="17" t="s">
        <v>354</v>
      </c>
      <c r="O534" s="17"/>
      <c r="P534" s="40" t="s">
        <v>111</v>
      </c>
      <c r="Q534" s="12"/>
      <c r="R534" s="12"/>
      <c r="S534" s="12"/>
      <c r="T534" s="12"/>
      <c r="U534" s="12"/>
      <c r="V534" s="21"/>
      <c r="Z534" s="12"/>
      <c r="AA534" s="29" t="n">
        <v>5</v>
      </c>
      <c r="AB534" s="84"/>
      <c r="AC534" s="12"/>
      <c r="AD534" s="12"/>
      <c r="AE534" s="12"/>
    </row>
    <row r="535" customFormat="false" ht="15.75" hidden="false" customHeight="false" outlineLevel="0" collapsed="false">
      <c r="A535" s="12" t="str">
        <f aca="false">IF((AA535&gt;=4), "Y", "N")</f>
        <v>Y</v>
      </c>
      <c r="B535" s="13"/>
      <c r="C535" s="31" t="s">
        <v>2384</v>
      </c>
      <c r="D535" s="16" t="s">
        <v>94</v>
      </c>
      <c r="E535" s="32" t="s">
        <v>2385</v>
      </c>
      <c r="F535" s="32" t="s">
        <v>2386</v>
      </c>
      <c r="G535" s="32" t="s">
        <v>368</v>
      </c>
      <c r="H535" s="17" t="s">
        <v>369</v>
      </c>
      <c r="I535" s="17" t="s">
        <v>36</v>
      </c>
      <c r="J535" s="32" t="s">
        <v>231</v>
      </c>
      <c r="K535" s="33" t="n">
        <v>2009</v>
      </c>
      <c r="L535" s="33" t="s">
        <v>99</v>
      </c>
      <c r="M535" s="27"/>
      <c r="N535" s="37" t="s">
        <v>1173</v>
      </c>
      <c r="O535" s="17"/>
      <c r="P535" s="19" t="s">
        <v>76</v>
      </c>
      <c r="Q535" s="12"/>
      <c r="R535" s="12" t="s">
        <v>2387</v>
      </c>
      <c r="S535" s="12"/>
      <c r="T535" s="12" t="s">
        <v>2388</v>
      </c>
      <c r="U535" s="12"/>
      <c r="V535" s="21" t="s">
        <v>31</v>
      </c>
      <c r="Z535" s="12"/>
      <c r="AA535" s="22" t="str">
        <f aca="false">IF(P535="OD500 US (submitted)", "5", " ")</f>
        <v>5</v>
      </c>
      <c r="AB535" s="84"/>
      <c r="AC535" s="12"/>
      <c r="AD535" s="12"/>
      <c r="AE535" s="12"/>
    </row>
    <row r="536" customFormat="false" ht="15.75" hidden="false" customHeight="false" outlineLevel="0" collapsed="false">
      <c r="A536" s="12" t="str">
        <f aca="false">IF((AA536&gt;=4), "Y", "N")</f>
        <v>Y</v>
      </c>
      <c r="B536" s="13"/>
      <c r="C536" s="31" t="s">
        <v>2389</v>
      </c>
      <c r="D536" s="16" t="s">
        <v>94</v>
      </c>
      <c r="E536" s="32" t="s">
        <v>2390</v>
      </c>
      <c r="F536" s="32" t="s">
        <v>2391</v>
      </c>
      <c r="G536" s="32" t="s">
        <v>145</v>
      </c>
      <c r="H536" s="26" t="s">
        <v>146</v>
      </c>
      <c r="I536" s="17" t="s">
        <v>36</v>
      </c>
      <c r="J536" s="32" t="s">
        <v>231</v>
      </c>
      <c r="K536" s="33" t="n">
        <v>2012</v>
      </c>
      <c r="L536" s="33" t="s">
        <v>109</v>
      </c>
      <c r="M536" s="27"/>
      <c r="N536" s="39" t="s">
        <v>2392</v>
      </c>
      <c r="O536" s="17"/>
      <c r="P536" s="19" t="s">
        <v>76</v>
      </c>
      <c r="Q536" s="12"/>
      <c r="R536" s="12" t="s">
        <v>2393</v>
      </c>
      <c r="S536" s="12"/>
      <c r="T536" s="12" t="s">
        <v>2394</v>
      </c>
      <c r="U536" s="12"/>
      <c r="V536" s="21" t="s">
        <v>31</v>
      </c>
      <c r="Z536" s="12"/>
      <c r="AA536" s="22" t="str">
        <f aca="false">IF(P536="OD500 US (submitted)", "5", " ")</f>
        <v>5</v>
      </c>
      <c r="AB536" s="84"/>
      <c r="AC536" s="12"/>
      <c r="AD536" s="12"/>
      <c r="AE536" s="12"/>
    </row>
    <row r="537" customFormat="false" ht="15.75" hidden="false" customHeight="false" outlineLevel="0" collapsed="false">
      <c r="A537" s="12" t="str">
        <f aca="false">IF((AA537&gt;=4), "Y", "N")</f>
        <v>Y</v>
      </c>
      <c r="B537" s="12"/>
      <c r="C537" s="23" t="s">
        <v>2395</v>
      </c>
      <c r="D537" s="24" t="s">
        <v>94</v>
      </c>
      <c r="E537" s="25" t="s">
        <v>2396</v>
      </c>
      <c r="F537" s="17" t="s">
        <v>2397</v>
      </c>
      <c r="G537" s="17" t="s">
        <v>499</v>
      </c>
      <c r="H537" s="26" t="s">
        <v>1715</v>
      </c>
      <c r="I537" s="17" t="s">
        <v>36</v>
      </c>
      <c r="J537" s="32" t="s">
        <v>231</v>
      </c>
      <c r="K537" s="17" t="n">
        <v>2001</v>
      </c>
      <c r="L537" s="38" t="s">
        <v>99</v>
      </c>
      <c r="M537" s="27"/>
      <c r="N537" s="39" t="s">
        <v>348</v>
      </c>
      <c r="O537" s="17"/>
      <c r="P537" s="40" t="s">
        <v>111</v>
      </c>
      <c r="Q537" s="20"/>
      <c r="R537" s="20"/>
      <c r="S537" s="20"/>
      <c r="T537" s="20"/>
      <c r="U537" s="20"/>
      <c r="V537" s="45"/>
      <c r="Z537" s="20"/>
      <c r="AA537" s="22" t="n">
        <v>5</v>
      </c>
      <c r="AB537" s="84"/>
      <c r="AC537" s="20"/>
      <c r="AD537" s="20"/>
      <c r="AE537" s="20"/>
    </row>
    <row r="538" customFormat="false" ht="15.75" hidden="false" customHeight="false" outlineLevel="0" collapsed="false">
      <c r="A538" s="12" t="str">
        <f aca="false">IF((AA538&gt;=4), "Y", "N")</f>
        <v>Y</v>
      </c>
      <c r="B538" s="12"/>
      <c r="C538" s="23" t="s">
        <v>2398</v>
      </c>
      <c r="D538" s="24" t="s">
        <v>94</v>
      </c>
      <c r="E538" s="25" t="s">
        <v>2399</v>
      </c>
      <c r="F538" s="17" t="s">
        <v>2400</v>
      </c>
      <c r="G538" s="17" t="s">
        <v>145</v>
      </c>
      <c r="H538" s="17" t="s">
        <v>146</v>
      </c>
      <c r="I538" s="17" t="s">
        <v>36</v>
      </c>
      <c r="J538" s="32" t="s">
        <v>231</v>
      </c>
      <c r="K538" s="17" t="n">
        <v>1799</v>
      </c>
      <c r="L538" s="33" t="s">
        <v>275</v>
      </c>
      <c r="M538" s="27"/>
      <c r="N538" s="39" t="s">
        <v>2288</v>
      </c>
      <c r="O538" s="17"/>
      <c r="P538" s="40" t="s">
        <v>111</v>
      </c>
      <c r="Q538" s="12"/>
      <c r="R538" s="12"/>
      <c r="S538" s="12"/>
      <c r="T538" s="12"/>
      <c r="U538" s="12"/>
      <c r="V538" s="21"/>
      <c r="Z538" s="12"/>
      <c r="AA538" s="29" t="n">
        <v>5</v>
      </c>
      <c r="AB538" s="84"/>
      <c r="AC538" s="12"/>
      <c r="AD538" s="12"/>
      <c r="AE538" s="12"/>
    </row>
    <row r="539" customFormat="false" ht="15.75" hidden="false" customHeight="false" outlineLevel="0" collapsed="false">
      <c r="A539" s="12"/>
      <c r="B539" s="12" t="s">
        <v>32</v>
      </c>
      <c r="C539" s="23" t="s">
        <v>2401</v>
      </c>
      <c r="D539" s="24" t="s">
        <v>94</v>
      </c>
      <c r="E539" s="25" t="s">
        <v>2402</v>
      </c>
      <c r="F539" s="17"/>
      <c r="G539" s="17" t="s">
        <v>134</v>
      </c>
      <c r="H539" s="17"/>
      <c r="I539" s="26" t="s">
        <v>65</v>
      </c>
      <c r="J539" s="32" t="s">
        <v>231</v>
      </c>
      <c r="K539" s="17"/>
      <c r="L539" s="17"/>
      <c r="M539" s="27"/>
      <c r="N539" s="17"/>
      <c r="O539" s="17"/>
      <c r="P539" s="28" t="s">
        <v>46</v>
      </c>
      <c r="Q539" s="12"/>
      <c r="R539" s="12"/>
      <c r="S539" s="12"/>
      <c r="T539" s="12"/>
      <c r="U539" s="12"/>
      <c r="V539" s="21"/>
      <c r="Z539" s="12"/>
      <c r="AA539" s="29" t="n">
        <v>3</v>
      </c>
      <c r="AB539" s="84"/>
      <c r="AC539" s="12"/>
      <c r="AD539" s="12"/>
      <c r="AE539" s="12"/>
    </row>
    <row r="540" customFormat="false" ht="15.75" hidden="false" customHeight="false" outlineLevel="0" collapsed="false">
      <c r="A540" s="12" t="str">
        <f aca="false">IF((AA540&gt;=4), "Y", "N")</f>
        <v>Y</v>
      </c>
      <c r="B540" s="12"/>
      <c r="C540" s="23" t="s">
        <v>2403</v>
      </c>
      <c r="D540" s="24" t="s">
        <v>94</v>
      </c>
      <c r="E540" s="25" t="s">
        <v>2404</v>
      </c>
      <c r="F540" s="17" t="s">
        <v>2405</v>
      </c>
      <c r="G540" s="17" t="s">
        <v>145</v>
      </c>
      <c r="H540" s="26" t="s">
        <v>146</v>
      </c>
      <c r="I540" s="17" t="s">
        <v>36</v>
      </c>
      <c r="J540" s="32" t="s">
        <v>231</v>
      </c>
      <c r="K540" s="17" t="n">
        <v>1988</v>
      </c>
      <c r="L540" s="38" t="s">
        <v>73</v>
      </c>
      <c r="M540" s="27"/>
      <c r="N540" s="39" t="s">
        <v>348</v>
      </c>
      <c r="O540" s="17"/>
      <c r="P540" s="40" t="s">
        <v>111</v>
      </c>
      <c r="Q540" s="20"/>
      <c r="R540" s="20"/>
      <c r="S540" s="20"/>
      <c r="T540" s="20"/>
      <c r="U540" s="20"/>
      <c r="V540" s="45"/>
      <c r="Z540" s="20"/>
      <c r="AA540" s="22" t="n">
        <v>5</v>
      </c>
      <c r="AB540" s="84"/>
      <c r="AC540" s="20"/>
      <c r="AD540" s="20"/>
      <c r="AE540" s="20"/>
    </row>
    <row r="541" customFormat="false" ht="15.75" hidden="false" customHeight="false" outlineLevel="0" collapsed="false">
      <c r="A541" s="12" t="str">
        <f aca="false">IF((AA541&gt;=4), "Y", "N")</f>
        <v>Y</v>
      </c>
      <c r="B541" s="12"/>
      <c r="C541" s="23" t="s">
        <v>2406</v>
      </c>
      <c r="D541" s="24" t="s">
        <v>94</v>
      </c>
      <c r="E541" s="25" t="s">
        <v>2407</v>
      </c>
      <c r="F541" s="17" t="s">
        <v>2408</v>
      </c>
      <c r="G541" s="17" t="s">
        <v>2409</v>
      </c>
      <c r="H541" s="26"/>
      <c r="I541" s="26" t="s">
        <v>543</v>
      </c>
      <c r="J541" s="32" t="s">
        <v>231</v>
      </c>
      <c r="K541" s="17" t="n">
        <v>2011</v>
      </c>
      <c r="L541" s="38" t="s">
        <v>73</v>
      </c>
      <c r="M541" s="27"/>
      <c r="N541" s="65" t="s">
        <v>331</v>
      </c>
      <c r="O541" s="17"/>
      <c r="P541" s="40" t="s">
        <v>111</v>
      </c>
      <c r="Q541" s="12"/>
      <c r="R541" s="12"/>
      <c r="S541" s="12"/>
      <c r="T541" s="12"/>
      <c r="U541" s="12"/>
      <c r="V541" s="21"/>
      <c r="Z541" s="12"/>
      <c r="AA541" s="29" t="n">
        <v>5</v>
      </c>
      <c r="AB541" s="84"/>
      <c r="AC541" s="12"/>
      <c r="AD541" s="12"/>
      <c r="AE541" s="12"/>
    </row>
    <row r="542" customFormat="false" ht="15.75" hidden="false" customHeight="false" outlineLevel="0" collapsed="false">
      <c r="A542" s="12" t="str">
        <f aca="false">IF((AA542&gt;=4), "Y", "N")</f>
        <v>Y</v>
      </c>
      <c r="B542" s="12"/>
      <c r="C542" s="23" t="s">
        <v>2410</v>
      </c>
      <c r="D542" s="24" t="s">
        <v>94</v>
      </c>
      <c r="E542" s="25" t="s">
        <v>2411</v>
      </c>
      <c r="F542" s="17" t="s">
        <v>2412</v>
      </c>
      <c r="G542" s="17" t="s">
        <v>71</v>
      </c>
      <c r="H542" s="26" t="s">
        <v>72</v>
      </c>
      <c r="I542" s="17" t="s">
        <v>36</v>
      </c>
      <c r="J542" s="32" t="s">
        <v>231</v>
      </c>
      <c r="K542" s="17" t="n">
        <v>2006</v>
      </c>
      <c r="L542" s="38" t="s">
        <v>482</v>
      </c>
      <c r="M542" s="27"/>
      <c r="N542" s="39" t="s">
        <v>342</v>
      </c>
      <c r="O542" s="17"/>
      <c r="P542" s="40" t="s">
        <v>111</v>
      </c>
      <c r="Q542" s="12"/>
      <c r="R542" s="12"/>
      <c r="S542" s="12"/>
      <c r="T542" s="12"/>
      <c r="U542" s="12"/>
      <c r="V542" s="21"/>
      <c r="Z542" s="12"/>
      <c r="AA542" s="29" t="n">
        <v>5</v>
      </c>
      <c r="AB542" s="84"/>
      <c r="AC542" s="12"/>
      <c r="AD542" s="12"/>
      <c r="AE542" s="12"/>
    </row>
    <row r="543" customFormat="false" ht="15.75" hidden="false" customHeight="false" outlineLevel="0" collapsed="false">
      <c r="A543" s="12" t="str">
        <f aca="false">IF((AA543&gt;=4), "Y", "N")</f>
        <v>Y</v>
      </c>
      <c r="B543" s="13"/>
      <c r="C543" s="31" t="s">
        <v>2413</v>
      </c>
      <c r="D543" s="16" t="s">
        <v>94</v>
      </c>
      <c r="E543" s="32" t="s">
        <v>2414</v>
      </c>
      <c r="F543" s="32" t="s">
        <v>2415</v>
      </c>
      <c r="G543" s="32" t="s">
        <v>1722</v>
      </c>
      <c r="H543" s="26" t="s">
        <v>72</v>
      </c>
      <c r="I543" s="17" t="s">
        <v>36</v>
      </c>
      <c r="J543" s="32" t="s">
        <v>231</v>
      </c>
      <c r="K543" s="33" t="n">
        <v>2009</v>
      </c>
      <c r="L543" s="33" t="s">
        <v>73</v>
      </c>
      <c r="M543" s="27"/>
      <c r="N543" s="44" t="s">
        <v>298</v>
      </c>
      <c r="O543" s="17"/>
      <c r="P543" s="19" t="s">
        <v>76</v>
      </c>
      <c r="Q543" s="12"/>
      <c r="R543" s="12" t="s">
        <v>2416</v>
      </c>
      <c r="S543" s="12"/>
      <c r="T543" s="12" t="s">
        <v>2417</v>
      </c>
      <c r="U543" s="12"/>
      <c r="V543" s="21" t="s">
        <v>31</v>
      </c>
      <c r="Z543" s="12"/>
      <c r="AA543" s="63" t="s">
        <v>478</v>
      </c>
      <c r="AB543" s="84"/>
      <c r="AC543" s="12"/>
      <c r="AD543" s="12"/>
      <c r="AE543" s="12"/>
    </row>
    <row r="544" customFormat="false" ht="15.75" hidden="false" customHeight="false" outlineLevel="0" collapsed="false">
      <c r="A544" s="12" t="str">
        <f aca="false">IF((AA544&gt;=4), "Y", "N")</f>
        <v>Y</v>
      </c>
      <c r="B544" s="12"/>
      <c r="C544" s="23" t="s">
        <v>2418</v>
      </c>
      <c r="D544" s="24" t="s">
        <v>94</v>
      </c>
      <c r="E544" s="25" t="s">
        <v>2419</v>
      </c>
      <c r="F544" s="17" t="s">
        <v>2420</v>
      </c>
      <c r="G544" s="17" t="s">
        <v>145</v>
      </c>
      <c r="H544" s="26" t="s">
        <v>146</v>
      </c>
      <c r="I544" s="17" t="s">
        <v>36</v>
      </c>
      <c r="J544" s="32" t="s">
        <v>231</v>
      </c>
      <c r="K544" s="17" t="n">
        <v>2002</v>
      </c>
      <c r="L544" s="38" t="s">
        <v>99</v>
      </c>
      <c r="M544" s="27"/>
      <c r="N544" s="17" t="s">
        <v>298</v>
      </c>
      <c r="O544" s="17"/>
      <c r="P544" s="40" t="s">
        <v>111</v>
      </c>
      <c r="Q544" s="12"/>
      <c r="R544" s="12"/>
      <c r="S544" s="12"/>
      <c r="T544" s="12"/>
      <c r="U544" s="12"/>
      <c r="V544" s="21"/>
      <c r="Z544" s="12"/>
      <c r="AA544" s="29" t="n">
        <v>5</v>
      </c>
      <c r="AB544" s="84"/>
      <c r="AC544" s="12"/>
      <c r="AD544" s="12"/>
      <c r="AE544" s="12"/>
    </row>
    <row r="545" customFormat="false" ht="15.75" hidden="false" customHeight="false" outlineLevel="0" collapsed="false">
      <c r="A545" s="12" t="str">
        <f aca="false">IF((AA545&gt;=4), "Y", "N")</f>
        <v>Y</v>
      </c>
      <c r="B545" s="12"/>
      <c r="C545" s="23" t="s">
        <v>2421</v>
      </c>
      <c r="D545" s="24" t="s">
        <v>94</v>
      </c>
      <c r="E545" s="25" t="s">
        <v>2422</v>
      </c>
      <c r="F545" s="17" t="s">
        <v>2423</v>
      </c>
      <c r="G545" s="17" t="s">
        <v>145</v>
      </c>
      <c r="H545" s="26" t="s">
        <v>146</v>
      </c>
      <c r="I545" s="17" t="s">
        <v>36</v>
      </c>
      <c r="J545" s="32" t="s">
        <v>231</v>
      </c>
      <c r="K545" s="17" t="n">
        <v>1919</v>
      </c>
      <c r="L545" s="33" t="s">
        <v>275</v>
      </c>
      <c r="M545" s="27"/>
      <c r="N545" s="39" t="s">
        <v>2424</v>
      </c>
      <c r="O545" s="17"/>
      <c r="P545" s="40" t="s">
        <v>111</v>
      </c>
      <c r="Q545" s="12"/>
      <c r="R545" s="12"/>
      <c r="S545" s="12"/>
      <c r="T545" s="12"/>
      <c r="U545" s="12"/>
      <c r="V545" s="21"/>
      <c r="Z545" s="12"/>
      <c r="AA545" s="29" t="n">
        <v>4</v>
      </c>
      <c r="AB545" s="84"/>
      <c r="AC545" s="12"/>
      <c r="AD545" s="12"/>
      <c r="AE545" s="12"/>
    </row>
    <row r="546" customFormat="false" ht="15.75" hidden="false" customHeight="false" outlineLevel="0" collapsed="false">
      <c r="A546" s="12" t="str">
        <f aca="false">IF((AA546&gt;=4), "Y", "N")</f>
        <v>Y</v>
      </c>
      <c r="B546" s="12"/>
      <c r="C546" s="23" t="s">
        <v>2425</v>
      </c>
      <c r="D546" s="24" t="s">
        <v>94</v>
      </c>
      <c r="E546" s="25" t="s">
        <v>2426</v>
      </c>
      <c r="F546" s="17" t="s">
        <v>2427</v>
      </c>
      <c r="G546" s="17" t="s">
        <v>145</v>
      </c>
      <c r="H546" s="26" t="s">
        <v>146</v>
      </c>
      <c r="I546" s="17" t="s">
        <v>36</v>
      </c>
      <c r="J546" s="32" t="s">
        <v>231</v>
      </c>
      <c r="K546" s="17" t="n">
        <v>1914</v>
      </c>
      <c r="L546" s="33" t="s">
        <v>275</v>
      </c>
      <c r="M546" s="27"/>
      <c r="N546" s="17" t="s">
        <v>298</v>
      </c>
      <c r="O546" s="17"/>
      <c r="P546" s="40" t="s">
        <v>111</v>
      </c>
      <c r="Q546" s="17"/>
      <c r="R546" s="17"/>
      <c r="S546" s="17"/>
      <c r="T546" s="17"/>
      <c r="U546" s="17"/>
      <c r="V546" s="27"/>
      <c r="Z546" s="17"/>
      <c r="AA546" s="29" t="n">
        <v>4</v>
      </c>
      <c r="AB546" s="84"/>
      <c r="AC546" s="17"/>
      <c r="AD546" s="17"/>
      <c r="AE546" s="17"/>
    </row>
    <row r="547" customFormat="false" ht="15.75" hidden="false" customHeight="false" outlineLevel="0" collapsed="false">
      <c r="A547" s="12" t="str">
        <f aca="false">IF((AA547&gt;=4), "Y", "N")</f>
        <v>Y</v>
      </c>
      <c r="B547" s="12"/>
      <c r="C547" s="23" t="s">
        <v>2428</v>
      </c>
      <c r="D547" s="24" t="s">
        <v>94</v>
      </c>
      <c r="E547" s="25" t="s">
        <v>2429</v>
      </c>
      <c r="F547" s="17" t="s">
        <v>2430</v>
      </c>
      <c r="G547" s="17" t="s">
        <v>145</v>
      </c>
      <c r="H547" s="26" t="s">
        <v>146</v>
      </c>
      <c r="I547" s="17" t="s">
        <v>36</v>
      </c>
      <c r="J547" s="32" t="s">
        <v>231</v>
      </c>
      <c r="K547" s="17" t="n">
        <v>1909</v>
      </c>
      <c r="L547" s="33" t="s">
        <v>275</v>
      </c>
      <c r="M547" s="27"/>
      <c r="N547" s="39" t="s">
        <v>2431</v>
      </c>
      <c r="O547" s="17"/>
      <c r="P547" s="40" t="s">
        <v>111</v>
      </c>
      <c r="Q547" s="12"/>
      <c r="R547" s="12"/>
      <c r="S547" s="12"/>
      <c r="T547" s="12"/>
      <c r="U547" s="12"/>
      <c r="V547" s="21"/>
      <c r="Z547" s="12"/>
      <c r="AA547" s="29" t="n">
        <v>5</v>
      </c>
      <c r="AB547" s="84"/>
      <c r="AC547" s="12"/>
      <c r="AD547" s="12"/>
      <c r="AE547" s="12"/>
    </row>
    <row r="548" customFormat="false" ht="15.75" hidden="false" customHeight="false" outlineLevel="0" collapsed="false">
      <c r="A548" s="12" t="str">
        <f aca="false">IF((AA548&gt;=4), "Y", "N")</f>
        <v>Y</v>
      </c>
      <c r="B548" s="12"/>
      <c r="C548" s="23" t="s">
        <v>2432</v>
      </c>
      <c r="D548" s="24" t="s">
        <v>94</v>
      </c>
      <c r="E548" s="25" t="s">
        <v>2433</v>
      </c>
      <c r="F548" s="17" t="s">
        <v>2434</v>
      </c>
      <c r="G548" s="17" t="s">
        <v>145</v>
      </c>
      <c r="H548" s="26" t="s">
        <v>146</v>
      </c>
      <c r="I548" s="17" t="s">
        <v>36</v>
      </c>
      <c r="J548" s="32" t="s">
        <v>231</v>
      </c>
      <c r="K548" s="17" t="n">
        <v>1935</v>
      </c>
      <c r="L548" s="33" t="s">
        <v>275</v>
      </c>
      <c r="M548" s="27"/>
      <c r="N548" s="39" t="s">
        <v>298</v>
      </c>
      <c r="O548" s="17"/>
      <c r="P548" s="40" t="s">
        <v>111</v>
      </c>
      <c r="Q548" s="17"/>
      <c r="R548" s="17"/>
      <c r="S548" s="17"/>
      <c r="T548" s="17"/>
      <c r="U548" s="17"/>
      <c r="V548" s="27"/>
      <c r="Z548" s="17"/>
      <c r="AA548" s="29" t="n">
        <v>5</v>
      </c>
      <c r="AB548" s="84"/>
      <c r="AC548" s="17"/>
      <c r="AD548" s="17"/>
      <c r="AE548" s="17"/>
    </row>
    <row r="549" customFormat="false" ht="15.75" hidden="false" customHeight="false" outlineLevel="0" collapsed="false">
      <c r="A549" s="12" t="str">
        <f aca="false">IF((AA549&gt;=4), "Y", "N")</f>
        <v>Y</v>
      </c>
      <c r="B549" s="12"/>
      <c r="C549" s="23" t="s">
        <v>2435</v>
      </c>
      <c r="D549" s="24" t="s">
        <v>94</v>
      </c>
      <c r="E549" s="25" t="s">
        <v>2436</v>
      </c>
      <c r="F549" s="17" t="s">
        <v>2437</v>
      </c>
      <c r="G549" s="17" t="s">
        <v>476</v>
      </c>
      <c r="H549" s="26" t="s">
        <v>477</v>
      </c>
      <c r="I549" s="17" t="s">
        <v>36</v>
      </c>
      <c r="J549" s="32" t="s">
        <v>231</v>
      </c>
      <c r="K549" s="17" t="n">
        <v>1984</v>
      </c>
      <c r="L549" s="33" t="s">
        <v>275</v>
      </c>
      <c r="M549" s="27"/>
      <c r="N549" s="39" t="s">
        <v>298</v>
      </c>
      <c r="O549" s="17"/>
      <c r="P549" s="40" t="s">
        <v>111</v>
      </c>
      <c r="Q549" s="12"/>
      <c r="R549" s="12"/>
      <c r="S549" s="12"/>
      <c r="T549" s="12"/>
      <c r="U549" s="12"/>
      <c r="V549" s="21"/>
      <c r="Z549" s="12"/>
      <c r="AA549" s="29" t="n">
        <v>4</v>
      </c>
      <c r="AB549" s="84"/>
      <c r="AC549" s="12"/>
      <c r="AD549" s="12"/>
      <c r="AE549" s="12"/>
    </row>
    <row r="550" customFormat="false" ht="15.75" hidden="false" customHeight="false" outlineLevel="0" collapsed="false">
      <c r="A550" s="12" t="str">
        <f aca="false">IF((AA550&gt;=4), "Y", "N")</f>
        <v>Y</v>
      </c>
      <c r="B550" s="13"/>
      <c r="C550" s="31" t="s">
        <v>2438</v>
      </c>
      <c r="D550" s="16" t="s">
        <v>94</v>
      </c>
      <c r="E550" s="32" t="s">
        <v>2439</v>
      </c>
      <c r="F550" s="32" t="s">
        <v>2440</v>
      </c>
      <c r="G550" s="32" t="s">
        <v>71</v>
      </c>
      <c r="H550" s="26" t="s">
        <v>72</v>
      </c>
      <c r="I550" s="17" t="s">
        <v>36</v>
      </c>
      <c r="J550" s="32" t="s">
        <v>231</v>
      </c>
      <c r="K550" s="33" t="n">
        <v>2009</v>
      </c>
      <c r="L550" s="33" t="s">
        <v>99</v>
      </c>
      <c r="M550" s="27"/>
      <c r="N550" s="44" t="s">
        <v>2441</v>
      </c>
      <c r="O550" s="17"/>
      <c r="P550" s="19" t="s">
        <v>76</v>
      </c>
      <c r="Q550" s="12"/>
      <c r="R550" s="12" t="s">
        <v>2442</v>
      </c>
      <c r="S550" s="12"/>
      <c r="T550" s="12" t="s">
        <v>2443</v>
      </c>
      <c r="U550" s="12"/>
      <c r="V550" s="21" t="s">
        <v>31</v>
      </c>
      <c r="Z550" s="12"/>
      <c r="AA550" s="22" t="str">
        <f aca="false">IF(P550="OD500 US (submitted)", "5", " ")</f>
        <v>5</v>
      </c>
      <c r="AB550" s="84"/>
      <c r="AC550" s="12"/>
      <c r="AD550" s="12"/>
      <c r="AE550" s="12"/>
    </row>
    <row r="551" customFormat="false" ht="15.75" hidden="false" customHeight="false" outlineLevel="0" collapsed="false">
      <c r="A551" s="12" t="str">
        <f aca="false">IF((AA551&gt;=4), "Y", "N")</f>
        <v>Y</v>
      </c>
      <c r="B551" s="13"/>
      <c r="C551" s="31" t="s">
        <v>2444</v>
      </c>
      <c r="D551" s="16" t="s">
        <v>94</v>
      </c>
      <c r="E551" s="32" t="s">
        <v>2445</v>
      </c>
      <c r="F551" s="32" t="s">
        <v>2446</v>
      </c>
      <c r="G551" s="32" t="s">
        <v>145</v>
      </c>
      <c r="H551" s="26" t="s">
        <v>146</v>
      </c>
      <c r="I551" s="17" t="s">
        <v>36</v>
      </c>
      <c r="J551" s="32" t="s">
        <v>231</v>
      </c>
      <c r="K551" s="33" t="n">
        <v>2007</v>
      </c>
      <c r="L551" s="33" t="s">
        <v>330</v>
      </c>
      <c r="M551" s="27"/>
      <c r="N551" s="39" t="s">
        <v>1292</v>
      </c>
      <c r="O551" s="17"/>
      <c r="P551" s="19" t="s">
        <v>76</v>
      </c>
      <c r="Q551" s="20"/>
      <c r="R551" s="20" t="s">
        <v>2447</v>
      </c>
      <c r="S551" s="20"/>
      <c r="T551" s="20" t="s">
        <v>2448</v>
      </c>
      <c r="U551" s="20"/>
      <c r="V551" s="21" t="s">
        <v>31</v>
      </c>
      <c r="Z551" s="20"/>
      <c r="AA551" s="22" t="str">
        <f aca="false">IF(P551="OD500 US (submitted)", "5", " ")</f>
        <v>5</v>
      </c>
      <c r="AB551" s="84"/>
      <c r="AC551" s="20"/>
      <c r="AD551" s="20"/>
      <c r="AE551" s="20"/>
    </row>
    <row r="552" customFormat="false" ht="15.75" hidden="false" customHeight="false" outlineLevel="0" collapsed="false">
      <c r="A552" s="12" t="str">
        <f aca="false">IF((AA552&gt;=4), "Y", "N")</f>
        <v>Y</v>
      </c>
      <c r="B552" s="13"/>
      <c r="C552" s="31" t="s">
        <v>2449</v>
      </c>
      <c r="D552" s="16" t="s">
        <v>94</v>
      </c>
      <c r="E552" s="32" t="s">
        <v>2450</v>
      </c>
      <c r="F552" s="32" t="s">
        <v>2451</v>
      </c>
      <c r="G552" s="32" t="s">
        <v>145</v>
      </c>
      <c r="H552" s="26" t="s">
        <v>146</v>
      </c>
      <c r="I552" s="17" t="s">
        <v>36</v>
      </c>
      <c r="J552" s="32" t="s">
        <v>231</v>
      </c>
      <c r="K552" s="33" t="n">
        <v>1997</v>
      </c>
      <c r="L552" s="33" t="s">
        <v>73</v>
      </c>
      <c r="M552" s="27"/>
      <c r="N552" s="44" t="s">
        <v>298</v>
      </c>
      <c r="O552" s="17"/>
      <c r="P552" s="19" t="s">
        <v>76</v>
      </c>
      <c r="Q552" s="20"/>
      <c r="R552" s="20" t="s">
        <v>2452</v>
      </c>
      <c r="S552" s="20"/>
      <c r="T552" s="20" t="s">
        <v>2453</v>
      </c>
      <c r="U552" s="20"/>
      <c r="V552" s="21" t="s">
        <v>31</v>
      </c>
      <c r="Z552" s="20"/>
      <c r="AA552" s="22" t="str">
        <f aca="false">IF(P552="OD500 US (submitted)", "5", " ")</f>
        <v>5</v>
      </c>
      <c r="AB552" s="84"/>
      <c r="AC552" s="20"/>
      <c r="AD552" s="20"/>
      <c r="AE552" s="20"/>
    </row>
    <row r="553" customFormat="false" ht="15.75" hidden="false" customHeight="false" outlineLevel="0" collapsed="false">
      <c r="A553" s="12" t="str">
        <f aca="false">IF((AA553&gt;=4), "Y", "N")</f>
        <v>Y</v>
      </c>
      <c r="B553" s="13"/>
      <c r="C553" s="31" t="s">
        <v>2454</v>
      </c>
      <c r="D553" s="16" t="s">
        <v>94</v>
      </c>
      <c r="E553" s="32" t="s">
        <v>2455</v>
      </c>
      <c r="F553" s="32" t="s">
        <v>2456</v>
      </c>
      <c r="G553" s="32" t="s">
        <v>145</v>
      </c>
      <c r="H553" s="26" t="s">
        <v>146</v>
      </c>
      <c r="I553" s="17" t="s">
        <v>36</v>
      </c>
      <c r="J553" s="32" t="s">
        <v>231</v>
      </c>
      <c r="K553" s="33" t="n">
        <v>2012</v>
      </c>
      <c r="L553" s="33" t="s">
        <v>109</v>
      </c>
      <c r="M553" s="27"/>
      <c r="N553" s="39" t="s">
        <v>2457</v>
      </c>
      <c r="O553" s="17"/>
      <c r="P553" s="19" t="s">
        <v>76</v>
      </c>
      <c r="Q553" s="17"/>
      <c r="R553" s="17" t="s">
        <v>2458</v>
      </c>
      <c r="S553" s="17"/>
      <c r="T553" s="17" t="s">
        <v>2459</v>
      </c>
      <c r="U553" s="17"/>
      <c r="V553" s="21" t="s">
        <v>31</v>
      </c>
      <c r="Z553" s="17"/>
      <c r="AA553" s="22" t="str">
        <f aca="false">IF(P553="OD500 US (submitted)", "5", " ")</f>
        <v>5</v>
      </c>
      <c r="AB553" s="84"/>
      <c r="AC553" s="17"/>
      <c r="AD553" s="17"/>
      <c r="AE553" s="17"/>
    </row>
    <row r="554" customFormat="false" ht="15.75" hidden="false" customHeight="false" outlineLevel="0" collapsed="false">
      <c r="A554" s="12" t="s">
        <v>193</v>
      </c>
      <c r="B554" s="13"/>
      <c r="C554" s="31" t="s">
        <v>2460</v>
      </c>
      <c r="D554" s="16" t="s">
        <v>94</v>
      </c>
      <c r="E554" s="32" t="s">
        <v>2461</v>
      </c>
      <c r="F554" s="32" t="s">
        <v>2462</v>
      </c>
      <c r="G554" s="32" t="s">
        <v>458</v>
      </c>
      <c r="H554" s="26" t="s">
        <v>444</v>
      </c>
      <c r="I554" s="17" t="s">
        <v>36</v>
      </c>
      <c r="J554" s="32" t="s">
        <v>231</v>
      </c>
      <c r="K554" s="33" t="n">
        <v>2012</v>
      </c>
      <c r="L554" s="33" t="s">
        <v>109</v>
      </c>
      <c r="M554" s="27"/>
      <c r="N554" s="39" t="s">
        <v>478</v>
      </c>
      <c r="O554" s="17"/>
      <c r="P554" s="19" t="s">
        <v>76</v>
      </c>
      <c r="Q554" s="20"/>
      <c r="R554" s="20" t="s">
        <v>2463</v>
      </c>
      <c r="S554" s="20"/>
      <c r="T554" s="20" t="s">
        <v>2464</v>
      </c>
      <c r="U554" s="20"/>
      <c r="V554" s="21" t="s">
        <v>31</v>
      </c>
      <c r="Z554" s="20"/>
      <c r="AA554" s="22" t="n">
        <v>3</v>
      </c>
      <c r="AB554" s="84"/>
      <c r="AC554" s="20"/>
      <c r="AD554" s="20"/>
      <c r="AE554" s="20"/>
    </row>
    <row r="555" customFormat="false" ht="15.75" hidden="false" customHeight="false" outlineLevel="0" collapsed="false">
      <c r="A555" s="12" t="str">
        <f aca="false">IF((AA555&gt;=4), "Y", "N")</f>
        <v>Y</v>
      </c>
      <c r="B555" s="12"/>
      <c r="C555" s="23" t="s">
        <v>2465</v>
      </c>
      <c r="D555" s="24" t="s">
        <v>94</v>
      </c>
      <c r="E555" s="25" t="s">
        <v>2466</v>
      </c>
      <c r="F555" s="17" t="s">
        <v>2467</v>
      </c>
      <c r="G555" s="17" t="s">
        <v>145</v>
      </c>
      <c r="H555" s="26" t="s">
        <v>146</v>
      </c>
      <c r="I555" s="17" t="s">
        <v>36</v>
      </c>
      <c r="J555" s="32" t="s">
        <v>244</v>
      </c>
      <c r="K555" s="17" t="n">
        <v>1998</v>
      </c>
      <c r="L555" s="33" t="s">
        <v>275</v>
      </c>
      <c r="M555" s="27"/>
      <c r="N555" s="39" t="s">
        <v>2468</v>
      </c>
      <c r="O555" s="17"/>
      <c r="P555" s="40" t="s">
        <v>111</v>
      </c>
      <c r="Q555" s="12"/>
      <c r="R555" s="12"/>
      <c r="S555" s="12"/>
      <c r="T555" s="12"/>
      <c r="U555" s="12"/>
      <c r="V555" s="21"/>
      <c r="Z555" s="12"/>
      <c r="AA555" s="29" t="n">
        <v>5</v>
      </c>
      <c r="AB555" s="84"/>
      <c r="AC555" s="12"/>
      <c r="AD555" s="12"/>
      <c r="AE555" s="12"/>
    </row>
    <row r="556" customFormat="false" ht="15.75" hidden="false" customHeight="false" outlineLevel="0" collapsed="false">
      <c r="A556" s="12" t="str">
        <f aca="false">IF((AA556&gt;=4), "Y", "N")</f>
        <v>Y</v>
      </c>
      <c r="B556" s="12"/>
      <c r="C556" s="23" t="s">
        <v>2469</v>
      </c>
      <c r="D556" s="24" t="s">
        <v>94</v>
      </c>
      <c r="E556" s="25" t="s">
        <v>2470</v>
      </c>
      <c r="F556" s="17" t="s">
        <v>2471</v>
      </c>
      <c r="G556" s="17" t="s">
        <v>405</v>
      </c>
      <c r="H556" s="26" t="s">
        <v>72</v>
      </c>
      <c r="I556" s="17" t="s">
        <v>36</v>
      </c>
      <c r="J556" s="32" t="s">
        <v>231</v>
      </c>
      <c r="K556" s="17" t="n">
        <v>2013</v>
      </c>
      <c r="L556" s="33"/>
      <c r="M556" s="27"/>
      <c r="N556" s="39" t="s">
        <v>298</v>
      </c>
      <c r="O556" s="17"/>
      <c r="P556" s="40" t="s">
        <v>111</v>
      </c>
      <c r="Q556" s="12"/>
      <c r="R556" s="12"/>
      <c r="S556" s="12"/>
      <c r="T556" s="12"/>
      <c r="U556" s="12"/>
      <c r="V556" s="21"/>
      <c r="Z556" s="12"/>
      <c r="AA556" s="29" t="n">
        <v>5</v>
      </c>
      <c r="AB556" s="84"/>
      <c r="AC556" s="12"/>
      <c r="AD556" s="12"/>
      <c r="AE556" s="12"/>
    </row>
    <row r="557" customFormat="false" ht="15.75" hidden="false" customHeight="false" outlineLevel="0" collapsed="false">
      <c r="A557" s="12" t="str">
        <f aca="false">IF((AA557&gt;=4), "Y", "N")</f>
        <v>Y</v>
      </c>
      <c r="B557" s="12"/>
      <c r="C557" s="23" t="s">
        <v>2472</v>
      </c>
      <c r="D557" s="24" t="s">
        <v>94</v>
      </c>
      <c r="E557" s="25" t="s">
        <v>2473</v>
      </c>
      <c r="F557" s="17" t="s">
        <v>2474</v>
      </c>
      <c r="G557" s="17" t="s">
        <v>2475</v>
      </c>
      <c r="H557" s="26" t="s">
        <v>1030</v>
      </c>
      <c r="I557" s="17" t="s">
        <v>36</v>
      </c>
      <c r="J557" s="32" t="s">
        <v>231</v>
      </c>
      <c r="K557" s="17" t="n">
        <v>2003</v>
      </c>
      <c r="L557" s="38" t="s">
        <v>73</v>
      </c>
      <c r="M557" s="27"/>
      <c r="N557" s="39" t="s">
        <v>298</v>
      </c>
      <c r="O557" s="17"/>
      <c r="P557" s="40" t="s">
        <v>111</v>
      </c>
      <c r="Q557" s="12"/>
      <c r="R557" s="12"/>
      <c r="S557" s="12"/>
      <c r="T557" s="12"/>
      <c r="U557" s="12"/>
      <c r="V557" s="21"/>
      <c r="Z557" s="12"/>
      <c r="AA557" s="29" t="n">
        <v>5</v>
      </c>
      <c r="AB557" s="84"/>
      <c r="AC557" s="12"/>
      <c r="AD557" s="12"/>
      <c r="AE557" s="12"/>
    </row>
    <row r="558" customFormat="false" ht="15.75" hidden="false" customHeight="false" outlineLevel="0" collapsed="false">
      <c r="A558" s="12" t="str">
        <f aca="false">IF((AA558&gt;=4), "Y", "N")</f>
        <v>Y</v>
      </c>
      <c r="B558" s="12"/>
      <c r="C558" s="23" t="s">
        <v>2476</v>
      </c>
      <c r="D558" s="24" t="s">
        <v>94</v>
      </c>
      <c r="E558" s="25" t="s">
        <v>2477</v>
      </c>
      <c r="F558" s="17" t="s">
        <v>2478</v>
      </c>
      <c r="G558" s="17" t="s">
        <v>302</v>
      </c>
      <c r="H558" s="26" t="s">
        <v>303</v>
      </c>
      <c r="I558" s="17" t="s">
        <v>36</v>
      </c>
      <c r="J558" s="32" t="s">
        <v>231</v>
      </c>
      <c r="K558" s="17" t="n">
        <v>1936</v>
      </c>
      <c r="L558" s="33" t="s">
        <v>275</v>
      </c>
      <c r="M558" s="27"/>
      <c r="N558" s="39" t="s">
        <v>298</v>
      </c>
      <c r="O558" s="17"/>
      <c r="P558" s="40" t="s">
        <v>111</v>
      </c>
      <c r="Q558" s="12"/>
      <c r="R558" s="12"/>
      <c r="S558" s="12"/>
      <c r="T558" s="12"/>
      <c r="U558" s="12"/>
      <c r="V558" s="21"/>
      <c r="Z558" s="12"/>
      <c r="AA558" s="29" t="n">
        <v>5</v>
      </c>
      <c r="AB558" s="84"/>
      <c r="AC558" s="12"/>
      <c r="AD558" s="12"/>
      <c r="AE558" s="12"/>
    </row>
    <row r="559" customFormat="false" ht="15.75" hidden="false" customHeight="false" outlineLevel="0" collapsed="false">
      <c r="A559" s="12" t="str">
        <f aca="false">IF((AA559&gt;=4), "Y", "N")</f>
        <v>Y</v>
      </c>
      <c r="B559" s="12"/>
      <c r="C559" s="23" t="s">
        <v>2479</v>
      </c>
      <c r="D559" s="24" t="s">
        <v>94</v>
      </c>
      <c r="E559" s="25" t="s">
        <v>2480</v>
      </c>
      <c r="F559" s="17" t="s">
        <v>2481</v>
      </c>
      <c r="G559" s="17" t="s">
        <v>71</v>
      </c>
      <c r="H559" s="26" t="s">
        <v>72</v>
      </c>
      <c r="I559" s="17" t="s">
        <v>36</v>
      </c>
      <c r="J559" s="32" t="s">
        <v>231</v>
      </c>
      <c r="K559" s="17" t="n">
        <v>2008</v>
      </c>
      <c r="L559" s="38" t="s">
        <v>99</v>
      </c>
      <c r="M559" s="27"/>
      <c r="N559" s="39" t="s">
        <v>298</v>
      </c>
      <c r="O559" s="17"/>
      <c r="P559" s="40" t="s">
        <v>111</v>
      </c>
      <c r="Q559" s="12"/>
      <c r="R559" s="12"/>
      <c r="S559" s="12"/>
      <c r="T559" s="12"/>
      <c r="U559" s="12"/>
      <c r="V559" s="21"/>
      <c r="Z559" s="12"/>
      <c r="AA559" s="29" t="n">
        <v>5</v>
      </c>
      <c r="AB559" s="84"/>
      <c r="AC559" s="12"/>
      <c r="AD559" s="12"/>
      <c r="AE559" s="12"/>
    </row>
    <row r="560" customFormat="false" ht="15.75" hidden="false" customHeight="false" outlineLevel="0" collapsed="false">
      <c r="A560" s="12" t="str">
        <f aca="false">IF((AA560&gt;=4), "Y", "N")</f>
        <v>Y</v>
      </c>
      <c r="B560" s="13"/>
      <c r="C560" s="31" t="s">
        <v>2482</v>
      </c>
      <c r="D560" s="16" t="s">
        <v>94</v>
      </c>
      <c r="E560" s="32" t="s">
        <v>2483</v>
      </c>
      <c r="F560" s="32" t="s">
        <v>2484</v>
      </c>
      <c r="G560" s="32" t="s">
        <v>145</v>
      </c>
      <c r="H560" s="26" t="s">
        <v>146</v>
      </c>
      <c r="I560" s="17" t="s">
        <v>36</v>
      </c>
      <c r="J560" s="32" t="s">
        <v>231</v>
      </c>
      <c r="K560" s="33" t="n">
        <v>2010</v>
      </c>
      <c r="L560" s="33" t="s">
        <v>109</v>
      </c>
      <c r="M560" s="27"/>
      <c r="N560" s="39" t="s">
        <v>2485</v>
      </c>
      <c r="O560" s="17"/>
      <c r="P560" s="19" t="s">
        <v>76</v>
      </c>
      <c r="Q560" s="20"/>
      <c r="R560" s="20" t="s">
        <v>2486</v>
      </c>
      <c r="S560" s="20"/>
      <c r="T560" s="20" t="s">
        <v>2487</v>
      </c>
      <c r="U560" s="20"/>
      <c r="V560" s="21" t="s">
        <v>31</v>
      </c>
      <c r="Z560" s="20"/>
      <c r="AA560" s="22" t="str">
        <f aca="false">IF(P560="OD500 US (submitted)", "5", " ")</f>
        <v>5</v>
      </c>
      <c r="AB560" s="84"/>
      <c r="AC560" s="20"/>
      <c r="AD560" s="20"/>
      <c r="AE560" s="20"/>
    </row>
    <row r="561" customFormat="false" ht="15.75" hidden="false" customHeight="false" outlineLevel="0" collapsed="false">
      <c r="A561" s="12" t="str">
        <f aca="false">IF((AA561&gt;=4), "Y", "N")</f>
        <v>Y</v>
      </c>
      <c r="B561" s="13"/>
      <c r="C561" s="31" t="s">
        <v>2488</v>
      </c>
      <c r="D561" s="16" t="s">
        <v>94</v>
      </c>
      <c r="E561" s="32" t="s">
        <v>2489</v>
      </c>
      <c r="F561" s="32" t="s">
        <v>2490</v>
      </c>
      <c r="G561" s="32" t="s">
        <v>296</v>
      </c>
      <c r="H561" s="26" t="s">
        <v>297</v>
      </c>
      <c r="I561" s="17" t="s">
        <v>36</v>
      </c>
      <c r="J561" s="32" t="s">
        <v>231</v>
      </c>
      <c r="K561" s="33" t="n">
        <v>2012</v>
      </c>
      <c r="L561" s="33" t="s">
        <v>99</v>
      </c>
      <c r="M561" s="27"/>
      <c r="N561" s="44" t="s">
        <v>298</v>
      </c>
      <c r="O561" s="17"/>
      <c r="P561" s="19" t="s">
        <v>76</v>
      </c>
      <c r="Q561" s="12"/>
      <c r="R561" s="12" t="s">
        <v>2491</v>
      </c>
      <c r="S561" s="12"/>
      <c r="T561" s="12" t="s">
        <v>2492</v>
      </c>
      <c r="U561" s="12"/>
      <c r="V561" s="21" t="s">
        <v>31</v>
      </c>
      <c r="Z561" s="12"/>
      <c r="AA561" s="22" t="str">
        <f aca="false">IF(P561="OD500 US (submitted)", "5", " ")</f>
        <v>5</v>
      </c>
      <c r="AB561" s="84"/>
      <c r="AC561" s="12"/>
      <c r="AD561" s="12"/>
      <c r="AE561" s="12"/>
    </row>
    <row r="562" customFormat="false" ht="15.75" hidden="false" customHeight="false" outlineLevel="0" collapsed="false">
      <c r="A562" s="12" t="str">
        <f aca="false">IF((AA562&gt;=4), "Y", "N")</f>
        <v>Y</v>
      </c>
      <c r="B562" s="13"/>
      <c r="C562" s="31" t="s">
        <v>2493</v>
      </c>
      <c r="D562" s="16" t="s">
        <v>94</v>
      </c>
      <c r="E562" s="32" t="s">
        <v>2494</v>
      </c>
      <c r="F562" s="32" t="s">
        <v>2495</v>
      </c>
      <c r="G562" s="32" t="s">
        <v>2496</v>
      </c>
      <c r="H562" s="26" t="s">
        <v>439</v>
      </c>
      <c r="I562" s="17" t="s">
        <v>36</v>
      </c>
      <c r="J562" s="32" t="s">
        <v>231</v>
      </c>
      <c r="K562" s="33" t="n">
        <v>2012</v>
      </c>
      <c r="L562" s="33" t="s">
        <v>109</v>
      </c>
      <c r="M562" s="27"/>
      <c r="N562" s="44" t="s">
        <v>298</v>
      </c>
      <c r="O562" s="17"/>
      <c r="P562" s="19" t="s">
        <v>76</v>
      </c>
      <c r="Q562" s="12"/>
      <c r="R562" s="12" t="s">
        <v>2497</v>
      </c>
      <c r="S562" s="12"/>
      <c r="T562" s="12" t="s">
        <v>2498</v>
      </c>
      <c r="U562" s="12"/>
      <c r="V562" s="21" t="s">
        <v>31</v>
      </c>
      <c r="Z562" s="12"/>
      <c r="AA562" s="22" t="str">
        <f aca="false">IF(P562="OD500 US (submitted)", "5", " ")</f>
        <v>5</v>
      </c>
      <c r="AB562" s="84"/>
      <c r="AC562" s="12"/>
      <c r="AD562" s="12"/>
      <c r="AE562" s="12"/>
    </row>
    <row r="563" customFormat="false" ht="15.75" hidden="false" customHeight="false" outlineLevel="0" collapsed="false">
      <c r="A563" s="12" t="str">
        <f aca="false">IF((AA563&gt;=4), "Y", "N")</f>
        <v>Y</v>
      </c>
      <c r="B563" s="12"/>
      <c r="C563" s="23" t="s">
        <v>2499</v>
      </c>
      <c r="D563" s="24" t="s">
        <v>94</v>
      </c>
      <c r="E563" s="25" t="s">
        <v>2500</v>
      </c>
      <c r="F563" s="17" t="s">
        <v>2501</v>
      </c>
      <c r="G563" s="17" t="s">
        <v>71</v>
      </c>
      <c r="H563" s="26" t="s">
        <v>390</v>
      </c>
      <c r="I563" s="17" t="s">
        <v>36</v>
      </c>
      <c r="J563" s="32" t="s">
        <v>231</v>
      </c>
      <c r="K563" s="17" t="n">
        <v>2014</v>
      </c>
      <c r="L563" s="33"/>
      <c r="M563" s="27"/>
      <c r="N563" s="17" t="s">
        <v>478</v>
      </c>
      <c r="O563" s="17"/>
      <c r="P563" s="40" t="s">
        <v>111</v>
      </c>
      <c r="Q563" s="12"/>
      <c r="R563" s="12"/>
      <c r="S563" s="12"/>
      <c r="T563" s="12"/>
      <c r="U563" s="12"/>
      <c r="V563" s="21"/>
      <c r="Z563" s="12"/>
      <c r="AA563" s="29" t="n">
        <v>5</v>
      </c>
      <c r="AB563" s="84"/>
      <c r="AC563" s="12"/>
      <c r="AD563" s="12"/>
      <c r="AE563" s="12"/>
    </row>
    <row r="564" customFormat="false" ht="15.75" hidden="false" customHeight="false" outlineLevel="0" collapsed="false">
      <c r="A564" s="12" t="str">
        <f aca="false">IF((AA564&gt;=4), "Y", "N")</f>
        <v>Y</v>
      </c>
      <c r="B564" s="12"/>
      <c r="C564" s="23" t="s">
        <v>2502</v>
      </c>
      <c r="D564" s="24" t="s">
        <v>94</v>
      </c>
      <c r="E564" s="25" t="s">
        <v>2503</v>
      </c>
      <c r="F564" s="17" t="s">
        <v>2504</v>
      </c>
      <c r="G564" s="17" t="s">
        <v>2505</v>
      </c>
      <c r="H564" s="26" t="s">
        <v>72</v>
      </c>
      <c r="I564" s="17" t="s">
        <v>36</v>
      </c>
      <c r="J564" s="32" t="s">
        <v>231</v>
      </c>
      <c r="K564" s="17" t="n">
        <v>1975</v>
      </c>
      <c r="L564" s="33" t="s">
        <v>275</v>
      </c>
      <c r="M564" s="27"/>
      <c r="N564" s="39" t="s">
        <v>1896</v>
      </c>
      <c r="O564" s="17"/>
      <c r="P564" s="40" t="s">
        <v>111</v>
      </c>
      <c r="Q564" s="12"/>
      <c r="R564" s="12"/>
      <c r="S564" s="12"/>
      <c r="T564" s="12"/>
      <c r="U564" s="12"/>
      <c r="V564" s="21"/>
      <c r="Z564" s="12"/>
      <c r="AA564" s="29" t="n">
        <v>5</v>
      </c>
      <c r="AB564" s="84"/>
      <c r="AC564" s="12"/>
      <c r="AD564" s="12"/>
      <c r="AE564" s="12"/>
    </row>
    <row r="565" customFormat="false" ht="15.75" hidden="false" customHeight="false" outlineLevel="0" collapsed="false">
      <c r="A565" s="12" t="str">
        <f aca="false">IF((AA565&gt;=4), "Y", "N")</f>
        <v>Y</v>
      </c>
      <c r="B565" s="13"/>
      <c r="C565" s="31" t="s">
        <v>2506</v>
      </c>
      <c r="D565" s="16" t="s">
        <v>94</v>
      </c>
      <c r="E565" s="32" t="s">
        <v>2507</v>
      </c>
      <c r="F565" s="32" t="s">
        <v>2508</v>
      </c>
      <c r="G565" s="32" t="s">
        <v>145</v>
      </c>
      <c r="H565" s="26" t="s">
        <v>146</v>
      </c>
      <c r="I565" s="17" t="s">
        <v>36</v>
      </c>
      <c r="J565" s="32" t="s">
        <v>231</v>
      </c>
      <c r="K565" s="33" t="n">
        <v>2013</v>
      </c>
      <c r="L565" s="33" t="s">
        <v>109</v>
      </c>
      <c r="M565" s="27"/>
      <c r="N565" s="44" t="s">
        <v>1896</v>
      </c>
      <c r="O565" s="17"/>
      <c r="P565" s="19" t="s">
        <v>76</v>
      </c>
      <c r="Q565" s="12"/>
      <c r="R565" s="12" t="s">
        <v>2509</v>
      </c>
      <c r="S565" s="12"/>
      <c r="T565" s="12" t="s">
        <v>2510</v>
      </c>
      <c r="U565" s="12"/>
      <c r="V565" s="21" t="s">
        <v>31</v>
      </c>
      <c r="Z565" s="12"/>
      <c r="AA565" s="22" t="str">
        <f aca="false">IF(P565="OD500 US (submitted)", "5", " ")</f>
        <v>5</v>
      </c>
      <c r="AB565" s="84"/>
      <c r="AC565" s="12"/>
      <c r="AD565" s="12"/>
      <c r="AE565" s="12"/>
    </row>
    <row r="566" customFormat="false" ht="15.75" hidden="false" customHeight="false" outlineLevel="0" collapsed="false">
      <c r="A566" s="12" t="str">
        <f aca="false">IF((AA566&gt;=4), "Y", "N")</f>
        <v>Y</v>
      </c>
      <c r="B566" s="12"/>
      <c r="C566" s="23" t="s">
        <v>2511</v>
      </c>
      <c r="D566" s="24" t="s">
        <v>94</v>
      </c>
      <c r="E566" s="25" t="s">
        <v>2512</v>
      </c>
      <c r="F566" s="17" t="s">
        <v>2513</v>
      </c>
      <c r="G566" s="17" t="s">
        <v>2514</v>
      </c>
      <c r="H566" s="26" t="s">
        <v>390</v>
      </c>
      <c r="I566" s="17" t="s">
        <v>36</v>
      </c>
      <c r="J566" s="32" t="s">
        <v>244</v>
      </c>
      <c r="K566" s="17" t="n">
        <v>2000</v>
      </c>
      <c r="L566" s="38" t="s">
        <v>73</v>
      </c>
      <c r="M566" s="27"/>
      <c r="N566" s="39" t="s">
        <v>298</v>
      </c>
      <c r="O566" s="17"/>
      <c r="P566" s="40" t="s">
        <v>111</v>
      </c>
      <c r="Q566" s="20"/>
      <c r="R566" s="20"/>
      <c r="S566" s="20"/>
      <c r="T566" s="20"/>
      <c r="U566" s="20"/>
      <c r="V566" s="45"/>
      <c r="Z566" s="20"/>
      <c r="AA566" s="22" t="n">
        <v>5</v>
      </c>
      <c r="AB566" s="84"/>
      <c r="AC566" s="20"/>
      <c r="AD566" s="20"/>
      <c r="AE566" s="20"/>
    </row>
    <row r="567" customFormat="false" ht="15.75" hidden="false" customHeight="false" outlineLevel="0" collapsed="false">
      <c r="A567" s="12" t="str">
        <f aca="false">IF((AA567&gt;=4), "Y", "N")</f>
        <v>Y</v>
      </c>
      <c r="B567" s="12"/>
      <c r="C567" s="23" t="s">
        <v>2515</v>
      </c>
      <c r="D567" s="24" t="s">
        <v>94</v>
      </c>
      <c r="E567" s="25" t="s">
        <v>2516</v>
      </c>
      <c r="F567" s="17" t="s">
        <v>2517</v>
      </c>
      <c r="G567" s="17" t="s">
        <v>2518</v>
      </c>
      <c r="H567" s="26" t="s">
        <v>369</v>
      </c>
      <c r="I567" s="17" t="s">
        <v>36</v>
      </c>
      <c r="J567" s="32" t="s">
        <v>231</v>
      </c>
      <c r="K567" s="17" t="n">
        <v>1922</v>
      </c>
      <c r="L567" s="33" t="s">
        <v>275</v>
      </c>
      <c r="M567" s="27"/>
      <c r="N567" s="17" t="s">
        <v>478</v>
      </c>
      <c r="O567" s="17"/>
      <c r="P567" s="40" t="s">
        <v>111</v>
      </c>
      <c r="Q567" s="20"/>
      <c r="R567" s="20"/>
      <c r="S567" s="20"/>
      <c r="T567" s="20"/>
      <c r="U567" s="20"/>
      <c r="V567" s="45"/>
      <c r="Z567" s="20"/>
      <c r="AA567" s="22" t="n">
        <v>5</v>
      </c>
      <c r="AB567" s="84"/>
      <c r="AC567" s="20"/>
      <c r="AD567" s="20"/>
      <c r="AE567" s="20"/>
    </row>
    <row r="568" customFormat="false" ht="15.75" hidden="false" customHeight="false" outlineLevel="0" collapsed="false">
      <c r="A568" s="12"/>
      <c r="B568" s="12"/>
      <c r="C568" s="23" t="s">
        <v>2519</v>
      </c>
      <c r="D568" s="24" t="s">
        <v>94</v>
      </c>
      <c r="E568" s="25" t="s">
        <v>2520</v>
      </c>
      <c r="F568" s="17" t="s">
        <v>2521</v>
      </c>
      <c r="G568" s="17" t="s">
        <v>2522</v>
      </c>
      <c r="H568" s="26" t="s">
        <v>2523</v>
      </c>
      <c r="I568" s="17" t="s">
        <v>36</v>
      </c>
      <c r="J568" s="32" t="s">
        <v>244</v>
      </c>
      <c r="K568" s="17" t="n">
        <v>2008</v>
      </c>
      <c r="L568" s="38" t="s">
        <v>482</v>
      </c>
      <c r="M568" s="27"/>
      <c r="N568" s="39" t="s">
        <v>298</v>
      </c>
      <c r="O568" s="17"/>
      <c r="P568" s="40" t="s">
        <v>111</v>
      </c>
      <c r="Q568" s="12"/>
      <c r="R568" s="12"/>
      <c r="S568" s="12"/>
      <c r="T568" s="12"/>
      <c r="U568" s="12"/>
      <c r="V568" s="21"/>
      <c r="Z568" s="12"/>
      <c r="AA568" s="29" t="n">
        <v>5</v>
      </c>
      <c r="AB568" s="84"/>
      <c r="AC568" s="12"/>
      <c r="AD568" s="12"/>
      <c r="AE568" s="12"/>
    </row>
    <row r="569" customFormat="false" ht="15.75" hidden="false" customHeight="false" outlineLevel="0" collapsed="false">
      <c r="A569" s="12"/>
      <c r="B569" s="12"/>
      <c r="C569" s="23" t="s">
        <v>2524</v>
      </c>
      <c r="D569" s="24" t="s">
        <v>94</v>
      </c>
      <c r="E569" s="25" t="s">
        <v>2525</v>
      </c>
      <c r="F569" s="17" t="s">
        <v>2526</v>
      </c>
      <c r="G569" s="17" t="s">
        <v>462</v>
      </c>
      <c r="H569" s="26" t="s">
        <v>72</v>
      </c>
      <c r="I569" s="17" t="s">
        <v>36</v>
      </c>
      <c r="J569" s="32" t="s">
        <v>231</v>
      </c>
      <c r="K569" s="17" t="n">
        <v>2000</v>
      </c>
      <c r="L569" s="38" t="s">
        <v>73</v>
      </c>
      <c r="M569" s="27"/>
      <c r="N569" s="39" t="s">
        <v>2527</v>
      </c>
      <c r="O569" s="17"/>
      <c r="P569" s="40" t="s">
        <v>111</v>
      </c>
      <c r="Q569" s="12"/>
      <c r="R569" s="12"/>
      <c r="S569" s="12"/>
      <c r="T569" s="12"/>
      <c r="U569" s="12"/>
      <c r="V569" s="21"/>
      <c r="Z569" s="12"/>
      <c r="AA569" s="29" t="n">
        <v>5</v>
      </c>
      <c r="AB569" s="84"/>
      <c r="AC569" s="12"/>
      <c r="AD569" s="12"/>
      <c r="AE569" s="12"/>
    </row>
    <row r="570" customFormat="false" ht="15.75" hidden="false" customHeight="false" outlineLevel="0" collapsed="false">
      <c r="A570" s="12" t="str">
        <f aca="false">IF((AA570&gt;=4), "Y", "N")</f>
        <v>Y</v>
      </c>
      <c r="B570" s="87"/>
      <c r="C570" s="88" t="s">
        <v>2528</v>
      </c>
      <c r="D570" s="76" t="s">
        <v>61</v>
      </c>
      <c r="E570" s="89" t="s">
        <v>2529</v>
      </c>
      <c r="F570" s="76" t="s">
        <v>2530</v>
      </c>
      <c r="G570" s="76" t="s">
        <v>2531</v>
      </c>
      <c r="H570" s="76"/>
      <c r="I570" s="26" t="s">
        <v>610</v>
      </c>
      <c r="J570" s="32" t="s">
        <v>231</v>
      </c>
      <c r="K570" s="76" t="n">
        <v>2012</v>
      </c>
      <c r="L570" s="76"/>
      <c r="M570" s="90"/>
      <c r="N570" s="76"/>
      <c r="O570" s="76"/>
      <c r="P570" s="91" t="s">
        <v>755</v>
      </c>
      <c r="Q570" s="76"/>
      <c r="R570" s="76"/>
      <c r="S570" s="76"/>
      <c r="T570" s="76"/>
      <c r="U570" s="76"/>
      <c r="V570" s="90"/>
      <c r="W570" s="76"/>
      <c r="X570" s="76"/>
      <c r="Y570" s="76"/>
      <c r="Z570" s="76"/>
      <c r="AA570" s="92" t="n">
        <v>5</v>
      </c>
      <c r="AB570" s="84"/>
      <c r="AC570" s="89" t="s">
        <v>2532</v>
      </c>
      <c r="AD570" s="76"/>
      <c r="AE570" s="76"/>
    </row>
    <row r="571" customFormat="false" ht="15.75" hidden="false" customHeight="false" outlineLevel="0" collapsed="false">
      <c r="A571" s="12" t="str">
        <f aca="false">IF((AA571&gt;=4), "Y", "N")</f>
        <v>Y</v>
      </c>
      <c r="B571" s="74"/>
      <c r="C571" s="75" t="s">
        <v>2533</v>
      </c>
      <c r="D571" s="24" t="s">
        <v>61</v>
      </c>
      <c r="E571" s="25" t="s">
        <v>2534</v>
      </c>
      <c r="F571" s="39" t="s">
        <v>2535</v>
      </c>
      <c r="G571" s="39" t="s">
        <v>2536</v>
      </c>
      <c r="H571" s="17"/>
      <c r="I571" s="17" t="s">
        <v>260</v>
      </c>
      <c r="J571" s="32" t="s">
        <v>231</v>
      </c>
      <c r="K571" s="17" t="n">
        <v>2006</v>
      </c>
      <c r="L571" s="17"/>
      <c r="M571" s="27"/>
      <c r="N571" s="17"/>
      <c r="O571" s="17"/>
      <c r="P571" s="40" t="s">
        <v>755</v>
      </c>
      <c r="Q571" s="12"/>
      <c r="R571" s="12"/>
      <c r="S571" s="12"/>
      <c r="T571" s="12"/>
      <c r="U571" s="12"/>
      <c r="V571" s="21"/>
      <c r="Z571" s="12"/>
      <c r="AA571" s="29" t="n">
        <v>4</v>
      </c>
      <c r="AB571" s="84"/>
      <c r="AC571" s="59" t="s">
        <v>2537</v>
      </c>
      <c r="AD571" s="12"/>
      <c r="AE571" s="12"/>
    </row>
    <row r="572" customFormat="false" ht="15.75" hidden="false" customHeight="false" outlineLevel="0" collapsed="false">
      <c r="A572" s="12" t="str">
        <f aca="false">IF((AA572&gt;=4), "Y", "N")</f>
        <v>Y</v>
      </c>
      <c r="B572" s="13"/>
      <c r="C572" s="14" t="s">
        <v>2538</v>
      </c>
      <c r="D572" s="24" t="s">
        <v>61</v>
      </c>
      <c r="E572" s="25" t="s">
        <v>2539</v>
      </c>
      <c r="F572" s="39" t="s">
        <v>2540</v>
      </c>
      <c r="G572" s="17" t="s">
        <v>145</v>
      </c>
      <c r="H572" s="17"/>
      <c r="I572" s="17" t="s">
        <v>36</v>
      </c>
      <c r="J572" s="32" t="s">
        <v>231</v>
      </c>
      <c r="K572" s="17" t="n">
        <v>2013</v>
      </c>
      <c r="L572" s="17"/>
      <c r="M572" s="27"/>
      <c r="N572" s="17"/>
      <c r="O572" s="17"/>
      <c r="P572" s="40" t="s">
        <v>526</v>
      </c>
      <c r="Q572" s="12"/>
      <c r="R572" s="12"/>
      <c r="S572" s="12"/>
      <c r="T572" s="12"/>
      <c r="U572" s="12"/>
      <c r="V572" s="21"/>
      <c r="Z572" s="12"/>
      <c r="AA572" s="29" t="n">
        <v>5</v>
      </c>
      <c r="AB572" s="84"/>
      <c r="AC572" s="12"/>
      <c r="AD572" s="12"/>
      <c r="AE572" s="12"/>
    </row>
    <row r="573" customFormat="false" ht="15.75" hidden="false" customHeight="false" outlineLevel="0" collapsed="false">
      <c r="A573" s="12"/>
      <c r="B573" s="13" t="s">
        <v>528</v>
      </c>
      <c r="C573" s="14" t="s">
        <v>2541</v>
      </c>
      <c r="D573" s="24" t="s">
        <v>51</v>
      </c>
      <c r="E573" s="25" t="s">
        <v>2542</v>
      </c>
      <c r="F573" s="17" t="s">
        <v>2543</v>
      </c>
      <c r="G573" s="17" t="s">
        <v>2544</v>
      </c>
      <c r="H573" s="17" t="s">
        <v>423</v>
      </c>
      <c r="I573" s="17" t="s">
        <v>36</v>
      </c>
      <c r="J573" s="32" t="s">
        <v>231</v>
      </c>
      <c r="K573" s="17" t="n">
        <v>1985</v>
      </c>
      <c r="L573" s="17" t="s">
        <v>73</v>
      </c>
      <c r="M573" s="27" t="s">
        <v>147</v>
      </c>
      <c r="N573" s="68"/>
      <c r="O573" s="68"/>
      <c r="P573" s="40" t="s">
        <v>150</v>
      </c>
      <c r="Q573" s="12"/>
      <c r="R573" s="12"/>
      <c r="S573" s="12"/>
      <c r="T573" s="12"/>
      <c r="U573" s="12"/>
      <c r="V573" s="21"/>
      <c r="Z573" s="12"/>
      <c r="AA573" s="29" t="n">
        <v>5</v>
      </c>
      <c r="AB573" s="12"/>
      <c r="AC573" s="12"/>
      <c r="AD573" s="12"/>
      <c r="AE573" s="12"/>
    </row>
    <row r="574" customFormat="false" ht="15.75" hidden="false" customHeight="false" outlineLevel="0" collapsed="false">
      <c r="A574" s="12"/>
      <c r="B574" s="13"/>
      <c r="C574" s="14" t="s">
        <v>2545</v>
      </c>
      <c r="D574" s="24" t="s">
        <v>667</v>
      </c>
      <c r="E574" s="17" t="s">
        <v>2546</v>
      </c>
      <c r="F574" s="17" t="s">
        <v>2547</v>
      </c>
      <c r="G574" s="17" t="s">
        <v>183</v>
      </c>
      <c r="H574" s="17"/>
      <c r="I574" s="17"/>
      <c r="J574" s="32" t="s">
        <v>195</v>
      </c>
      <c r="K574" s="17"/>
      <c r="L574" s="17"/>
      <c r="M574" s="27"/>
      <c r="N574" s="17"/>
      <c r="O574" s="17"/>
      <c r="P574" s="52" t="s">
        <v>185</v>
      </c>
      <c r="Q574" s="12"/>
      <c r="R574" s="12"/>
      <c r="S574" s="12"/>
      <c r="T574" s="12"/>
      <c r="U574" s="12"/>
      <c r="V574" s="21"/>
      <c r="Z574" s="12"/>
      <c r="AA574" s="29" t="n">
        <v>1</v>
      </c>
      <c r="AB574" s="84"/>
      <c r="AC574" s="12"/>
      <c r="AD574" s="12"/>
      <c r="AE574" s="12"/>
    </row>
    <row r="575" customFormat="false" ht="15.75" hidden="false" customHeight="false" outlineLevel="0" collapsed="false">
      <c r="A575" s="12"/>
      <c r="B575" s="12"/>
      <c r="C575" s="23" t="s">
        <v>2548</v>
      </c>
      <c r="D575" s="24"/>
      <c r="E575" s="25" t="s">
        <v>2549</v>
      </c>
      <c r="F575" s="17"/>
      <c r="G575" s="17" t="s">
        <v>2550</v>
      </c>
      <c r="H575" s="17"/>
      <c r="I575" s="26" t="s">
        <v>92</v>
      </c>
      <c r="J575" s="17" t="s">
        <v>244</v>
      </c>
      <c r="K575" s="17"/>
      <c r="L575" s="17"/>
      <c r="M575" s="27"/>
      <c r="N575" s="17"/>
      <c r="O575" s="17"/>
      <c r="P575" s="28" t="s">
        <v>46</v>
      </c>
      <c r="Q575" s="12"/>
      <c r="R575" s="12"/>
      <c r="S575" s="12"/>
      <c r="T575" s="12"/>
      <c r="U575" s="12"/>
      <c r="V575" s="21"/>
      <c r="Z575" s="12"/>
      <c r="AA575" s="29"/>
      <c r="AB575" s="84"/>
      <c r="AC575" s="12"/>
      <c r="AD575" s="12"/>
      <c r="AE575" s="12"/>
    </row>
    <row r="576" customFormat="false" ht="15.75" hidden="false" customHeight="false" outlineLevel="0" collapsed="false">
      <c r="A576" s="12"/>
      <c r="B576" s="12"/>
      <c r="C576" s="23" t="s">
        <v>2551</v>
      </c>
      <c r="D576" s="24"/>
      <c r="E576" s="25" t="s">
        <v>2552</v>
      </c>
      <c r="F576" s="17"/>
      <c r="G576" s="17" t="s">
        <v>126</v>
      </c>
      <c r="H576" s="17"/>
      <c r="I576" s="26" t="s">
        <v>127</v>
      </c>
      <c r="J576" s="17" t="s">
        <v>244</v>
      </c>
      <c r="K576" s="17"/>
      <c r="L576" s="17"/>
      <c r="M576" s="27"/>
      <c r="N576" s="17"/>
      <c r="O576" s="17"/>
      <c r="P576" s="28" t="s">
        <v>46</v>
      </c>
      <c r="Q576" s="17"/>
      <c r="R576" s="17"/>
      <c r="S576" s="17"/>
      <c r="T576" s="17"/>
      <c r="U576" s="17"/>
      <c r="V576" s="27"/>
      <c r="Z576" s="17"/>
      <c r="AA576" s="29"/>
      <c r="AB576" s="84"/>
      <c r="AC576" s="17"/>
      <c r="AD576" s="17"/>
      <c r="AE576" s="17"/>
    </row>
    <row r="577" customFormat="false" ht="15.75" hidden="false" customHeight="false" outlineLevel="0" collapsed="false">
      <c r="A577" s="12"/>
      <c r="B577" s="12"/>
      <c r="C577" s="23" t="s">
        <v>2553</v>
      </c>
      <c r="D577" s="24"/>
      <c r="E577" s="25" t="s">
        <v>2554</v>
      </c>
      <c r="F577" s="17"/>
      <c r="G577" s="17" t="s">
        <v>2555</v>
      </c>
      <c r="H577" s="17"/>
      <c r="I577" s="26" t="s">
        <v>45</v>
      </c>
      <c r="J577" s="17" t="s">
        <v>2556</v>
      </c>
      <c r="K577" s="17"/>
      <c r="L577" s="17"/>
      <c r="M577" s="27"/>
      <c r="N577" s="17"/>
      <c r="O577" s="17"/>
      <c r="P577" s="28" t="s">
        <v>46</v>
      </c>
      <c r="Q577" s="12"/>
      <c r="R577" s="12"/>
      <c r="S577" s="12"/>
      <c r="T577" s="12"/>
      <c r="U577" s="12"/>
      <c r="V577" s="21"/>
      <c r="Z577" s="12"/>
      <c r="AA577" s="29"/>
      <c r="AB577" s="84"/>
      <c r="AC577" s="12"/>
      <c r="AD577" s="12"/>
      <c r="AE577" s="12"/>
    </row>
    <row r="578" customFormat="false" ht="15.75" hidden="false" customHeight="false" outlineLevel="0" collapsed="false">
      <c r="A578" s="12"/>
      <c r="B578" s="93"/>
      <c r="C578" s="94" t="s">
        <v>2557</v>
      </c>
      <c r="D578" s="24"/>
      <c r="E578" s="15" t="s">
        <v>2558</v>
      </c>
      <c r="F578" s="95" t="s">
        <v>2559</v>
      </c>
      <c r="G578" s="15"/>
      <c r="H578" s="15"/>
      <c r="I578" s="26" t="s">
        <v>2560</v>
      </c>
      <c r="J578" s="15" t="s">
        <v>58</v>
      </c>
      <c r="K578" s="17"/>
      <c r="L578" s="17"/>
      <c r="M578" s="96"/>
      <c r="N578" s="17"/>
      <c r="O578" s="17"/>
      <c r="P578" s="19" t="s">
        <v>39</v>
      </c>
      <c r="Q578" s="12"/>
      <c r="R578" s="12" t="s">
        <v>2561</v>
      </c>
      <c r="S578" s="12"/>
      <c r="T578" s="12" t="s">
        <v>2562</v>
      </c>
      <c r="U578" s="12"/>
      <c r="V578" s="21" t="s">
        <v>31</v>
      </c>
      <c r="Z578" s="12"/>
      <c r="AA578" s="29"/>
      <c r="AB578" s="96" t="s">
        <v>2563</v>
      </c>
      <c r="AC578" s="12"/>
      <c r="AD578" s="12"/>
      <c r="AE578" s="12"/>
    </row>
    <row r="579" customFormat="false" ht="15.75" hidden="false" customHeight="false" outlineLevel="0" collapsed="false">
      <c r="A579" s="12"/>
      <c r="B579" s="54"/>
      <c r="C579" s="55" t="s">
        <v>2564</v>
      </c>
      <c r="D579" s="15"/>
      <c r="E579" s="16" t="s">
        <v>2565</v>
      </c>
      <c r="F579" s="15" t="s">
        <v>2566</v>
      </c>
      <c r="G579" s="15"/>
      <c r="H579" s="15"/>
      <c r="I579" s="26" t="s">
        <v>166</v>
      </c>
      <c r="J579" s="15" t="s">
        <v>58</v>
      </c>
      <c r="K579" s="15" t="n">
        <v>2013</v>
      </c>
      <c r="L579" s="17"/>
      <c r="M579" s="18"/>
      <c r="N579" s="17"/>
      <c r="O579" s="17"/>
      <c r="P579" s="19" t="s">
        <v>39</v>
      </c>
      <c r="Q579" s="12"/>
      <c r="R579" s="12" t="s">
        <v>2567</v>
      </c>
      <c r="S579" s="12"/>
      <c r="T579" s="12" t="s">
        <v>2568</v>
      </c>
      <c r="U579" s="12"/>
      <c r="V579" s="21" t="s">
        <v>31</v>
      </c>
      <c r="Z579" s="12"/>
      <c r="AA579" s="29"/>
      <c r="AB579" s="18" t="s">
        <v>2569</v>
      </c>
      <c r="AC579" s="12"/>
      <c r="AD579" s="12"/>
      <c r="AE579" s="12"/>
    </row>
    <row r="580" customFormat="false" ht="15.75" hidden="false" customHeight="false" outlineLevel="0" collapsed="false">
      <c r="A580" s="12" t="str">
        <f aca="false">IF((AA580&gt;=4), "Y", "N")</f>
        <v>Y</v>
      </c>
      <c r="B580" s="13"/>
      <c r="C580" s="31" t="s">
        <v>2570</v>
      </c>
      <c r="D580" s="16" t="s">
        <v>51</v>
      </c>
      <c r="E580" s="32" t="s">
        <v>2571</v>
      </c>
      <c r="F580" s="17" t="s">
        <v>2572</v>
      </c>
      <c r="G580" s="17"/>
      <c r="H580" s="17"/>
      <c r="I580" s="26" t="s">
        <v>266</v>
      </c>
      <c r="J580" s="32" t="s">
        <v>66</v>
      </c>
      <c r="K580" s="33" t="n">
        <v>1985</v>
      </c>
      <c r="L580" s="33" t="s">
        <v>109</v>
      </c>
      <c r="M580" s="27"/>
      <c r="N580" s="17" t="s">
        <v>2573</v>
      </c>
      <c r="O580" s="17"/>
      <c r="P580" s="40" t="s">
        <v>268</v>
      </c>
      <c r="Q580" s="12"/>
      <c r="R580" s="12"/>
      <c r="S580" s="12"/>
      <c r="T580" s="12"/>
      <c r="U580" s="12"/>
      <c r="V580" s="21"/>
      <c r="Z580" s="12"/>
      <c r="AA580" s="29" t="str">
        <f aca="false">IF(P580="OD500 MX", "5", " ")</f>
        <v>5</v>
      </c>
      <c r="AB580" s="70"/>
      <c r="AC580" s="12"/>
      <c r="AD580" s="12"/>
      <c r="AE580" s="12"/>
    </row>
    <row r="581" customFormat="false" ht="15.75" hidden="false" customHeight="false" outlineLevel="0" collapsed="false">
      <c r="A581" s="12" t="str">
        <f aca="false">IF((AA581&gt;=4), "Y", "N")</f>
        <v>Y</v>
      </c>
      <c r="B581" s="13"/>
      <c r="C581" s="31" t="s">
        <v>2574</v>
      </c>
      <c r="D581" s="24" t="s">
        <v>94</v>
      </c>
      <c r="E581" s="32" t="s">
        <v>2575</v>
      </c>
      <c r="F581" s="17" t="s">
        <v>2576</v>
      </c>
      <c r="G581" s="17"/>
      <c r="H581" s="17"/>
      <c r="I581" s="26" t="s">
        <v>266</v>
      </c>
      <c r="J581" s="32" t="s">
        <v>2035</v>
      </c>
      <c r="K581" s="32"/>
      <c r="L581" s="33"/>
      <c r="M581" s="27"/>
      <c r="N581" s="17" t="s">
        <v>2577</v>
      </c>
      <c r="O581" s="17"/>
      <c r="P581" s="40" t="s">
        <v>268</v>
      </c>
      <c r="Q581" s="17"/>
      <c r="R581" s="17"/>
      <c r="S581" s="17"/>
      <c r="T581" s="17"/>
      <c r="U581" s="17"/>
      <c r="V581" s="27"/>
      <c r="Z581" s="17"/>
      <c r="AA581" s="29" t="str">
        <f aca="false">IF(P581="OD500 MX", "5", " ")</f>
        <v>5</v>
      </c>
      <c r="AB581" s="70"/>
      <c r="AC581" s="17"/>
      <c r="AD581" s="17"/>
      <c r="AE581" s="17"/>
    </row>
    <row r="582" customFormat="false" ht="15.75" hidden="false" customHeight="false" outlineLevel="0" collapsed="false">
      <c r="A582" s="12" t="str">
        <f aca="false">IF((AA582&gt;=4), "Y", "N")</f>
        <v>Y</v>
      </c>
      <c r="B582" s="13"/>
      <c r="C582" s="31" t="s">
        <v>2578</v>
      </c>
      <c r="D582" s="24" t="s">
        <v>94</v>
      </c>
      <c r="E582" s="32" t="s">
        <v>2579</v>
      </c>
      <c r="F582" s="17" t="s">
        <v>2580</v>
      </c>
      <c r="G582" s="17"/>
      <c r="H582" s="17"/>
      <c r="I582" s="26" t="s">
        <v>266</v>
      </c>
      <c r="J582" s="32" t="s">
        <v>2556</v>
      </c>
      <c r="K582" s="33" t="n">
        <v>1945</v>
      </c>
      <c r="L582" s="33" t="s">
        <v>275</v>
      </c>
      <c r="M582" s="27"/>
      <c r="N582" s="17" t="s">
        <v>2581</v>
      </c>
      <c r="O582" s="17"/>
      <c r="P582" s="40" t="s">
        <v>268</v>
      </c>
      <c r="Q582" s="12"/>
      <c r="R582" s="12"/>
      <c r="S582" s="12"/>
      <c r="T582" s="12"/>
      <c r="U582" s="12"/>
      <c r="V582" s="21"/>
      <c r="Z582" s="12"/>
      <c r="AA582" s="29" t="str">
        <f aca="false">IF(P582="OD500 MX", "5", " ")</f>
        <v>5</v>
      </c>
      <c r="AB582" s="70"/>
      <c r="AC582" s="12"/>
      <c r="AD582" s="12"/>
      <c r="AE582" s="12"/>
    </row>
    <row r="583" customFormat="false" ht="15.75" hidden="false" customHeight="false" outlineLevel="0" collapsed="false">
      <c r="A583" s="12" t="str">
        <f aca="false">IF((AA583&gt;=4), "Y", "N")</f>
        <v>Y</v>
      </c>
      <c r="B583" s="13"/>
      <c r="C583" s="31" t="s">
        <v>2582</v>
      </c>
      <c r="D583" s="24" t="s">
        <v>94</v>
      </c>
      <c r="E583" s="32" t="s">
        <v>2583</v>
      </c>
      <c r="F583" s="17"/>
      <c r="G583" s="17"/>
      <c r="H583" s="17"/>
      <c r="I583" s="26" t="s">
        <v>266</v>
      </c>
      <c r="J583" s="32" t="s">
        <v>66</v>
      </c>
      <c r="K583" s="33" t="n">
        <v>2011</v>
      </c>
      <c r="L583" s="33" t="s">
        <v>109</v>
      </c>
      <c r="M583" s="27"/>
      <c r="N583" s="17" t="s">
        <v>2581</v>
      </c>
      <c r="O583" s="17"/>
      <c r="P583" s="40" t="s">
        <v>268</v>
      </c>
      <c r="Q583" s="12"/>
      <c r="R583" s="12"/>
      <c r="S583" s="12"/>
      <c r="T583" s="12"/>
      <c r="U583" s="12"/>
      <c r="V583" s="21"/>
      <c r="Z583" s="12"/>
      <c r="AA583" s="29" t="str">
        <f aca="false">IF(P583="OD500 MX", "5", " ")</f>
        <v>5</v>
      </c>
      <c r="AB583" s="70"/>
      <c r="AC583" s="12"/>
      <c r="AD583" s="12"/>
      <c r="AE583" s="12"/>
    </row>
    <row r="584" customFormat="false" ht="15.75" hidden="false" customHeight="false" outlineLevel="0" collapsed="false">
      <c r="A584" s="12"/>
      <c r="B584" s="12"/>
      <c r="C584" s="23" t="s">
        <v>2584</v>
      </c>
      <c r="D584" s="24"/>
      <c r="E584" s="25" t="s">
        <v>2585</v>
      </c>
      <c r="F584" s="17" t="s">
        <v>2586</v>
      </c>
      <c r="G584" s="17" t="s">
        <v>637</v>
      </c>
      <c r="H584" s="17"/>
      <c r="I584" s="26" t="s">
        <v>82</v>
      </c>
      <c r="J584" s="32" t="s">
        <v>66</v>
      </c>
      <c r="K584" s="17"/>
      <c r="L584" s="17"/>
      <c r="M584" s="27"/>
      <c r="N584" s="17"/>
      <c r="O584" s="17"/>
      <c r="P584" s="28" t="s">
        <v>46</v>
      </c>
      <c r="Q584" s="20"/>
      <c r="R584" s="20"/>
      <c r="S584" s="20"/>
      <c r="T584" s="20"/>
      <c r="U584" s="20"/>
      <c r="V584" s="45"/>
      <c r="Z584" s="20"/>
      <c r="AA584" s="22"/>
      <c r="AB584" s="84"/>
      <c r="AC584" s="20"/>
      <c r="AD584" s="20"/>
      <c r="AE584" s="20"/>
    </row>
    <row r="585" customFormat="false" ht="15.75" hidden="false" customHeight="false" outlineLevel="0" collapsed="false">
      <c r="A585" s="12" t="s">
        <v>31</v>
      </c>
      <c r="B585" s="12" t="s">
        <v>32</v>
      </c>
      <c r="C585" s="23" t="s">
        <v>2587</v>
      </c>
      <c r="D585" s="24" t="s">
        <v>61</v>
      </c>
      <c r="E585" s="25" t="s">
        <v>2588</v>
      </c>
      <c r="F585" s="17" t="s">
        <v>2589</v>
      </c>
      <c r="G585" s="17"/>
      <c r="H585" s="17"/>
      <c r="I585" s="17" t="s">
        <v>260</v>
      </c>
      <c r="J585" s="32" t="s">
        <v>66</v>
      </c>
      <c r="K585" s="17"/>
      <c r="L585" s="17"/>
      <c r="M585" s="27"/>
      <c r="N585" s="17"/>
      <c r="O585" s="17"/>
      <c r="P585" s="40" t="s">
        <v>261</v>
      </c>
      <c r="Q585" s="12"/>
      <c r="R585" s="12"/>
      <c r="S585" s="12"/>
      <c r="T585" s="12"/>
      <c r="U585" s="12"/>
      <c r="V585" s="21"/>
      <c r="Z585" s="12"/>
      <c r="AA585" s="29" t="n">
        <v>1</v>
      </c>
      <c r="AB585" s="84"/>
      <c r="AC585" s="12"/>
      <c r="AD585" s="12"/>
      <c r="AE585" s="12"/>
      <c r="AF585" s="12"/>
      <c r="AG585" s="12"/>
    </row>
    <row r="586" customFormat="false" ht="15.75" hidden="false" customHeight="false" outlineLevel="0" collapsed="false">
      <c r="A586" s="12" t="s">
        <v>31</v>
      </c>
      <c r="B586" s="12" t="s">
        <v>32</v>
      </c>
      <c r="C586" s="23" t="s">
        <v>2590</v>
      </c>
      <c r="D586" s="24"/>
      <c r="E586" s="25" t="s">
        <v>2591</v>
      </c>
      <c r="F586" s="17"/>
      <c r="G586" s="17"/>
      <c r="H586" s="17"/>
      <c r="I586" s="17" t="s">
        <v>260</v>
      </c>
      <c r="J586" s="32" t="s">
        <v>66</v>
      </c>
      <c r="K586" s="17"/>
      <c r="L586" s="17"/>
      <c r="M586" s="27"/>
      <c r="N586" s="17"/>
      <c r="O586" s="17"/>
      <c r="P586" s="40" t="s">
        <v>261</v>
      </c>
      <c r="Q586" s="12"/>
      <c r="R586" s="12"/>
      <c r="S586" s="12"/>
      <c r="T586" s="12"/>
      <c r="U586" s="12"/>
      <c r="V586" s="21"/>
      <c r="Z586" s="12"/>
      <c r="AA586" s="29"/>
      <c r="AB586" s="84"/>
      <c r="AC586" s="12"/>
      <c r="AD586" s="12"/>
      <c r="AE586" s="12"/>
    </row>
    <row r="587" customFormat="false" ht="15.75" hidden="false" customHeight="false" outlineLevel="0" collapsed="false">
      <c r="A587" s="12"/>
      <c r="B587" s="12"/>
      <c r="C587" s="23" t="s">
        <v>2592</v>
      </c>
      <c r="D587" s="24"/>
      <c r="E587" s="25" t="s">
        <v>2593</v>
      </c>
      <c r="F587" s="17"/>
      <c r="G587" s="17"/>
      <c r="H587" s="17"/>
      <c r="I587" s="17" t="s">
        <v>260</v>
      </c>
      <c r="J587" s="32" t="s">
        <v>2556</v>
      </c>
      <c r="K587" s="17"/>
      <c r="L587" s="17"/>
      <c r="M587" s="27"/>
      <c r="N587" s="17"/>
      <c r="O587" s="17"/>
      <c r="P587" s="40" t="s">
        <v>261</v>
      </c>
      <c r="V587" s="60"/>
      <c r="AA587" s="63"/>
      <c r="AB587" s="84"/>
    </row>
    <row r="588" customFormat="false" ht="15.75" hidden="false" customHeight="false" outlineLevel="0" collapsed="false">
      <c r="A588" s="12"/>
      <c r="B588" s="12"/>
      <c r="C588" s="23" t="s">
        <v>2594</v>
      </c>
      <c r="D588" s="24"/>
      <c r="E588" s="17"/>
      <c r="F588" s="17"/>
      <c r="G588" s="17"/>
      <c r="H588" s="17"/>
      <c r="I588" s="17" t="s">
        <v>260</v>
      </c>
      <c r="J588" s="32" t="s">
        <v>2556</v>
      </c>
      <c r="K588" s="17"/>
      <c r="L588" s="17"/>
      <c r="M588" s="27"/>
      <c r="N588" s="17"/>
      <c r="O588" s="17"/>
      <c r="P588" s="40" t="s">
        <v>261</v>
      </c>
      <c r="V588" s="60"/>
      <c r="AA588" s="63"/>
      <c r="AB588" s="84"/>
    </row>
    <row r="589" customFormat="false" ht="15.75" hidden="false" customHeight="false" outlineLevel="0" collapsed="false">
      <c r="A589" s="12"/>
      <c r="B589" s="12"/>
      <c r="C589" s="23" t="s">
        <v>2595</v>
      </c>
      <c r="D589" s="24"/>
      <c r="E589" s="25" t="s">
        <v>2596</v>
      </c>
      <c r="F589" s="17"/>
      <c r="G589" s="17"/>
      <c r="H589" s="17"/>
      <c r="I589" s="17" t="s">
        <v>260</v>
      </c>
      <c r="J589" s="32" t="s">
        <v>2556</v>
      </c>
      <c r="K589" s="17"/>
      <c r="L589" s="17"/>
      <c r="M589" s="27"/>
      <c r="N589" s="17"/>
      <c r="O589" s="17"/>
      <c r="P589" s="40" t="s">
        <v>261</v>
      </c>
      <c r="Q589" s="20"/>
      <c r="R589" s="20"/>
      <c r="S589" s="20"/>
      <c r="T589" s="20"/>
      <c r="U589" s="20"/>
      <c r="V589" s="45"/>
      <c r="Z589" s="20"/>
      <c r="AA589" s="22"/>
      <c r="AB589" s="84"/>
      <c r="AC589" s="20"/>
      <c r="AD589" s="20"/>
      <c r="AE589" s="20"/>
    </row>
    <row r="590" customFormat="false" ht="15.75" hidden="false" customHeight="false" outlineLevel="0" collapsed="false">
      <c r="A590" s="12"/>
      <c r="B590" s="12"/>
      <c r="C590" s="23" t="s">
        <v>2597</v>
      </c>
      <c r="D590" s="24"/>
      <c r="E590" s="25" t="s">
        <v>2598</v>
      </c>
      <c r="F590" s="17" t="s">
        <v>2599</v>
      </c>
      <c r="G590" s="17"/>
      <c r="H590" s="17"/>
      <c r="I590" s="17" t="s">
        <v>260</v>
      </c>
      <c r="J590" s="32" t="s">
        <v>2556</v>
      </c>
      <c r="K590" s="17"/>
      <c r="L590" s="17"/>
      <c r="M590" s="27"/>
      <c r="N590" s="17"/>
      <c r="O590" s="17"/>
      <c r="P590" s="40" t="s">
        <v>261</v>
      </c>
      <c r="Q590" s="12"/>
      <c r="R590" s="12"/>
      <c r="S590" s="12"/>
      <c r="T590" s="12"/>
      <c r="U590" s="12"/>
      <c r="V590" s="21"/>
      <c r="Z590" s="12"/>
      <c r="AA590" s="29"/>
      <c r="AB590" s="84"/>
      <c r="AC590" s="12"/>
      <c r="AD590" s="12"/>
      <c r="AE590" s="12"/>
    </row>
    <row r="591" customFormat="false" ht="15.75" hidden="false" customHeight="false" outlineLevel="0" collapsed="false">
      <c r="A591" s="12"/>
      <c r="B591" s="12"/>
      <c r="C591" s="23" t="s">
        <v>2600</v>
      </c>
      <c r="D591" s="24"/>
      <c r="E591" s="17"/>
      <c r="F591" s="17"/>
      <c r="G591" s="17"/>
      <c r="H591" s="17"/>
      <c r="I591" s="17" t="s">
        <v>260</v>
      </c>
      <c r="J591" s="32" t="s">
        <v>2556</v>
      </c>
      <c r="K591" s="17"/>
      <c r="L591" s="17"/>
      <c r="M591" s="27"/>
      <c r="N591" s="17"/>
      <c r="O591" s="17"/>
      <c r="P591" s="40" t="s">
        <v>261</v>
      </c>
      <c r="Q591" s="12"/>
      <c r="R591" s="12"/>
      <c r="S591" s="12"/>
      <c r="T591" s="12"/>
      <c r="U591" s="12"/>
      <c r="V591" s="21"/>
      <c r="Z591" s="12"/>
      <c r="AA591" s="29"/>
      <c r="AB591" s="84"/>
      <c r="AC591" s="12"/>
      <c r="AD591" s="12"/>
      <c r="AE591" s="12"/>
    </row>
    <row r="592" customFormat="false" ht="15.75" hidden="false" customHeight="false" outlineLevel="0" collapsed="false">
      <c r="A592" s="12"/>
      <c r="B592" s="12"/>
      <c r="C592" s="23" t="s">
        <v>2601</v>
      </c>
      <c r="D592" s="24"/>
      <c r="E592" s="17"/>
      <c r="F592" s="17"/>
      <c r="G592" s="17"/>
      <c r="H592" s="17"/>
      <c r="I592" s="17" t="s">
        <v>260</v>
      </c>
      <c r="J592" s="32" t="s">
        <v>2556</v>
      </c>
      <c r="K592" s="17"/>
      <c r="L592" s="17"/>
      <c r="M592" s="27"/>
      <c r="N592" s="17"/>
      <c r="O592" s="17"/>
      <c r="P592" s="40" t="s">
        <v>261</v>
      </c>
      <c r="Q592" s="12"/>
      <c r="R592" s="12"/>
      <c r="S592" s="12"/>
      <c r="T592" s="12"/>
      <c r="U592" s="12"/>
      <c r="V592" s="21"/>
      <c r="Z592" s="12"/>
      <c r="AA592" s="29"/>
      <c r="AB592" s="84"/>
      <c r="AC592" s="12"/>
      <c r="AD592" s="12"/>
      <c r="AE592" s="12"/>
    </row>
    <row r="593" customFormat="false" ht="15.75" hidden="false" customHeight="false" outlineLevel="0" collapsed="false">
      <c r="A593" s="12"/>
      <c r="B593" s="12"/>
      <c r="C593" s="23" t="s">
        <v>2602</v>
      </c>
      <c r="D593" s="24"/>
      <c r="E593" s="17"/>
      <c r="F593" s="17"/>
      <c r="G593" s="17"/>
      <c r="H593" s="17"/>
      <c r="I593" s="17" t="s">
        <v>260</v>
      </c>
      <c r="J593" s="32" t="s">
        <v>2556</v>
      </c>
      <c r="K593" s="17"/>
      <c r="L593" s="17"/>
      <c r="M593" s="27"/>
      <c r="N593" s="17"/>
      <c r="O593" s="17"/>
      <c r="P593" s="40" t="s">
        <v>261</v>
      </c>
      <c r="Q593" s="12"/>
      <c r="R593" s="12"/>
      <c r="S593" s="12"/>
      <c r="T593" s="12"/>
      <c r="U593" s="12"/>
      <c r="V593" s="21"/>
      <c r="Z593" s="12"/>
      <c r="AA593" s="29"/>
      <c r="AB593" s="84"/>
      <c r="AC593" s="12"/>
      <c r="AD593" s="12"/>
      <c r="AE593" s="12"/>
    </row>
    <row r="594" customFormat="false" ht="15.75" hidden="false" customHeight="false" outlineLevel="0" collapsed="false">
      <c r="A594" s="12"/>
      <c r="B594" s="12"/>
      <c r="C594" s="23" t="s">
        <v>2603</v>
      </c>
      <c r="D594" s="24"/>
      <c r="E594" s="17"/>
      <c r="F594" s="17"/>
      <c r="G594" s="17"/>
      <c r="H594" s="17"/>
      <c r="I594" s="17" t="s">
        <v>260</v>
      </c>
      <c r="J594" s="32" t="s">
        <v>2556</v>
      </c>
      <c r="K594" s="17"/>
      <c r="L594" s="17"/>
      <c r="M594" s="27"/>
      <c r="N594" s="17"/>
      <c r="O594" s="17"/>
      <c r="P594" s="40" t="s">
        <v>261</v>
      </c>
      <c r="V594" s="60"/>
      <c r="AA594" s="63"/>
      <c r="AB594" s="84"/>
    </row>
    <row r="595" customFormat="false" ht="15.75" hidden="false" customHeight="false" outlineLevel="0" collapsed="false">
      <c r="A595" s="12"/>
      <c r="B595" s="12"/>
      <c r="C595" s="23" t="s">
        <v>2604</v>
      </c>
      <c r="D595" s="24"/>
      <c r="E595" s="17"/>
      <c r="F595" s="17"/>
      <c r="G595" s="17"/>
      <c r="H595" s="17"/>
      <c r="I595" s="17" t="s">
        <v>260</v>
      </c>
      <c r="J595" s="32" t="s">
        <v>2556</v>
      </c>
      <c r="K595" s="17"/>
      <c r="L595" s="17"/>
      <c r="M595" s="27"/>
      <c r="N595" s="17"/>
      <c r="O595" s="17"/>
      <c r="P595" s="40" t="s">
        <v>261</v>
      </c>
      <c r="Q595" s="17"/>
      <c r="R595" s="17"/>
      <c r="S595" s="17"/>
      <c r="T595" s="17"/>
      <c r="U595" s="17"/>
      <c r="V595" s="27"/>
      <c r="Z595" s="17"/>
      <c r="AA595" s="29"/>
      <c r="AB595" s="84"/>
      <c r="AC595" s="17"/>
      <c r="AD595" s="17"/>
      <c r="AE595" s="17"/>
    </row>
    <row r="596" customFormat="false" ht="15.75" hidden="false" customHeight="false" outlineLevel="0" collapsed="false">
      <c r="A596" s="12"/>
      <c r="B596" s="12"/>
      <c r="C596" s="23" t="s">
        <v>2605</v>
      </c>
      <c r="D596" s="24"/>
      <c r="E596" s="17"/>
      <c r="F596" s="17"/>
      <c r="G596" s="17"/>
      <c r="H596" s="17"/>
      <c r="I596" s="17" t="s">
        <v>260</v>
      </c>
      <c r="J596" s="32" t="s">
        <v>2556</v>
      </c>
      <c r="K596" s="17"/>
      <c r="L596" s="17"/>
      <c r="M596" s="27"/>
      <c r="N596" s="17"/>
      <c r="O596" s="17"/>
      <c r="P596" s="40" t="s">
        <v>261</v>
      </c>
      <c r="Q596" s="12"/>
      <c r="R596" s="12"/>
      <c r="S596" s="12"/>
      <c r="T596" s="12"/>
      <c r="U596" s="12"/>
      <c r="V596" s="21"/>
      <c r="Z596" s="12"/>
      <c r="AA596" s="29"/>
      <c r="AB596" s="84"/>
      <c r="AC596" s="12"/>
      <c r="AD596" s="12"/>
      <c r="AE596" s="12"/>
    </row>
    <row r="597" customFormat="false" ht="15.75" hidden="false" customHeight="false" outlineLevel="0" collapsed="false">
      <c r="A597" s="12"/>
      <c r="B597" s="12"/>
      <c r="C597" s="23" t="s">
        <v>2606</v>
      </c>
      <c r="D597" s="24"/>
      <c r="E597" s="17"/>
      <c r="F597" s="17"/>
      <c r="G597" s="17"/>
      <c r="H597" s="17"/>
      <c r="I597" s="17" t="s">
        <v>260</v>
      </c>
      <c r="J597" s="32" t="s">
        <v>2556</v>
      </c>
      <c r="K597" s="17"/>
      <c r="L597" s="17"/>
      <c r="M597" s="27"/>
      <c r="N597" s="17"/>
      <c r="O597" s="17"/>
      <c r="P597" s="40" t="s">
        <v>261</v>
      </c>
      <c r="Q597" s="12"/>
      <c r="R597" s="12"/>
      <c r="S597" s="12"/>
      <c r="T597" s="12"/>
      <c r="U597" s="12"/>
      <c r="V597" s="21"/>
      <c r="Z597" s="12"/>
      <c r="AA597" s="29"/>
      <c r="AB597" s="84"/>
      <c r="AC597" s="12"/>
      <c r="AD597" s="12"/>
      <c r="AE597" s="12"/>
    </row>
    <row r="598" customFormat="false" ht="15.75" hidden="false" customHeight="false" outlineLevel="0" collapsed="false">
      <c r="A598" s="12"/>
      <c r="B598" s="12"/>
      <c r="C598" s="23" t="s">
        <v>2607</v>
      </c>
      <c r="D598" s="24"/>
      <c r="E598" s="17"/>
      <c r="F598" s="17"/>
      <c r="G598" s="17"/>
      <c r="H598" s="17"/>
      <c r="I598" s="17" t="s">
        <v>260</v>
      </c>
      <c r="J598" s="32" t="s">
        <v>2556</v>
      </c>
      <c r="K598" s="17"/>
      <c r="L598" s="17"/>
      <c r="M598" s="27"/>
      <c r="N598" s="17"/>
      <c r="O598" s="17"/>
      <c r="P598" s="40" t="s">
        <v>261</v>
      </c>
      <c r="Q598" s="12"/>
      <c r="R598" s="12"/>
      <c r="S598" s="12"/>
      <c r="T598" s="12"/>
      <c r="U598" s="12"/>
      <c r="V598" s="21"/>
      <c r="Z598" s="12"/>
      <c r="AA598" s="29"/>
      <c r="AB598" s="84"/>
      <c r="AC598" s="12"/>
      <c r="AD598" s="12"/>
      <c r="AE598" s="12"/>
    </row>
    <row r="599" customFormat="false" ht="15.75" hidden="false" customHeight="false" outlineLevel="0" collapsed="false">
      <c r="A599" s="12"/>
      <c r="B599" s="12"/>
      <c r="C599" s="23" t="s">
        <v>2608</v>
      </c>
      <c r="D599" s="24"/>
      <c r="E599" s="17"/>
      <c r="F599" s="17"/>
      <c r="G599" s="17"/>
      <c r="H599" s="17"/>
      <c r="I599" s="17" t="s">
        <v>260</v>
      </c>
      <c r="J599" s="32" t="s">
        <v>2556</v>
      </c>
      <c r="K599" s="17"/>
      <c r="L599" s="17"/>
      <c r="M599" s="27"/>
      <c r="N599" s="17"/>
      <c r="O599" s="17"/>
      <c r="P599" s="40" t="s">
        <v>261</v>
      </c>
      <c r="Q599" s="12"/>
      <c r="R599" s="12"/>
      <c r="S599" s="12"/>
      <c r="T599" s="12"/>
      <c r="U599" s="12"/>
      <c r="V599" s="21"/>
      <c r="Z599" s="12"/>
      <c r="AA599" s="29"/>
      <c r="AB599" s="84"/>
      <c r="AC599" s="12"/>
      <c r="AD599" s="12"/>
      <c r="AE599" s="12"/>
    </row>
    <row r="600" customFormat="false" ht="15.75" hidden="false" customHeight="false" outlineLevel="0" collapsed="false">
      <c r="A600" s="12"/>
      <c r="B600" s="12"/>
      <c r="C600" s="23" t="s">
        <v>2609</v>
      </c>
      <c r="D600" s="24"/>
      <c r="E600" s="17"/>
      <c r="F600" s="17"/>
      <c r="G600" s="17"/>
      <c r="H600" s="17"/>
      <c r="I600" s="17" t="s">
        <v>260</v>
      </c>
      <c r="J600" s="32" t="s">
        <v>2556</v>
      </c>
      <c r="K600" s="17"/>
      <c r="L600" s="17"/>
      <c r="M600" s="27"/>
      <c r="N600" s="17"/>
      <c r="O600" s="17"/>
      <c r="P600" s="40" t="s">
        <v>261</v>
      </c>
      <c r="Q600" s="12"/>
      <c r="R600" s="12"/>
      <c r="S600" s="12"/>
      <c r="T600" s="12"/>
      <c r="U600" s="12"/>
      <c r="V600" s="21"/>
      <c r="Z600" s="12"/>
      <c r="AA600" s="29"/>
      <c r="AB600" s="84"/>
      <c r="AC600" s="12"/>
      <c r="AD600" s="12"/>
      <c r="AE600" s="12"/>
    </row>
    <row r="601" customFormat="false" ht="15.75" hidden="false" customHeight="false" outlineLevel="0" collapsed="false">
      <c r="A601" s="12"/>
      <c r="B601" s="12"/>
      <c r="C601" s="23" t="s">
        <v>2610</v>
      </c>
      <c r="D601" s="24"/>
      <c r="E601" s="17"/>
      <c r="F601" s="17"/>
      <c r="G601" s="17"/>
      <c r="H601" s="17"/>
      <c r="I601" s="17" t="s">
        <v>260</v>
      </c>
      <c r="J601" s="32" t="s">
        <v>2556</v>
      </c>
      <c r="K601" s="17"/>
      <c r="L601" s="17"/>
      <c r="M601" s="27"/>
      <c r="N601" s="17"/>
      <c r="O601" s="17"/>
      <c r="P601" s="40" t="s">
        <v>261</v>
      </c>
      <c r="Q601" s="20"/>
      <c r="R601" s="20"/>
      <c r="S601" s="20"/>
      <c r="T601" s="20"/>
      <c r="U601" s="20"/>
      <c r="V601" s="45"/>
      <c r="Z601" s="20"/>
      <c r="AA601" s="22"/>
      <c r="AB601" s="84"/>
      <c r="AC601" s="20"/>
      <c r="AD601" s="20"/>
      <c r="AE601" s="20"/>
    </row>
    <row r="602" customFormat="false" ht="15.75" hidden="false" customHeight="false" outlineLevel="0" collapsed="false">
      <c r="A602" s="12"/>
      <c r="B602" s="12"/>
      <c r="C602" s="23" t="s">
        <v>2611</v>
      </c>
      <c r="D602" s="24"/>
      <c r="E602" s="17"/>
      <c r="F602" s="17"/>
      <c r="G602" s="17"/>
      <c r="H602" s="17"/>
      <c r="I602" s="17" t="s">
        <v>260</v>
      </c>
      <c r="J602" s="32" t="s">
        <v>2556</v>
      </c>
      <c r="K602" s="17"/>
      <c r="L602" s="17"/>
      <c r="M602" s="27"/>
      <c r="N602" s="17"/>
      <c r="O602" s="17"/>
      <c r="P602" s="40" t="s">
        <v>261</v>
      </c>
      <c r="Q602" s="17"/>
      <c r="R602" s="17"/>
      <c r="S602" s="17"/>
      <c r="T602" s="17"/>
      <c r="U602" s="17"/>
      <c r="V602" s="27"/>
      <c r="Z602" s="17"/>
      <c r="AA602" s="29"/>
      <c r="AB602" s="84"/>
      <c r="AC602" s="17"/>
      <c r="AD602" s="17"/>
      <c r="AE602" s="17"/>
    </row>
    <row r="603" customFormat="false" ht="15.75" hidden="false" customHeight="false" outlineLevel="0" collapsed="false">
      <c r="A603" s="12"/>
      <c r="B603" s="12"/>
      <c r="C603" s="23" t="s">
        <v>2612</v>
      </c>
      <c r="D603" s="24"/>
      <c r="E603" s="17"/>
      <c r="F603" s="17"/>
      <c r="G603" s="17"/>
      <c r="H603" s="17"/>
      <c r="I603" s="17" t="s">
        <v>260</v>
      </c>
      <c r="J603" s="32" t="s">
        <v>2556</v>
      </c>
      <c r="K603" s="17"/>
      <c r="L603" s="17"/>
      <c r="M603" s="27"/>
      <c r="N603" s="17"/>
      <c r="O603" s="17"/>
      <c r="P603" s="40" t="s">
        <v>261</v>
      </c>
      <c r="Q603" s="12"/>
      <c r="R603" s="12"/>
      <c r="S603" s="12"/>
      <c r="T603" s="12"/>
      <c r="U603" s="12"/>
      <c r="V603" s="21"/>
      <c r="Z603" s="12"/>
      <c r="AA603" s="29"/>
      <c r="AB603" s="84"/>
      <c r="AC603" s="12"/>
      <c r="AD603" s="12"/>
      <c r="AE603" s="12"/>
    </row>
    <row r="604" customFormat="false" ht="15.75" hidden="false" customHeight="false" outlineLevel="0" collapsed="false">
      <c r="A604" s="12" t="s">
        <v>31</v>
      </c>
      <c r="B604" s="54" t="s">
        <v>32</v>
      </c>
      <c r="C604" s="55" t="s">
        <v>2613</v>
      </c>
      <c r="D604" s="15" t="s">
        <v>51</v>
      </c>
      <c r="E604" s="16" t="s">
        <v>2614</v>
      </c>
      <c r="F604" s="15"/>
      <c r="G604" s="15" t="s">
        <v>2615</v>
      </c>
      <c r="H604" s="15"/>
      <c r="I604" s="26" t="s">
        <v>2616</v>
      </c>
      <c r="J604" s="15" t="s">
        <v>58</v>
      </c>
      <c r="K604" s="15" t="n">
        <v>2014</v>
      </c>
      <c r="L604" s="17"/>
      <c r="M604" s="18"/>
      <c r="N604" s="17"/>
      <c r="O604" s="17" t="s">
        <v>2617</v>
      </c>
      <c r="P604" s="19" t="s">
        <v>39</v>
      </c>
      <c r="Q604" s="12"/>
      <c r="R604" s="12" t="s">
        <v>2618</v>
      </c>
      <c r="S604" s="12"/>
      <c r="T604" s="12" t="s">
        <v>2619</v>
      </c>
      <c r="U604" s="12"/>
      <c r="V604" s="21" t="s">
        <v>31</v>
      </c>
      <c r="Z604" s="12"/>
      <c r="AA604" s="29"/>
      <c r="AB604" s="84"/>
      <c r="AC604" s="12"/>
      <c r="AD604" s="12"/>
      <c r="AE604" s="12"/>
    </row>
    <row r="605" customFormat="false" ht="15.75" hidden="false" customHeight="false" outlineLevel="0" collapsed="false">
      <c r="A605" s="12"/>
      <c r="B605" s="12"/>
      <c r="C605" s="23" t="s">
        <v>2620</v>
      </c>
      <c r="D605" s="24"/>
      <c r="E605" s="25" t="s">
        <v>2621</v>
      </c>
      <c r="F605" s="17"/>
      <c r="G605" s="17" t="s">
        <v>2622</v>
      </c>
      <c r="H605" s="17"/>
      <c r="I605" s="26" t="s">
        <v>1800</v>
      </c>
      <c r="J605" s="32" t="s">
        <v>2623</v>
      </c>
      <c r="K605" s="17"/>
      <c r="L605" s="17"/>
      <c r="M605" s="27"/>
      <c r="N605" s="17"/>
      <c r="O605" s="17"/>
      <c r="P605" s="28" t="s">
        <v>46</v>
      </c>
      <c r="Q605" s="12"/>
      <c r="R605" s="12"/>
      <c r="S605" s="12"/>
      <c r="T605" s="12"/>
      <c r="U605" s="12"/>
      <c r="V605" s="21"/>
      <c r="Z605" s="12"/>
      <c r="AA605" s="29"/>
      <c r="AB605" s="84"/>
      <c r="AC605" s="12"/>
      <c r="AD605" s="12"/>
      <c r="AE605" s="12"/>
    </row>
    <row r="606" customFormat="false" ht="15.75" hidden="false" customHeight="false" outlineLevel="0" collapsed="false">
      <c r="A606" s="12"/>
      <c r="B606" s="12"/>
      <c r="C606" s="23" t="s">
        <v>2624</v>
      </c>
      <c r="D606" s="24"/>
      <c r="E606" s="25" t="s">
        <v>2625</v>
      </c>
      <c r="F606" s="17"/>
      <c r="G606" s="17" t="s">
        <v>2622</v>
      </c>
      <c r="H606" s="17"/>
      <c r="I606" s="26" t="s">
        <v>1800</v>
      </c>
      <c r="J606" s="32" t="s">
        <v>2623</v>
      </c>
      <c r="K606" s="17"/>
      <c r="L606" s="17"/>
      <c r="M606" s="27"/>
      <c r="N606" s="17"/>
      <c r="O606" s="17"/>
      <c r="P606" s="28" t="s">
        <v>46</v>
      </c>
      <c r="Q606" s="12"/>
      <c r="R606" s="12"/>
      <c r="S606" s="12"/>
      <c r="T606" s="12"/>
      <c r="U606" s="12"/>
      <c r="V606" s="21"/>
      <c r="Z606" s="12"/>
      <c r="AA606" s="29"/>
      <c r="AB606" s="84"/>
      <c r="AC606" s="12"/>
      <c r="AD606" s="12"/>
      <c r="AE606" s="12"/>
    </row>
    <row r="607" customFormat="false" ht="15.75" hidden="false" customHeight="false" outlineLevel="0" collapsed="false">
      <c r="A607" s="12" t="s">
        <v>31</v>
      </c>
      <c r="B607" s="12" t="s">
        <v>32</v>
      </c>
      <c r="C607" s="23" t="s">
        <v>2626</v>
      </c>
      <c r="D607" s="24" t="s">
        <v>620</v>
      </c>
      <c r="E607" s="25" t="s">
        <v>2627</v>
      </c>
      <c r="F607" s="17" t="s">
        <v>2628</v>
      </c>
      <c r="G607" s="17" t="s">
        <v>2629</v>
      </c>
      <c r="H607" s="17" t="s">
        <v>2630</v>
      </c>
      <c r="I607" s="26" t="s">
        <v>82</v>
      </c>
      <c r="J607" s="32" t="s">
        <v>2623</v>
      </c>
      <c r="K607" s="17" t="n">
        <v>2009</v>
      </c>
      <c r="L607" s="17"/>
      <c r="M607" s="27"/>
      <c r="N607" s="17"/>
      <c r="O607" s="17" t="s">
        <v>2631</v>
      </c>
      <c r="P607" s="28" t="s">
        <v>59</v>
      </c>
      <c r="Q607" s="12"/>
      <c r="R607" s="12"/>
      <c r="S607" s="12"/>
      <c r="T607" s="12"/>
      <c r="U607" s="12"/>
      <c r="V607" s="21"/>
      <c r="Z607" s="12"/>
      <c r="AA607" s="29" t="n">
        <v>5</v>
      </c>
      <c r="AB607" s="84"/>
      <c r="AC607" s="12"/>
      <c r="AD607" s="12"/>
      <c r="AE607" s="12"/>
    </row>
    <row r="608" customFormat="false" ht="15.75" hidden="false" customHeight="false" outlineLevel="0" collapsed="false">
      <c r="A608" s="12"/>
      <c r="B608" s="12"/>
      <c r="C608" s="23" t="s">
        <v>2632</v>
      </c>
      <c r="D608" s="24"/>
      <c r="E608" s="25" t="s">
        <v>2633</v>
      </c>
      <c r="F608" s="17"/>
      <c r="G608" s="17" t="s">
        <v>44</v>
      </c>
      <c r="H608" s="17"/>
      <c r="I608" s="26" t="s">
        <v>45</v>
      </c>
      <c r="J608" s="32" t="s">
        <v>2623</v>
      </c>
      <c r="K608" s="17"/>
      <c r="L608" s="17"/>
      <c r="M608" s="27"/>
      <c r="N608" s="17"/>
      <c r="O608" s="17"/>
      <c r="P608" s="28" t="s">
        <v>46</v>
      </c>
      <c r="Q608" s="12"/>
      <c r="R608" s="12"/>
      <c r="S608" s="12"/>
      <c r="T608" s="12"/>
      <c r="U608" s="12"/>
      <c r="V608" s="21"/>
      <c r="Z608" s="12"/>
      <c r="AA608" s="29"/>
      <c r="AB608" s="84"/>
      <c r="AC608" s="12"/>
      <c r="AD608" s="12"/>
      <c r="AE608" s="12"/>
    </row>
    <row r="609" customFormat="false" ht="15.75" hidden="false" customHeight="false" outlineLevel="0" collapsed="false">
      <c r="A609" s="12"/>
      <c r="B609" s="12"/>
      <c r="C609" s="23" t="s">
        <v>2634</v>
      </c>
      <c r="D609" s="24" t="s">
        <v>61</v>
      </c>
      <c r="E609" s="25" t="s">
        <v>2635</v>
      </c>
      <c r="F609" s="17" t="s">
        <v>2636</v>
      </c>
      <c r="G609" s="17" t="s">
        <v>2637</v>
      </c>
      <c r="H609" s="17"/>
      <c r="I609" s="26" t="s">
        <v>82</v>
      </c>
      <c r="J609" s="32" t="s">
        <v>2623</v>
      </c>
      <c r="K609" s="17"/>
      <c r="L609" s="17"/>
      <c r="M609" s="27"/>
      <c r="N609" s="17"/>
      <c r="O609" s="17"/>
      <c r="P609" s="40" t="s">
        <v>638</v>
      </c>
      <c r="Q609" s="12"/>
      <c r="R609" s="12" t="s">
        <v>2638</v>
      </c>
      <c r="S609" s="12"/>
      <c r="T609" s="12" t="s">
        <v>2639</v>
      </c>
      <c r="U609" s="12"/>
      <c r="V609" s="21" t="s">
        <v>31</v>
      </c>
      <c r="Z609" s="12"/>
      <c r="AA609" s="29" t="n">
        <v>3</v>
      </c>
      <c r="AB609" s="84"/>
      <c r="AC609" s="59" t="s">
        <v>2635</v>
      </c>
      <c r="AD609" s="12"/>
      <c r="AE609" s="12"/>
      <c r="AF609" s="12"/>
      <c r="AG609" s="12"/>
    </row>
    <row r="610" customFormat="false" ht="15.75" hidden="false" customHeight="false" outlineLevel="0" collapsed="false">
      <c r="A610" s="12"/>
      <c r="B610" s="12"/>
      <c r="C610" s="23" t="s">
        <v>2640</v>
      </c>
      <c r="D610" s="24" t="s">
        <v>61</v>
      </c>
      <c r="E610" s="25" t="s">
        <v>2641</v>
      </c>
      <c r="F610" s="17" t="s">
        <v>2642</v>
      </c>
      <c r="G610" s="17" t="s">
        <v>2643</v>
      </c>
      <c r="H610" s="17"/>
      <c r="I610" s="26" t="s">
        <v>82</v>
      </c>
      <c r="J610" s="32" t="s">
        <v>2623</v>
      </c>
      <c r="K610" s="17" t="n">
        <v>2007</v>
      </c>
      <c r="L610" s="17"/>
      <c r="M610" s="27"/>
      <c r="N610" s="17"/>
      <c r="O610" s="17"/>
      <c r="P610" s="40" t="s">
        <v>638</v>
      </c>
      <c r="Q610" s="12"/>
      <c r="R610" s="12" t="s">
        <v>2644</v>
      </c>
      <c r="S610" s="12"/>
      <c r="T610" s="12" t="s">
        <v>2645</v>
      </c>
      <c r="U610" s="12"/>
      <c r="V610" s="21" t="s">
        <v>31</v>
      </c>
      <c r="Z610" s="12"/>
      <c r="AA610" s="29" t="n">
        <v>3</v>
      </c>
      <c r="AB610" s="84"/>
      <c r="AC610" s="12"/>
      <c r="AD610" s="12"/>
      <c r="AE610" s="12"/>
    </row>
    <row r="611" customFormat="false" ht="15.75" hidden="false" customHeight="false" outlineLevel="0" collapsed="false">
      <c r="A611" s="12" t="str">
        <f aca="false">IF((AA611&gt;=4), "Y", "N")</f>
        <v>Y</v>
      </c>
      <c r="B611" s="13"/>
      <c r="C611" s="14" t="s">
        <v>2646</v>
      </c>
      <c r="D611" s="24" t="s">
        <v>51</v>
      </c>
      <c r="E611" s="25" t="s">
        <v>2647</v>
      </c>
      <c r="F611" s="17" t="s">
        <v>2648</v>
      </c>
      <c r="G611" s="17" t="s">
        <v>478</v>
      </c>
      <c r="H611" s="17"/>
      <c r="I611" s="26" t="s">
        <v>56</v>
      </c>
      <c r="J611" s="32" t="s">
        <v>2623</v>
      </c>
      <c r="K611" s="17"/>
      <c r="L611" s="17"/>
      <c r="M611" s="27"/>
      <c r="N611" s="17"/>
      <c r="O611" s="17"/>
      <c r="P611" s="52" t="s">
        <v>185</v>
      </c>
      <c r="Q611" s="12"/>
      <c r="R611" s="12"/>
      <c r="S611" s="12"/>
      <c r="T611" s="12"/>
      <c r="U611" s="12"/>
      <c r="V611" s="21"/>
      <c r="Z611" s="12"/>
      <c r="AA611" s="29" t="n">
        <v>4</v>
      </c>
      <c r="AB611" s="84"/>
      <c r="AC611" s="12"/>
      <c r="AD611" s="12"/>
      <c r="AE611" s="12"/>
    </row>
    <row r="612" customFormat="false" ht="15.75" hidden="false" customHeight="false" outlineLevel="0" collapsed="false">
      <c r="A612" s="12" t="str">
        <f aca="false">IF((AA612&gt;=4), "Y", "N")</f>
        <v>Y</v>
      </c>
      <c r="B612" s="13"/>
      <c r="C612" s="14" t="s">
        <v>2649</v>
      </c>
      <c r="D612" s="24" t="s">
        <v>61</v>
      </c>
      <c r="E612" s="25" t="s">
        <v>2650</v>
      </c>
      <c r="F612" s="17" t="s">
        <v>2651</v>
      </c>
      <c r="G612" s="17" t="s">
        <v>2652</v>
      </c>
      <c r="H612" s="17"/>
      <c r="I612" s="26" t="s">
        <v>266</v>
      </c>
      <c r="J612" s="32" t="s">
        <v>2623</v>
      </c>
      <c r="K612" s="17"/>
      <c r="L612" s="17"/>
      <c r="M612" s="27"/>
      <c r="N612" s="17"/>
      <c r="O612" s="17"/>
      <c r="P612" s="52" t="s">
        <v>185</v>
      </c>
      <c r="Q612" s="12"/>
      <c r="R612" s="12"/>
      <c r="S612" s="12"/>
      <c r="T612" s="12"/>
      <c r="U612" s="12"/>
      <c r="V612" s="21"/>
      <c r="Z612" s="12"/>
      <c r="AA612" s="29" t="n">
        <v>4</v>
      </c>
      <c r="AB612" s="84"/>
      <c r="AC612" s="12"/>
      <c r="AD612" s="12"/>
      <c r="AE612" s="12"/>
    </row>
    <row r="613" customFormat="false" ht="15.75" hidden="false" customHeight="false" outlineLevel="0" collapsed="false">
      <c r="A613" s="12" t="str">
        <f aca="false">IF((AA613&gt;=4), "Y", "N")</f>
        <v>Y</v>
      </c>
      <c r="B613" s="13"/>
      <c r="C613" s="31" t="s">
        <v>2653</v>
      </c>
      <c r="D613" s="16" t="s">
        <v>94</v>
      </c>
      <c r="E613" s="32" t="s">
        <v>2654</v>
      </c>
      <c r="F613" s="32" t="s">
        <v>2655</v>
      </c>
      <c r="G613" s="32" t="s">
        <v>2544</v>
      </c>
      <c r="H613" s="26" t="s">
        <v>423</v>
      </c>
      <c r="I613" s="17" t="s">
        <v>36</v>
      </c>
      <c r="J613" s="32" t="s">
        <v>2623</v>
      </c>
      <c r="K613" s="33" t="n">
        <v>2000</v>
      </c>
      <c r="L613" s="33" t="s">
        <v>99</v>
      </c>
      <c r="M613" s="27"/>
      <c r="N613" s="37" t="s">
        <v>2656</v>
      </c>
      <c r="O613" s="17"/>
      <c r="P613" s="19" t="s">
        <v>76</v>
      </c>
      <c r="R613" s="0" t="s">
        <v>2657</v>
      </c>
      <c r="T613" s="0" t="s">
        <v>2658</v>
      </c>
      <c r="V613" s="21" t="s">
        <v>31</v>
      </c>
      <c r="AA613" s="22" t="str">
        <f aca="false">IF(P613="OD500 US (submitted)", "5", " ")</f>
        <v>5</v>
      </c>
      <c r="AB613" s="84"/>
    </row>
    <row r="614" customFormat="false" ht="15.75" hidden="false" customHeight="false" outlineLevel="0" collapsed="false">
      <c r="A614" s="12" t="str">
        <f aca="false">IF((AA614&gt;=4), "Y", "N")</f>
        <v>Y</v>
      </c>
      <c r="B614" s="13"/>
      <c r="C614" s="31" t="s">
        <v>2659</v>
      </c>
      <c r="D614" s="16" t="s">
        <v>94</v>
      </c>
      <c r="E614" s="32" t="s">
        <v>2660</v>
      </c>
      <c r="F614" s="32" t="s">
        <v>2661</v>
      </c>
      <c r="G614" s="32" t="s">
        <v>145</v>
      </c>
      <c r="H614" s="26" t="s">
        <v>146</v>
      </c>
      <c r="I614" s="17" t="s">
        <v>36</v>
      </c>
      <c r="J614" s="32" t="s">
        <v>2623</v>
      </c>
      <c r="K614" s="33" t="n">
        <v>2013</v>
      </c>
      <c r="L614" s="33" t="s">
        <v>99</v>
      </c>
      <c r="M614" s="27"/>
      <c r="N614" s="37" t="s">
        <v>1961</v>
      </c>
      <c r="O614" s="17"/>
      <c r="P614" s="19" t="s">
        <v>76</v>
      </c>
      <c r="Q614" s="12"/>
      <c r="R614" s="12" t="s">
        <v>2662</v>
      </c>
      <c r="S614" s="12"/>
      <c r="T614" s="12" t="s">
        <v>2663</v>
      </c>
      <c r="U614" s="12"/>
      <c r="V614" s="21" t="s">
        <v>31</v>
      </c>
      <c r="Z614" s="12"/>
      <c r="AA614" s="22" t="str">
        <f aca="false">IF(P614="OD500 US (submitted)", "5", " ")</f>
        <v>5</v>
      </c>
      <c r="AB614" s="84"/>
      <c r="AC614" s="12"/>
      <c r="AD614" s="12"/>
      <c r="AE614" s="12"/>
    </row>
    <row r="615" customFormat="false" ht="15.75" hidden="false" customHeight="false" outlineLevel="0" collapsed="false">
      <c r="A615" s="12" t="str">
        <f aca="false">IF((AA615&gt;=4), "Y", "N")</f>
        <v>Y</v>
      </c>
      <c r="B615" s="13"/>
      <c r="C615" s="31" t="s">
        <v>2664</v>
      </c>
      <c r="D615" s="24" t="s">
        <v>94</v>
      </c>
      <c r="E615" s="32" t="s">
        <v>2665</v>
      </c>
      <c r="F615" s="17"/>
      <c r="G615" s="17"/>
      <c r="H615" s="17"/>
      <c r="I615" s="26" t="s">
        <v>266</v>
      </c>
      <c r="J615" s="32" t="s">
        <v>2623</v>
      </c>
      <c r="K615" s="33" t="n">
        <v>2013</v>
      </c>
      <c r="L615" s="33" t="s">
        <v>109</v>
      </c>
      <c r="M615" s="27"/>
      <c r="N615" s="17" t="s">
        <v>2666</v>
      </c>
      <c r="O615" s="17"/>
      <c r="P615" s="40" t="s">
        <v>268</v>
      </c>
      <c r="Q615" s="20"/>
      <c r="R615" s="20"/>
      <c r="S615" s="20"/>
      <c r="T615" s="20"/>
      <c r="U615" s="20"/>
      <c r="V615" s="45"/>
      <c r="Z615" s="20"/>
      <c r="AA615" s="29" t="str">
        <f aca="false">IF(P615="OD500 MX", "5", " ")</f>
        <v>5</v>
      </c>
      <c r="AB615" s="70"/>
      <c r="AC615" s="20"/>
      <c r="AD615" s="20"/>
      <c r="AE615" s="20"/>
    </row>
    <row r="616" customFormat="false" ht="15.75" hidden="false" customHeight="false" outlineLevel="0" collapsed="false">
      <c r="A616" s="12" t="str">
        <f aca="false">IF((AA616&gt;=4), "Y", "N")</f>
        <v>Y</v>
      </c>
      <c r="B616" s="13"/>
      <c r="C616" s="31" t="s">
        <v>2667</v>
      </c>
      <c r="D616" s="16" t="s">
        <v>51</v>
      </c>
      <c r="E616" s="32" t="s">
        <v>2668</v>
      </c>
      <c r="F616" s="17"/>
      <c r="G616" s="17"/>
      <c r="H616" s="17"/>
      <c r="I616" s="26" t="s">
        <v>266</v>
      </c>
      <c r="J616" s="32" t="s">
        <v>2623</v>
      </c>
      <c r="K616" s="33" t="n">
        <v>2010</v>
      </c>
      <c r="L616" s="33" t="s">
        <v>99</v>
      </c>
      <c r="M616" s="27"/>
      <c r="N616" s="17" t="s">
        <v>2669</v>
      </c>
      <c r="O616" s="17"/>
      <c r="P616" s="40" t="s">
        <v>268</v>
      </c>
      <c r="Q616" s="20"/>
      <c r="R616" s="20"/>
      <c r="S616" s="20"/>
      <c r="T616" s="20"/>
      <c r="U616" s="20"/>
      <c r="V616" s="45"/>
      <c r="Z616" s="20"/>
      <c r="AA616" s="29" t="str">
        <f aca="false">IF(P616="OD500 MX", "5", " ")</f>
        <v>5</v>
      </c>
      <c r="AB616" s="70"/>
      <c r="AC616" s="20"/>
      <c r="AD616" s="20"/>
      <c r="AE616" s="20"/>
    </row>
    <row r="617" customFormat="false" ht="15.75" hidden="false" customHeight="false" outlineLevel="0" collapsed="false">
      <c r="A617" s="12" t="str">
        <f aca="false">IF((AA617&gt;=4), "Y", "N")</f>
        <v>Y</v>
      </c>
      <c r="B617" s="13"/>
      <c r="C617" s="31" t="s">
        <v>2670</v>
      </c>
      <c r="D617" s="16" t="s">
        <v>94</v>
      </c>
      <c r="E617" s="32" t="s">
        <v>2671</v>
      </c>
      <c r="F617" s="32" t="s">
        <v>2672</v>
      </c>
      <c r="G617" s="32" t="s">
        <v>476</v>
      </c>
      <c r="H617" s="17" t="s">
        <v>477</v>
      </c>
      <c r="I617" s="17" t="s">
        <v>36</v>
      </c>
      <c r="J617" s="32" t="s">
        <v>2623</v>
      </c>
      <c r="K617" s="33" t="n">
        <v>2011</v>
      </c>
      <c r="L617" s="33" t="s">
        <v>109</v>
      </c>
      <c r="M617" s="27"/>
      <c r="N617" s="79" t="s">
        <v>2673</v>
      </c>
      <c r="O617" s="17"/>
      <c r="P617" s="19" t="s">
        <v>76</v>
      </c>
      <c r="Q617" s="12"/>
      <c r="R617" s="12" t="s">
        <v>2674</v>
      </c>
      <c r="S617" s="12"/>
      <c r="T617" s="12" t="s">
        <v>2675</v>
      </c>
      <c r="U617" s="12"/>
      <c r="V617" s="21" t="s">
        <v>31</v>
      </c>
      <c r="Z617" s="12"/>
      <c r="AA617" s="22" t="str">
        <f aca="false">IF(P617="OD500 US (submitted)", "5", " ")</f>
        <v>5</v>
      </c>
      <c r="AB617" s="84"/>
      <c r="AC617" s="12"/>
      <c r="AD617" s="12"/>
      <c r="AE617" s="12"/>
    </row>
    <row r="618" customFormat="false" ht="15.75" hidden="false" customHeight="false" outlineLevel="0" collapsed="false">
      <c r="A618" s="12" t="str">
        <f aca="false">IF((AA618&gt;=4), "Y", "N")</f>
        <v>Y</v>
      </c>
      <c r="B618" s="12"/>
      <c r="C618" s="23" t="s">
        <v>2676</v>
      </c>
      <c r="D618" s="24" t="s">
        <v>94</v>
      </c>
      <c r="E618" s="25" t="s">
        <v>2677</v>
      </c>
      <c r="F618" s="17" t="s">
        <v>2678</v>
      </c>
      <c r="G618" s="17" t="s">
        <v>963</v>
      </c>
      <c r="H618" s="17" t="s">
        <v>72</v>
      </c>
      <c r="I618" s="17" t="s">
        <v>36</v>
      </c>
      <c r="J618" s="32" t="s">
        <v>2623</v>
      </c>
      <c r="K618" s="17" t="n">
        <v>2007</v>
      </c>
      <c r="L618" s="38" t="s">
        <v>73</v>
      </c>
      <c r="M618" s="27"/>
      <c r="N618" s="37" t="s">
        <v>2468</v>
      </c>
      <c r="O618" s="17"/>
      <c r="P618" s="40" t="s">
        <v>111</v>
      </c>
      <c r="Q618" s="20"/>
      <c r="R618" s="20"/>
      <c r="S618" s="20"/>
      <c r="T618" s="20"/>
      <c r="U618" s="20"/>
      <c r="V618" s="45"/>
      <c r="Z618" s="20"/>
      <c r="AA618" s="22" t="n">
        <v>5</v>
      </c>
      <c r="AB618" s="84"/>
      <c r="AC618" s="20"/>
      <c r="AD618" s="20"/>
      <c r="AE618" s="20"/>
    </row>
    <row r="619" customFormat="false" ht="15.75" hidden="false" customHeight="false" outlineLevel="0" collapsed="false">
      <c r="A619" s="12"/>
      <c r="B619" s="12"/>
      <c r="C619" s="23" t="s">
        <v>2679</v>
      </c>
      <c r="D619" s="24"/>
      <c r="E619" s="17"/>
      <c r="F619" s="17"/>
      <c r="G619" s="17"/>
      <c r="H619" s="17"/>
      <c r="I619" s="17" t="s">
        <v>260</v>
      </c>
      <c r="J619" s="32" t="s">
        <v>2623</v>
      </c>
      <c r="K619" s="17"/>
      <c r="L619" s="17"/>
      <c r="M619" s="27"/>
      <c r="N619" s="17"/>
      <c r="O619" s="17"/>
      <c r="P619" s="40" t="s">
        <v>261</v>
      </c>
      <c r="Q619" s="12"/>
      <c r="R619" s="12"/>
      <c r="S619" s="12"/>
      <c r="T619" s="12"/>
      <c r="U619" s="12"/>
      <c r="V619" s="21"/>
      <c r="Z619" s="12"/>
      <c r="AA619" s="29"/>
      <c r="AB619" s="84"/>
      <c r="AC619" s="12"/>
      <c r="AD619" s="12"/>
      <c r="AE619" s="12"/>
    </row>
    <row r="620" customFormat="false" ht="15.75" hidden="false" customHeight="false" outlineLevel="0" collapsed="false">
      <c r="A620" s="12"/>
      <c r="B620" s="12"/>
      <c r="C620" s="23" t="s">
        <v>2680</v>
      </c>
      <c r="D620" s="24"/>
      <c r="E620" s="17"/>
      <c r="F620" s="17"/>
      <c r="G620" s="17"/>
      <c r="H620" s="17"/>
      <c r="I620" s="17" t="s">
        <v>260</v>
      </c>
      <c r="J620" s="32" t="s">
        <v>2623</v>
      </c>
      <c r="K620" s="17"/>
      <c r="L620" s="17"/>
      <c r="M620" s="27"/>
      <c r="N620" s="17"/>
      <c r="O620" s="17"/>
      <c r="P620" s="40" t="s">
        <v>261</v>
      </c>
      <c r="V620" s="60"/>
      <c r="AA620" s="63"/>
      <c r="AB620" s="84"/>
    </row>
    <row r="621" customFormat="false" ht="15.75" hidden="false" customHeight="false" outlineLevel="0" collapsed="false">
      <c r="A621" s="12"/>
      <c r="B621" s="12"/>
      <c r="C621" s="23" t="s">
        <v>2681</v>
      </c>
      <c r="D621" s="24"/>
      <c r="E621" s="17"/>
      <c r="F621" s="17"/>
      <c r="G621" s="17"/>
      <c r="H621" s="17"/>
      <c r="I621" s="17" t="s">
        <v>260</v>
      </c>
      <c r="J621" s="32" t="s">
        <v>2623</v>
      </c>
      <c r="K621" s="17"/>
      <c r="L621" s="17"/>
      <c r="M621" s="27"/>
      <c r="N621" s="17"/>
      <c r="O621" s="17"/>
      <c r="P621" s="40" t="s">
        <v>261</v>
      </c>
      <c r="Q621" s="20"/>
      <c r="R621" s="20"/>
      <c r="S621" s="20"/>
      <c r="T621" s="20"/>
      <c r="U621" s="20"/>
      <c r="V621" s="45"/>
      <c r="Z621" s="20"/>
      <c r="AA621" s="22"/>
      <c r="AB621" s="84"/>
      <c r="AC621" s="20"/>
      <c r="AD621" s="20"/>
      <c r="AE621" s="20"/>
    </row>
    <row r="622" customFormat="false" ht="15.75" hidden="false" customHeight="false" outlineLevel="0" collapsed="false">
      <c r="A622" s="12" t="str">
        <f aca="false">IF((AA622&gt;=4), "Y", "N")</f>
        <v>Y</v>
      </c>
      <c r="B622" s="12"/>
      <c r="C622" s="23" t="s">
        <v>2682</v>
      </c>
      <c r="D622" s="24"/>
      <c r="E622" s="25" t="s">
        <v>2683</v>
      </c>
      <c r="F622" s="17" t="s">
        <v>2684</v>
      </c>
      <c r="G622" s="17" t="s">
        <v>145</v>
      </c>
      <c r="H622" s="26" t="s">
        <v>146</v>
      </c>
      <c r="I622" s="17" t="s">
        <v>36</v>
      </c>
      <c r="J622" s="32" t="s">
        <v>2623</v>
      </c>
      <c r="K622" s="17" t="n">
        <v>2011</v>
      </c>
      <c r="L622" s="33"/>
      <c r="M622" s="27"/>
      <c r="N622" s="37" t="s">
        <v>1924</v>
      </c>
      <c r="O622" s="17"/>
      <c r="P622" s="40" t="s">
        <v>111</v>
      </c>
      <c r="Q622" s="17"/>
      <c r="R622" s="17"/>
      <c r="S622" s="17"/>
      <c r="T622" s="17"/>
      <c r="U622" s="17"/>
      <c r="V622" s="27"/>
      <c r="Z622" s="17"/>
      <c r="AA622" s="29" t="n">
        <v>5</v>
      </c>
      <c r="AB622" s="84"/>
      <c r="AC622" s="17"/>
      <c r="AD622" s="17"/>
      <c r="AE622" s="17"/>
    </row>
    <row r="623" customFormat="false" ht="15.75" hidden="false" customHeight="false" outlineLevel="0" collapsed="false">
      <c r="A623" s="12" t="str">
        <f aca="false">IF((AA623&gt;=4), "Y", "N")</f>
        <v>Y</v>
      </c>
      <c r="B623" s="12"/>
      <c r="C623" s="23" t="s">
        <v>2685</v>
      </c>
      <c r="D623" s="24" t="s">
        <v>51</v>
      </c>
      <c r="E623" s="25" t="s">
        <v>2686</v>
      </c>
      <c r="F623" s="17" t="s">
        <v>2687</v>
      </c>
      <c r="G623" s="17" t="s">
        <v>1230</v>
      </c>
      <c r="H623" s="26" t="s">
        <v>353</v>
      </c>
      <c r="I623" s="17" t="s">
        <v>36</v>
      </c>
      <c r="J623" s="32" t="s">
        <v>2623</v>
      </c>
      <c r="K623" s="17" t="n">
        <v>2013</v>
      </c>
      <c r="L623" s="33"/>
      <c r="M623" s="27"/>
      <c r="N623" s="37" t="s">
        <v>110</v>
      </c>
      <c r="O623" s="17"/>
      <c r="P623" s="40" t="s">
        <v>111</v>
      </c>
      <c r="Q623" s="12"/>
      <c r="R623" s="12"/>
      <c r="S623" s="12"/>
      <c r="T623" s="12"/>
      <c r="U623" s="12"/>
      <c r="V623" s="21"/>
      <c r="Z623" s="12"/>
      <c r="AA623" s="29" t="n">
        <v>5</v>
      </c>
      <c r="AB623" s="84"/>
      <c r="AC623" s="12"/>
      <c r="AD623" s="12"/>
      <c r="AE623" s="12"/>
    </row>
    <row r="624" customFormat="false" ht="15.75" hidden="false" customHeight="false" outlineLevel="0" collapsed="false">
      <c r="A624" s="12" t="str">
        <f aca="false">IF((AA624&gt;=4), "Y", "N")</f>
        <v>Y</v>
      </c>
      <c r="B624" s="13"/>
      <c r="C624" s="31" t="s">
        <v>2688</v>
      </c>
      <c r="D624" s="16" t="s">
        <v>94</v>
      </c>
      <c r="E624" s="32" t="s">
        <v>2689</v>
      </c>
      <c r="F624" s="32" t="s">
        <v>2690</v>
      </c>
      <c r="G624" s="32" t="s">
        <v>2691</v>
      </c>
      <c r="H624" s="17" t="s">
        <v>72</v>
      </c>
      <c r="I624" s="17" t="s">
        <v>36</v>
      </c>
      <c r="J624" s="32" t="s">
        <v>2623</v>
      </c>
      <c r="K624" s="33" t="n">
        <v>1969</v>
      </c>
      <c r="L624" s="33" t="s">
        <v>275</v>
      </c>
      <c r="M624" s="27"/>
      <c r="N624" s="37" t="s">
        <v>1112</v>
      </c>
      <c r="O624" s="17"/>
      <c r="P624" s="19" t="s">
        <v>76</v>
      </c>
      <c r="R624" s="0" t="s">
        <v>2692</v>
      </c>
      <c r="T624" s="0" t="s">
        <v>2693</v>
      </c>
      <c r="V624" s="21" t="s">
        <v>31</v>
      </c>
      <c r="AA624" s="22" t="str">
        <f aca="false">IF(P624="OD500 US (submitted)", "5", " ")</f>
        <v>5</v>
      </c>
      <c r="AB624" s="84"/>
    </row>
    <row r="625" customFormat="false" ht="15.75" hidden="false" customHeight="false" outlineLevel="0" collapsed="false">
      <c r="A625" s="12"/>
      <c r="B625" s="12"/>
      <c r="C625" s="23" t="s">
        <v>2694</v>
      </c>
      <c r="D625" s="24"/>
      <c r="E625" s="17"/>
      <c r="F625" s="17"/>
      <c r="G625" s="17"/>
      <c r="H625" s="17"/>
      <c r="I625" s="17" t="s">
        <v>260</v>
      </c>
      <c r="J625" s="32" t="s">
        <v>2623</v>
      </c>
      <c r="K625" s="17"/>
      <c r="L625" s="17"/>
      <c r="M625" s="27"/>
      <c r="N625" s="17"/>
      <c r="O625" s="17"/>
      <c r="P625" s="40" t="s">
        <v>261</v>
      </c>
      <c r="Q625" s="12"/>
      <c r="R625" s="12"/>
      <c r="S625" s="12"/>
      <c r="T625" s="12"/>
      <c r="U625" s="12"/>
      <c r="V625" s="21"/>
      <c r="Z625" s="12"/>
      <c r="AA625" s="29"/>
      <c r="AB625" s="84"/>
      <c r="AC625" s="12"/>
      <c r="AD625" s="12"/>
      <c r="AE625" s="12"/>
    </row>
    <row r="626" customFormat="false" ht="15.75" hidden="false" customHeight="false" outlineLevel="0" collapsed="false">
      <c r="A626" s="12" t="str">
        <f aca="false">IF((AA626&gt;=4), "Y", "N")</f>
        <v>Y</v>
      </c>
      <c r="B626" s="12"/>
      <c r="C626" s="23" t="s">
        <v>2695</v>
      </c>
      <c r="D626" s="24" t="s">
        <v>94</v>
      </c>
      <c r="E626" s="25" t="s">
        <v>2696</v>
      </c>
      <c r="F626" s="17" t="s">
        <v>2697</v>
      </c>
      <c r="G626" s="17" t="s">
        <v>2698</v>
      </c>
      <c r="H626" s="17" t="s">
        <v>2699</v>
      </c>
      <c r="I626" s="17" t="s">
        <v>36</v>
      </c>
      <c r="J626" s="32" t="s">
        <v>2623</v>
      </c>
      <c r="K626" s="17" t="n">
        <v>1989</v>
      </c>
      <c r="L626" s="33" t="s">
        <v>275</v>
      </c>
      <c r="M626" s="27"/>
      <c r="N626" s="37" t="s">
        <v>110</v>
      </c>
      <c r="O626" s="17"/>
      <c r="P626" s="40" t="s">
        <v>111</v>
      </c>
      <c r="V626" s="60"/>
      <c r="AA626" s="63" t="n">
        <v>5</v>
      </c>
      <c r="AB626" s="84"/>
    </row>
    <row r="627" customFormat="false" ht="15.75" hidden="false" customHeight="false" outlineLevel="0" collapsed="false">
      <c r="A627" s="12" t="str">
        <f aca="false">IF((AA627&gt;=4), "Y", "N")</f>
        <v>Y</v>
      </c>
      <c r="B627" s="12"/>
      <c r="C627" s="23" t="s">
        <v>2700</v>
      </c>
      <c r="D627" s="24" t="s">
        <v>94</v>
      </c>
      <c r="E627" s="25" t="s">
        <v>2701</v>
      </c>
      <c r="F627" s="17" t="s">
        <v>2702</v>
      </c>
      <c r="G627" s="17" t="s">
        <v>476</v>
      </c>
      <c r="H627" s="17" t="s">
        <v>477</v>
      </c>
      <c r="I627" s="17" t="s">
        <v>36</v>
      </c>
      <c r="J627" s="32" t="s">
        <v>2623</v>
      </c>
      <c r="K627" s="17" t="n">
        <v>2011</v>
      </c>
      <c r="L627" s="38" t="s">
        <v>99</v>
      </c>
      <c r="M627" s="27"/>
      <c r="N627" s="37" t="s">
        <v>110</v>
      </c>
      <c r="O627" s="17"/>
      <c r="P627" s="40" t="s">
        <v>111</v>
      </c>
      <c r="Q627" s="20"/>
      <c r="R627" s="20"/>
      <c r="S627" s="20"/>
      <c r="T627" s="20"/>
      <c r="U627" s="20"/>
      <c r="V627" s="45"/>
      <c r="Z627" s="20"/>
      <c r="AA627" s="22" t="n">
        <v>5</v>
      </c>
      <c r="AB627" s="84"/>
      <c r="AC627" s="20"/>
      <c r="AD627" s="20"/>
      <c r="AE627" s="20"/>
    </row>
    <row r="628" customFormat="false" ht="15.75" hidden="false" customHeight="false" outlineLevel="0" collapsed="false">
      <c r="A628" s="12" t="str">
        <f aca="false">IF((AA628&gt;=4), "Y", "N")</f>
        <v>Y</v>
      </c>
      <c r="B628" s="12"/>
      <c r="C628" s="23" t="s">
        <v>2703</v>
      </c>
      <c r="D628" s="24" t="s">
        <v>94</v>
      </c>
      <c r="E628" s="25" t="s">
        <v>2704</v>
      </c>
      <c r="F628" s="17" t="s">
        <v>2705</v>
      </c>
      <c r="G628" s="17" t="s">
        <v>405</v>
      </c>
      <c r="H628" s="17" t="s">
        <v>72</v>
      </c>
      <c r="I628" s="17" t="s">
        <v>36</v>
      </c>
      <c r="J628" s="32" t="s">
        <v>2623</v>
      </c>
      <c r="K628" s="17" t="n">
        <v>2005</v>
      </c>
      <c r="L628" s="33" t="s">
        <v>275</v>
      </c>
      <c r="M628" s="27"/>
      <c r="N628" s="39" t="s">
        <v>110</v>
      </c>
      <c r="O628" s="17"/>
      <c r="P628" s="40" t="s">
        <v>111</v>
      </c>
      <c r="Q628" s="12"/>
      <c r="R628" s="12"/>
      <c r="S628" s="12"/>
      <c r="T628" s="12"/>
      <c r="U628" s="12"/>
      <c r="V628" s="21"/>
      <c r="Z628" s="12"/>
      <c r="AA628" s="29" t="n">
        <v>5</v>
      </c>
      <c r="AB628" s="84"/>
      <c r="AC628" s="12"/>
      <c r="AD628" s="12"/>
      <c r="AE628" s="12"/>
    </row>
    <row r="629" customFormat="false" ht="15.75" hidden="false" customHeight="false" outlineLevel="0" collapsed="false">
      <c r="A629" s="12" t="str">
        <f aca="false">IF((AA629&gt;=4), "Y", "N")</f>
        <v>Y</v>
      </c>
      <c r="B629" s="13"/>
      <c r="C629" s="31" t="s">
        <v>2706</v>
      </c>
      <c r="D629" s="16" t="s">
        <v>94</v>
      </c>
      <c r="E629" s="32" t="s">
        <v>2707</v>
      </c>
      <c r="F629" s="32" t="s">
        <v>2708</v>
      </c>
      <c r="G629" s="32" t="s">
        <v>476</v>
      </c>
      <c r="H629" s="17" t="s">
        <v>477</v>
      </c>
      <c r="I629" s="17" t="s">
        <v>36</v>
      </c>
      <c r="J629" s="32" t="s">
        <v>2623</v>
      </c>
      <c r="K629" s="33" t="n">
        <v>2012</v>
      </c>
      <c r="L629" s="33" t="s">
        <v>275</v>
      </c>
      <c r="M629" s="27"/>
      <c r="N629" s="37" t="s">
        <v>2709</v>
      </c>
      <c r="O629" s="17"/>
      <c r="P629" s="19" t="s">
        <v>76</v>
      </c>
      <c r="Q629" s="12"/>
      <c r="R629" s="12" t="s">
        <v>2710</v>
      </c>
      <c r="S629" s="12"/>
      <c r="T629" s="12" t="s">
        <v>2711</v>
      </c>
      <c r="U629" s="12"/>
      <c r="V629" s="21" t="s">
        <v>31</v>
      </c>
      <c r="Z629" s="12"/>
      <c r="AA629" s="22" t="str">
        <f aca="false">IF(P629="OD500 US (submitted)", "5", " ")</f>
        <v>5</v>
      </c>
      <c r="AB629" s="84"/>
      <c r="AC629" s="12"/>
      <c r="AD629" s="12"/>
      <c r="AE629" s="12"/>
    </row>
    <row r="630" customFormat="false" ht="15.75" hidden="false" customHeight="false" outlineLevel="0" collapsed="false">
      <c r="A630" s="12" t="str">
        <f aca="false">IF((AA630&gt;=4), "Y", "N")</f>
        <v>Y</v>
      </c>
      <c r="B630" s="13"/>
      <c r="C630" s="31" t="s">
        <v>2712</v>
      </c>
      <c r="D630" s="24" t="s">
        <v>94</v>
      </c>
      <c r="E630" s="32" t="s">
        <v>2713</v>
      </c>
      <c r="F630" s="17"/>
      <c r="G630" s="17"/>
      <c r="H630" s="17"/>
      <c r="I630" s="26" t="s">
        <v>266</v>
      </c>
      <c r="J630" s="32" t="s">
        <v>2623</v>
      </c>
      <c r="K630" s="33" t="n">
        <v>2001</v>
      </c>
      <c r="L630" s="33" t="s">
        <v>275</v>
      </c>
      <c r="M630" s="27"/>
      <c r="N630" s="17" t="s">
        <v>2714</v>
      </c>
      <c r="O630" s="17"/>
      <c r="P630" s="40" t="s">
        <v>268</v>
      </c>
      <c r="Q630" s="20"/>
      <c r="R630" s="20"/>
      <c r="S630" s="20"/>
      <c r="T630" s="20"/>
      <c r="U630" s="20"/>
      <c r="V630" s="45"/>
      <c r="Z630" s="20"/>
      <c r="AA630" s="29" t="str">
        <f aca="false">IF(P630="OD500 MX", "5", " ")</f>
        <v>5</v>
      </c>
      <c r="AB630" s="70"/>
      <c r="AC630" s="20"/>
      <c r="AD630" s="20"/>
      <c r="AE630" s="20"/>
    </row>
    <row r="631" customFormat="false" ht="15.75" hidden="false" customHeight="false" outlineLevel="0" collapsed="false">
      <c r="A631" s="12" t="str">
        <f aca="false">IF((AA631&gt;=4), "Y", "N")</f>
        <v>Y</v>
      </c>
      <c r="B631" s="12"/>
      <c r="C631" s="23" t="s">
        <v>2715</v>
      </c>
      <c r="D631" s="24" t="s">
        <v>94</v>
      </c>
      <c r="E631" s="25" t="s">
        <v>2716</v>
      </c>
      <c r="F631" s="17" t="s">
        <v>2717</v>
      </c>
      <c r="G631" s="17" t="s">
        <v>495</v>
      </c>
      <c r="H631" s="26" t="s">
        <v>72</v>
      </c>
      <c r="I631" s="17" t="s">
        <v>36</v>
      </c>
      <c r="J631" s="32" t="s">
        <v>2623</v>
      </c>
      <c r="K631" s="17" t="n">
        <v>2010</v>
      </c>
      <c r="L631" s="38" t="s">
        <v>99</v>
      </c>
      <c r="M631" s="27"/>
      <c r="N631" s="39" t="s">
        <v>110</v>
      </c>
      <c r="O631" s="17"/>
      <c r="P631" s="40" t="s">
        <v>111</v>
      </c>
      <c r="Q631" s="12"/>
      <c r="R631" s="12"/>
      <c r="S631" s="12"/>
      <c r="T631" s="12"/>
      <c r="U631" s="12"/>
      <c r="V631" s="21"/>
      <c r="Z631" s="12"/>
      <c r="AA631" s="29" t="n">
        <v>4</v>
      </c>
      <c r="AB631" s="84"/>
      <c r="AC631" s="12"/>
      <c r="AD631" s="12"/>
      <c r="AE631" s="12"/>
    </row>
    <row r="632" customFormat="false" ht="15.75" hidden="false" customHeight="false" outlineLevel="0" collapsed="false">
      <c r="A632" s="12" t="str">
        <f aca="false">IF((AA632&gt;=4), "Y", "N")</f>
        <v>Y</v>
      </c>
      <c r="B632" s="12"/>
      <c r="C632" s="23" t="s">
        <v>2718</v>
      </c>
      <c r="D632" s="24" t="s">
        <v>94</v>
      </c>
      <c r="E632" s="25" t="s">
        <v>2719</v>
      </c>
      <c r="F632" s="17" t="s">
        <v>2720</v>
      </c>
      <c r="G632" s="17" t="s">
        <v>2721</v>
      </c>
      <c r="H632" s="26" t="s">
        <v>1030</v>
      </c>
      <c r="I632" s="17" t="s">
        <v>36</v>
      </c>
      <c r="J632" s="32" t="s">
        <v>2623</v>
      </c>
      <c r="K632" s="17" t="n">
        <v>1996</v>
      </c>
      <c r="L632" s="38" t="s">
        <v>73</v>
      </c>
      <c r="M632" s="27"/>
      <c r="N632" s="39" t="s">
        <v>110</v>
      </c>
      <c r="O632" s="17"/>
      <c r="P632" s="40" t="s">
        <v>111</v>
      </c>
      <c r="Q632" s="12"/>
      <c r="R632" s="12"/>
      <c r="S632" s="12"/>
      <c r="T632" s="12"/>
      <c r="U632" s="12"/>
      <c r="V632" s="21"/>
      <c r="Z632" s="12"/>
      <c r="AA632" s="29" t="n">
        <v>5</v>
      </c>
      <c r="AB632" s="84"/>
      <c r="AC632" s="12"/>
      <c r="AD632" s="12"/>
      <c r="AE632" s="12"/>
    </row>
    <row r="633" customFormat="false" ht="15.75" hidden="false" customHeight="false" outlineLevel="0" collapsed="false">
      <c r="A633" s="12" t="str">
        <f aca="false">IF((AA633&gt;=4), "Y", "N")</f>
        <v>Y</v>
      </c>
      <c r="B633" s="12"/>
      <c r="C633" s="23" t="s">
        <v>2722</v>
      </c>
      <c r="D633" s="24" t="s">
        <v>94</v>
      </c>
      <c r="E633" s="25" t="s">
        <v>2723</v>
      </c>
      <c r="F633" s="17" t="s">
        <v>2724</v>
      </c>
      <c r="G633" s="17" t="s">
        <v>1076</v>
      </c>
      <c r="H633" s="26" t="s">
        <v>72</v>
      </c>
      <c r="I633" s="17" t="s">
        <v>36</v>
      </c>
      <c r="J633" s="32" t="s">
        <v>2623</v>
      </c>
      <c r="K633" s="17" t="n">
        <v>2007</v>
      </c>
      <c r="L633" s="38" t="s">
        <v>73</v>
      </c>
      <c r="M633" s="27"/>
      <c r="N633" s="39" t="s">
        <v>110</v>
      </c>
      <c r="O633" s="17"/>
      <c r="P633" s="40" t="s">
        <v>111</v>
      </c>
      <c r="Q633" s="12"/>
      <c r="R633" s="12"/>
      <c r="S633" s="12"/>
      <c r="T633" s="12"/>
      <c r="U633" s="12"/>
      <c r="V633" s="21"/>
      <c r="Z633" s="12"/>
      <c r="AA633" s="29" t="n">
        <v>5</v>
      </c>
      <c r="AB633" s="84"/>
      <c r="AC633" s="12"/>
      <c r="AD633" s="12"/>
      <c r="AE633" s="12"/>
    </row>
    <row r="634" customFormat="false" ht="15.75" hidden="false" customHeight="false" outlineLevel="0" collapsed="false">
      <c r="A634" s="12" t="str">
        <f aca="false">IF((AA634&gt;=4), "Y", "N")</f>
        <v>Y</v>
      </c>
      <c r="B634" s="13"/>
      <c r="C634" s="31" t="s">
        <v>2725</v>
      </c>
      <c r="D634" s="16" t="s">
        <v>94</v>
      </c>
      <c r="E634" s="32" t="s">
        <v>2726</v>
      </c>
      <c r="F634" s="32" t="s">
        <v>2727</v>
      </c>
      <c r="G634" s="32" t="s">
        <v>462</v>
      </c>
      <c r="H634" s="26" t="s">
        <v>72</v>
      </c>
      <c r="I634" s="17" t="s">
        <v>36</v>
      </c>
      <c r="J634" s="32" t="s">
        <v>2623</v>
      </c>
      <c r="K634" s="33" t="n">
        <v>2009</v>
      </c>
      <c r="L634" s="33" t="s">
        <v>99</v>
      </c>
      <c r="M634" s="27"/>
      <c r="N634" s="17" t="s">
        <v>2728</v>
      </c>
      <c r="O634" s="17"/>
      <c r="P634" s="19" t="s">
        <v>76</v>
      </c>
      <c r="Q634" s="12"/>
      <c r="R634" s="12" t="s">
        <v>2729</v>
      </c>
      <c r="S634" s="12"/>
      <c r="T634" s="12" t="s">
        <v>2730</v>
      </c>
      <c r="U634" s="12"/>
      <c r="V634" s="21" t="s">
        <v>31</v>
      </c>
      <c r="Z634" s="12"/>
      <c r="AA634" s="22" t="str">
        <f aca="false">IF(P634="OD500 US (submitted)", "5", " ")</f>
        <v>5</v>
      </c>
      <c r="AB634" s="84"/>
      <c r="AC634" s="12"/>
      <c r="AD634" s="12"/>
      <c r="AE634" s="12"/>
    </row>
    <row r="635" customFormat="false" ht="15.75" hidden="false" customHeight="false" outlineLevel="0" collapsed="false">
      <c r="A635" s="12" t="str">
        <f aca="false">IF((AA635&gt;=4), "Y", "N")</f>
        <v>Y</v>
      </c>
      <c r="B635" s="12"/>
      <c r="C635" s="23" t="s">
        <v>2731</v>
      </c>
      <c r="D635" s="24" t="s">
        <v>94</v>
      </c>
      <c r="E635" s="25" t="s">
        <v>2732</v>
      </c>
      <c r="F635" s="17" t="s">
        <v>2733</v>
      </c>
      <c r="G635" s="17" t="s">
        <v>977</v>
      </c>
      <c r="H635" s="26" t="s">
        <v>303</v>
      </c>
      <c r="I635" s="17" t="s">
        <v>36</v>
      </c>
      <c r="J635" s="32" t="s">
        <v>2623</v>
      </c>
      <c r="K635" s="17" t="n">
        <v>2011</v>
      </c>
      <c r="L635" s="33"/>
      <c r="M635" s="27"/>
      <c r="N635" s="17" t="s">
        <v>377</v>
      </c>
      <c r="O635" s="17"/>
      <c r="P635" s="40" t="s">
        <v>111</v>
      </c>
      <c r="Q635" s="12"/>
      <c r="R635" s="12"/>
      <c r="S635" s="12"/>
      <c r="T635" s="12"/>
      <c r="U635" s="12"/>
      <c r="V635" s="21"/>
      <c r="Z635" s="12"/>
      <c r="AA635" s="29" t="n">
        <v>5</v>
      </c>
      <c r="AB635" s="84"/>
      <c r="AC635" s="12"/>
      <c r="AD635" s="12"/>
      <c r="AE635" s="12"/>
    </row>
    <row r="636" customFormat="false" ht="15.75" hidden="false" customHeight="false" outlineLevel="0" collapsed="false">
      <c r="A636" s="12" t="str">
        <f aca="false">IF((AA636&gt;=4), "Y", "N")</f>
        <v>Y</v>
      </c>
      <c r="B636" s="13"/>
      <c r="C636" s="31" t="s">
        <v>2734</v>
      </c>
      <c r="D636" s="16" t="s">
        <v>94</v>
      </c>
      <c r="E636" s="32" t="s">
        <v>2735</v>
      </c>
      <c r="F636" s="32" t="s">
        <v>2736</v>
      </c>
      <c r="G636" s="32" t="s">
        <v>368</v>
      </c>
      <c r="H636" s="26" t="s">
        <v>369</v>
      </c>
      <c r="I636" s="17" t="s">
        <v>36</v>
      </c>
      <c r="J636" s="32" t="s">
        <v>2623</v>
      </c>
      <c r="K636" s="33" t="n">
        <v>2011</v>
      </c>
      <c r="L636" s="33" t="s">
        <v>99</v>
      </c>
      <c r="M636" s="27"/>
      <c r="N636" s="39" t="s">
        <v>2737</v>
      </c>
      <c r="O636" s="17"/>
      <c r="P636" s="19" t="s">
        <v>76</v>
      </c>
      <c r="Q636" s="12"/>
      <c r="R636" s="12" t="s">
        <v>2738</v>
      </c>
      <c r="S636" s="12"/>
      <c r="T636" s="12" t="s">
        <v>2739</v>
      </c>
      <c r="U636" s="12"/>
      <c r="V636" s="21" t="s">
        <v>31</v>
      </c>
      <c r="Z636" s="12"/>
      <c r="AA636" s="22" t="str">
        <f aca="false">IF(P636="OD500 US (submitted)", "5", " ")</f>
        <v>5</v>
      </c>
      <c r="AB636" s="84"/>
      <c r="AC636" s="12"/>
      <c r="AD636" s="12"/>
      <c r="AE636" s="12"/>
    </row>
    <row r="637" customFormat="false" ht="15.75" hidden="false" customHeight="false" outlineLevel="0" collapsed="false">
      <c r="A637" s="12" t="str">
        <f aca="false">IF((AA637&gt;=4), "Y", "N")</f>
        <v>Y</v>
      </c>
      <c r="B637" s="13"/>
      <c r="C637" s="31" t="s">
        <v>2740</v>
      </c>
      <c r="D637" s="24" t="s">
        <v>94</v>
      </c>
      <c r="E637" s="32" t="s">
        <v>2741</v>
      </c>
      <c r="F637" s="17"/>
      <c r="G637" s="17"/>
      <c r="H637" s="17"/>
      <c r="I637" s="26" t="s">
        <v>266</v>
      </c>
      <c r="J637" s="32" t="s">
        <v>2623</v>
      </c>
      <c r="K637" s="33" t="n">
        <v>1998</v>
      </c>
      <c r="L637" s="33" t="s">
        <v>99</v>
      </c>
      <c r="M637" s="27"/>
      <c r="N637" s="17" t="s">
        <v>2742</v>
      </c>
      <c r="O637" s="17"/>
      <c r="P637" s="40" t="s">
        <v>268</v>
      </c>
      <c r="Q637" s="12"/>
      <c r="R637" s="12"/>
      <c r="S637" s="12"/>
      <c r="T637" s="12"/>
      <c r="U637" s="12"/>
      <c r="V637" s="21"/>
      <c r="Z637" s="12"/>
      <c r="AA637" s="29" t="str">
        <f aca="false">IF(P637="OD500 MX", "5", " ")</f>
        <v>5</v>
      </c>
      <c r="AB637" s="70"/>
      <c r="AC637" s="12"/>
      <c r="AD637" s="12"/>
      <c r="AE637" s="12"/>
    </row>
    <row r="638" customFormat="false" ht="15.75" hidden="false" customHeight="false" outlineLevel="0" collapsed="false">
      <c r="A638" s="12" t="str">
        <f aca="false">IF((AA638&gt;=4), "Y", "N")</f>
        <v>Y</v>
      </c>
      <c r="B638" s="12"/>
      <c r="C638" s="23" t="s">
        <v>2743</v>
      </c>
      <c r="D638" s="24" t="s">
        <v>94</v>
      </c>
      <c r="E638" s="25" t="s">
        <v>2744</v>
      </c>
      <c r="F638" s="17" t="s">
        <v>2745</v>
      </c>
      <c r="G638" s="17" t="s">
        <v>2746</v>
      </c>
      <c r="H638" s="26" t="s">
        <v>2747</v>
      </c>
      <c r="I638" s="17" t="s">
        <v>36</v>
      </c>
      <c r="J638" s="32" t="s">
        <v>2623</v>
      </c>
      <c r="K638" s="17" t="n">
        <v>2001</v>
      </c>
      <c r="L638" s="38" t="s">
        <v>99</v>
      </c>
      <c r="M638" s="27"/>
      <c r="N638" s="39" t="s">
        <v>315</v>
      </c>
      <c r="O638" s="17"/>
      <c r="P638" s="40" t="s">
        <v>111</v>
      </c>
      <c r="Q638" s="17"/>
      <c r="R638" s="17"/>
      <c r="S638" s="17"/>
      <c r="T638" s="17"/>
      <c r="U638" s="17"/>
      <c r="V638" s="27"/>
      <c r="Z638" s="17"/>
      <c r="AA638" s="29" t="n">
        <v>5</v>
      </c>
      <c r="AB638" s="84"/>
      <c r="AC638" s="17"/>
      <c r="AD638" s="17"/>
      <c r="AE638" s="17"/>
    </row>
    <row r="639" customFormat="false" ht="15.75" hidden="false" customHeight="false" outlineLevel="0" collapsed="false">
      <c r="A639" s="12" t="str">
        <f aca="false">IF((AA639&gt;=4), "Y", "N")</f>
        <v>Y</v>
      </c>
      <c r="B639" s="12"/>
      <c r="C639" s="23" t="s">
        <v>2748</v>
      </c>
      <c r="D639" s="24" t="s">
        <v>94</v>
      </c>
      <c r="E639" s="25" t="s">
        <v>2749</v>
      </c>
      <c r="F639" s="17" t="s">
        <v>2750</v>
      </c>
      <c r="G639" s="17" t="s">
        <v>2475</v>
      </c>
      <c r="H639" s="26" t="s">
        <v>1030</v>
      </c>
      <c r="I639" s="17" t="s">
        <v>36</v>
      </c>
      <c r="J639" s="32" t="s">
        <v>2623</v>
      </c>
      <c r="K639" s="17" t="n">
        <v>1967</v>
      </c>
      <c r="L639" s="38" t="s">
        <v>73</v>
      </c>
      <c r="M639" s="27"/>
      <c r="N639" s="39" t="s">
        <v>2751</v>
      </c>
      <c r="O639" s="17"/>
      <c r="P639" s="40" t="s">
        <v>111</v>
      </c>
      <c r="Q639" s="17"/>
      <c r="R639" s="17"/>
      <c r="S639" s="17"/>
      <c r="T639" s="17"/>
      <c r="U639" s="17"/>
      <c r="V639" s="27"/>
      <c r="Z639" s="17"/>
      <c r="AA639" s="29" t="n">
        <v>5</v>
      </c>
      <c r="AB639" s="84"/>
      <c r="AC639" s="17"/>
      <c r="AD639" s="17"/>
      <c r="AE639" s="17"/>
    </row>
    <row r="640" customFormat="false" ht="15.75" hidden="false" customHeight="false" outlineLevel="0" collapsed="false">
      <c r="A640" s="12" t="str">
        <f aca="false">IF((AA640&gt;=4), "Y", "N")</f>
        <v>Y</v>
      </c>
      <c r="B640" s="13"/>
      <c r="C640" s="31" t="s">
        <v>2752</v>
      </c>
      <c r="D640" s="16" t="s">
        <v>94</v>
      </c>
      <c r="E640" s="32" t="s">
        <v>2753</v>
      </c>
      <c r="F640" s="32" t="s">
        <v>2754</v>
      </c>
      <c r="G640" s="32" t="s">
        <v>1076</v>
      </c>
      <c r="H640" s="26" t="s">
        <v>72</v>
      </c>
      <c r="I640" s="17" t="s">
        <v>36</v>
      </c>
      <c r="J640" s="32" t="s">
        <v>2623</v>
      </c>
      <c r="K640" s="33" t="n">
        <v>2012</v>
      </c>
      <c r="L640" s="33" t="s">
        <v>109</v>
      </c>
      <c r="M640" s="27"/>
      <c r="N640" s="39" t="s">
        <v>1973</v>
      </c>
      <c r="O640" s="17"/>
      <c r="P640" s="19" t="s">
        <v>76</v>
      </c>
      <c r="Q640" s="12"/>
      <c r="R640" s="12" t="s">
        <v>2755</v>
      </c>
      <c r="S640" s="12"/>
      <c r="T640" s="12" t="s">
        <v>2756</v>
      </c>
      <c r="U640" s="12"/>
      <c r="V640" s="21" t="s">
        <v>31</v>
      </c>
      <c r="Z640" s="12"/>
      <c r="AA640" s="22" t="str">
        <f aca="false">IF(P640="OD500 US (submitted)", "5", " ")</f>
        <v>5</v>
      </c>
      <c r="AB640" s="84"/>
      <c r="AC640" s="12"/>
      <c r="AD640" s="12"/>
      <c r="AE640" s="12"/>
    </row>
    <row r="641" customFormat="false" ht="15.75" hidden="false" customHeight="false" outlineLevel="0" collapsed="false">
      <c r="A641" s="12" t="str">
        <f aca="false">IF((AA641&gt;=4), "Y", "N")</f>
        <v>Y</v>
      </c>
      <c r="B641" s="13"/>
      <c r="C641" s="31" t="s">
        <v>2757</v>
      </c>
      <c r="D641" s="16" t="s">
        <v>94</v>
      </c>
      <c r="E641" s="32" t="s">
        <v>2758</v>
      </c>
      <c r="F641" s="32" t="s">
        <v>2759</v>
      </c>
      <c r="G641" s="32" t="s">
        <v>2760</v>
      </c>
      <c r="H641" s="26" t="s">
        <v>2761</v>
      </c>
      <c r="I641" s="17" t="s">
        <v>36</v>
      </c>
      <c r="J641" s="32" t="s">
        <v>2623</v>
      </c>
      <c r="K641" s="33" t="n">
        <v>2005</v>
      </c>
      <c r="L641" s="33" t="s">
        <v>275</v>
      </c>
      <c r="M641" s="27"/>
      <c r="N641" s="39" t="s">
        <v>1973</v>
      </c>
      <c r="O641" s="17"/>
      <c r="P641" s="19" t="s">
        <v>76</v>
      </c>
      <c r="Q641" s="12"/>
      <c r="R641" s="12" t="s">
        <v>2762</v>
      </c>
      <c r="S641" s="12"/>
      <c r="T641" s="12" t="s">
        <v>2763</v>
      </c>
      <c r="U641" s="12"/>
      <c r="V641" s="21" t="s">
        <v>31</v>
      </c>
      <c r="Z641" s="12"/>
      <c r="AA641" s="63" t="s">
        <v>478</v>
      </c>
      <c r="AB641" s="84"/>
      <c r="AC641" s="12"/>
      <c r="AD641" s="12"/>
      <c r="AE641" s="12"/>
    </row>
    <row r="642" customFormat="false" ht="15.75" hidden="false" customHeight="false" outlineLevel="0" collapsed="false">
      <c r="A642" s="12" t="str">
        <f aca="false">IF((AA642&gt;=4), "Y", "N")</f>
        <v>Y</v>
      </c>
      <c r="B642" s="13"/>
      <c r="C642" s="31" t="s">
        <v>2764</v>
      </c>
      <c r="D642" s="16" t="s">
        <v>94</v>
      </c>
      <c r="E642" s="32" t="s">
        <v>2765</v>
      </c>
      <c r="F642" s="32" t="s">
        <v>2766</v>
      </c>
      <c r="G642" s="32" t="s">
        <v>71</v>
      </c>
      <c r="H642" s="26" t="s">
        <v>72</v>
      </c>
      <c r="I642" s="17" t="s">
        <v>36</v>
      </c>
      <c r="J642" s="32" t="s">
        <v>2623</v>
      </c>
      <c r="K642" s="33" t="n">
        <v>2009</v>
      </c>
      <c r="L642" s="33" t="s">
        <v>109</v>
      </c>
      <c r="M642" s="27"/>
      <c r="N642" s="17" t="s">
        <v>377</v>
      </c>
      <c r="O642" s="17"/>
      <c r="P642" s="19" t="s">
        <v>76</v>
      </c>
      <c r="Q642" s="12"/>
      <c r="R642" s="12" t="s">
        <v>2767</v>
      </c>
      <c r="S642" s="12"/>
      <c r="T642" s="12" t="s">
        <v>2768</v>
      </c>
      <c r="U642" s="12"/>
      <c r="V642" s="21" t="s">
        <v>31</v>
      </c>
      <c r="Z642" s="12"/>
      <c r="AA642" s="22" t="str">
        <f aca="false">IF(P642="OD500 US (submitted)", "5", " ")</f>
        <v>5</v>
      </c>
      <c r="AB642" s="84"/>
      <c r="AC642" s="12"/>
      <c r="AD642" s="12"/>
      <c r="AE642" s="12"/>
    </row>
    <row r="643" customFormat="false" ht="15.75" hidden="false" customHeight="false" outlineLevel="0" collapsed="false">
      <c r="A643" s="12" t="str">
        <f aca="false">IF((AA643&gt;=4), "Y", "N")</f>
        <v>Y</v>
      </c>
      <c r="B643" s="12"/>
      <c r="C643" s="23" t="s">
        <v>2769</v>
      </c>
      <c r="D643" s="24" t="s">
        <v>94</v>
      </c>
      <c r="E643" s="25" t="s">
        <v>2770</v>
      </c>
      <c r="F643" s="17" t="s">
        <v>2771</v>
      </c>
      <c r="G643" s="17" t="s">
        <v>2772</v>
      </c>
      <c r="H643" s="26" t="s">
        <v>98</v>
      </c>
      <c r="I643" s="17" t="s">
        <v>36</v>
      </c>
      <c r="J643" s="32" t="s">
        <v>2623</v>
      </c>
      <c r="K643" s="17" t="n">
        <v>1995</v>
      </c>
      <c r="L643" s="33" t="s">
        <v>275</v>
      </c>
      <c r="M643" s="27"/>
      <c r="N643" s="39" t="s">
        <v>110</v>
      </c>
      <c r="O643" s="17"/>
      <c r="P643" s="40" t="s">
        <v>111</v>
      </c>
      <c r="Q643" s="12"/>
      <c r="R643" s="12"/>
      <c r="S643" s="12"/>
      <c r="T643" s="12"/>
      <c r="U643" s="12"/>
      <c r="V643" s="21"/>
      <c r="Z643" s="12"/>
      <c r="AA643" s="29" t="n">
        <v>5</v>
      </c>
      <c r="AB643" s="84"/>
      <c r="AC643" s="12"/>
      <c r="AD643" s="12"/>
      <c r="AE643" s="12"/>
    </row>
    <row r="644" customFormat="false" ht="15.75" hidden="false" customHeight="false" outlineLevel="0" collapsed="false">
      <c r="A644" s="12"/>
      <c r="B644" s="12"/>
      <c r="C644" s="23" t="s">
        <v>2773</v>
      </c>
      <c r="D644" s="24"/>
      <c r="E644" s="17"/>
      <c r="F644" s="17"/>
      <c r="G644" s="17"/>
      <c r="H644" s="17"/>
      <c r="I644" s="17" t="s">
        <v>260</v>
      </c>
      <c r="J644" s="32" t="s">
        <v>2623</v>
      </c>
      <c r="K644" s="17"/>
      <c r="L644" s="17"/>
      <c r="M644" s="27"/>
      <c r="N644" s="17"/>
      <c r="O644" s="17"/>
      <c r="P644" s="40" t="s">
        <v>261</v>
      </c>
      <c r="Q644" s="20"/>
      <c r="R644" s="20"/>
      <c r="S644" s="20"/>
      <c r="T644" s="20"/>
      <c r="U644" s="20"/>
      <c r="V644" s="45"/>
      <c r="Z644" s="20"/>
      <c r="AA644" s="22"/>
      <c r="AB644" s="84"/>
      <c r="AC644" s="20"/>
      <c r="AD644" s="20"/>
      <c r="AE644" s="20"/>
    </row>
    <row r="645" customFormat="false" ht="15.75" hidden="false" customHeight="false" outlineLevel="0" collapsed="false">
      <c r="A645" s="12"/>
      <c r="B645" s="12"/>
      <c r="C645" s="23" t="s">
        <v>2774</v>
      </c>
      <c r="D645" s="24"/>
      <c r="E645" s="17"/>
      <c r="F645" s="17"/>
      <c r="G645" s="17"/>
      <c r="H645" s="17"/>
      <c r="I645" s="17" t="s">
        <v>260</v>
      </c>
      <c r="J645" s="32" t="s">
        <v>2623</v>
      </c>
      <c r="K645" s="17"/>
      <c r="L645" s="17"/>
      <c r="M645" s="27"/>
      <c r="N645" s="17"/>
      <c r="O645" s="17"/>
      <c r="P645" s="40" t="s">
        <v>261</v>
      </c>
      <c r="Q645" s="20"/>
      <c r="R645" s="20"/>
      <c r="S645" s="20"/>
      <c r="T645" s="20"/>
      <c r="U645" s="20"/>
      <c r="V645" s="45"/>
      <c r="Z645" s="20"/>
      <c r="AA645" s="22"/>
      <c r="AB645" s="84"/>
      <c r="AC645" s="20"/>
      <c r="AD645" s="20"/>
      <c r="AE645" s="20"/>
    </row>
    <row r="646" customFormat="false" ht="15.75" hidden="false" customHeight="false" outlineLevel="0" collapsed="false">
      <c r="A646" s="12" t="str">
        <f aca="false">IF((AA646&gt;=4), "Y", "N")</f>
        <v>Y</v>
      </c>
      <c r="B646" s="13"/>
      <c r="C646" s="31" t="s">
        <v>2775</v>
      </c>
      <c r="D646" s="16" t="s">
        <v>51</v>
      </c>
      <c r="E646" s="32" t="s">
        <v>2776</v>
      </c>
      <c r="F646" s="32" t="s">
        <v>2777</v>
      </c>
      <c r="G646" s="32" t="s">
        <v>2544</v>
      </c>
      <c r="H646" s="26" t="s">
        <v>423</v>
      </c>
      <c r="I646" s="17" t="s">
        <v>36</v>
      </c>
      <c r="J646" s="32" t="s">
        <v>2623</v>
      </c>
      <c r="K646" s="33" t="n">
        <v>2007</v>
      </c>
      <c r="L646" s="33" t="s">
        <v>109</v>
      </c>
      <c r="M646" s="27"/>
      <c r="N646" s="39" t="s">
        <v>2778</v>
      </c>
      <c r="O646" s="17"/>
      <c r="P646" s="19" t="s">
        <v>76</v>
      </c>
      <c r="Q646" s="20"/>
      <c r="R646" s="20" t="s">
        <v>2779</v>
      </c>
      <c r="S646" s="20"/>
      <c r="T646" s="20" t="s">
        <v>2780</v>
      </c>
      <c r="U646" s="20"/>
      <c r="V646" s="21" t="s">
        <v>31</v>
      </c>
      <c r="Z646" s="20"/>
      <c r="AA646" s="22" t="str">
        <f aca="false">IF(P646="OD500 US (submitted)", "5", " ")</f>
        <v>5</v>
      </c>
      <c r="AB646" s="84"/>
      <c r="AC646" s="20"/>
      <c r="AD646" s="20"/>
      <c r="AE646" s="20"/>
    </row>
    <row r="647" customFormat="false" ht="15.75" hidden="false" customHeight="false" outlineLevel="0" collapsed="false">
      <c r="A647" s="12"/>
      <c r="B647" s="12"/>
      <c r="C647" s="23" t="s">
        <v>2781</v>
      </c>
      <c r="D647" s="24"/>
      <c r="E647" s="17"/>
      <c r="F647" s="17"/>
      <c r="G647" s="17"/>
      <c r="H647" s="17"/>
      <c r="I647" s="17" t="s">
        <v>260</v>
      </c>
      <c r="J647" s="32" t="s">
        <v>2623</v>
      </c>
      <c r="K647" s="17"/>
      <c r="L647" s="17"/>
      <c r="M647" s="27"/>
      <c r="N647" s="17"/>
      <c r="O647" s="17"/>
      <c r="P647" s="40" t="s">
        <v>261</v>
      </c>
      <c r="Q647" s="12"/>
      <c r="R647" s="12"/>
      <c r="S647" s="12"/>
      <c r="T647" s="12"/>
      <c r="U647" s="12"/>
      <c r="V647" s="21"/>
      <c r="Z647" s="12"/>
      <c r="AA647" s="29"/>
      <c r="AB647" s="84"/>
      <c r="AC647" s="12"/>
      <c r="AD647" s="12"/>
      <c r="AE647" s="12"/>
    </row>
    <row r="648" customFormat="false" ht="15.75" hidden="false" customHeight="false" outlineLevel="0" collapsed="false">
      <c r="A648" s="12" t="str">
        <f aca="false">IF((AA648&gt;=4), "Y", "N")</f>
        <v>Y</v>
      </c>
      <c r="B648" s="12"/>
      <c r="C648" s="23" t="s">
        <v>2782</v>
      </c>
      <c r="D648" s="24" t="s">
        <v>94</v>
      </c>
      <c r="E648" s="25" t="s">
        <v>2783</v>
      </c>
      <c r="F648" s="17" t="s">
        <v>2784</v>
      </c>
      <c r="G648" s="17" t="s">
        <v>2785</v>
      </c>
      <c r="H648" s="26" t="s">
        <v>477</v>
      </c>
      <c r="I648" s="17" t="s">
        <v>36</v>
      </c>
      <c r="J648" s="32" t="s">
        <v>2623</v>
      </c>
      <c r="K648" s="17" t="n">
        <v>1856</v>
      </c>
      <c r="L648" s="38" t="s">
        <v>330</v>
      </c>
      <c r="M648" s="27"/>
      <c r="N648" s="39" t="s">
        <v>1961</v>
      </c>
      <c r="O648" s="17"/>
      <c r="P648" s="40" t="s">
        <v>111</v>
      </c>
      <c r="Q648" s="12"/>
      <c r="R648" s="12"/>
      <c r="S648" s="12"/>
      <c r="T648" s="12"/>
      <c r="U648" s="12"/>
      <c r="V648" s="21"/>
      <c r="Z648" s="12"/>
      <c r="AA648" s="29" t="n">
        <v>5</v>
      </c>
      <c r="AB648" s="84"/>
      <c r="AC648" s="12"/>
      <c r="AD648" s="12"/>
      <c r="AE648" s="12"/>
    </row>
    <row r="649" customFormat="false" ht="15.75" hidden="false" customHeight="false" outlineLevel="0" collapsed="false">
      <c r="A649" s="12"/>
      <c r="B649" s="12"/>
      <c r="C649" s="23" t="s">
        <v>2786</v>
      </c>
      <c r="D649" s="24"/>
      <c r="E649" s="17"/>
      <c r="F649" s="17"/>
      <c r="G649" s="17"/>
      <c r="H649" s="17"/>
      <c r="I649" s="17" t="s">
        <v>260</v>
      </c>
      <c r="J649" s="32" t="s">
        <v>2623</v>
      </c>
      <c r="K649" s="17"/>
      <c r="L649" s="17"/>
      <c r="M649" s="27"/>
      <c r="N649" s="17"/>
      <c r="O649" s="17"/>
      <c r="P649" s="40" t="s">
        <v>261</v>
      </c>
      <c r="Q649" s="12"/>
      <c r="R649" s="12"/>
      <c r="S649" s="12"/>
      <c r="T649" s="12"/>
      <c r="U649" s="12"/>
      <c r="V649" s="21"/>
      <c r="Z649" s="12"/>
      <c r="AA649" s="29"/>
      <c r="AB649" s="84"/>
      <c r="AC649" s="12"/>
      <c r="AD649" s="12"/>
      <c r="AE649" s="12"/>
    </row>
    <row r="650" customFormat="false" ht="15.75" hidden="false" customHeight="false" outlineLevel="0" collapsed="false">
      <c r="A650" s="12"/>
      <c r="B650" s="12"/>
      <c r="C650" s="23" t="s">
        <v>2787</v>
      </c>
      <c r="D650" s="24"/>
      <c r="E650" s="17"/>
      <c r="F650" s="17"/>
      <c r="G650" s="17"/>
      <c r="H650" s="17"/>
      <c r="I650" s="17" t="s">
        <v>260</v>
      </c>
      <c r="J650" s="32" t="s">
        <v>2623</v>
      </c>
      <c r="K650" s="17"/>
      <c r="L650" s="17"/>
      <c r="M650" s="27"/>
      <c r="N650" s="17"/>
      <c r="O650" s="17"/>
      <c r="P650" s="40" t="s">
        <v>261</v>
      </c>
      <c r="Q650" s="12"/>
      <c r="R650" s="12"/>
      <c r="S650" s="12"/>
      <c r="T650" s="12"/>
      <c r="U650" s="12"/>
      <c r="V650" s="21"/>
      <c r="Z650" s="12"/>
      <c r="AA650" s="29"/>
      <c r="AB650" s="84"/>
      <c r="AC650" s="12"/>
      <c r="AD650" s="12"/>
      <c r="AE650" s="12"/>
    </row>
    <row r="651" customFormat="false" ht="15.75" hidden="false" customHeight="false" outlineLevel="0" collapsed="false">
      <c r="A651" s="12"/>
      <c r="B651" s="12"/>
      <c r="C651" s="23" t="s">
        <v>2788</v>
      </c>
      <c r="D651" s="24"/>
      <c r="E651" s="17"/>
      <c r="F651" s="17"/>
      <c r="G651" s="17"/>
      <c r="H651" s="17"/>
      <c r="I651" s="17" t="s">
        <v>260</v>
      </c>
      <c r="J651" s="32" t="s">
        <v>2623</v>
      </c>
      <c r="K651" s="17"/>
      <c r="L651" s="17"/>
      <c r="M651" s="27"/>
      <c r="N651" s="17"/>
      <c r="O651" s="17"/>
      <c r="P651" s="40" t="s">
        <v>261</v>
      </c>
      <c r="Q651" s="20"/>
      <c r="R651" s="20"/>
      <c r="S651" s="20"/>
      <c r="T651" s="20"/>
      <c r="U651" s="20"/>
      <c r="V651" s="45"/>
      <c r="Z651" s="20"/>
      <c r="AA651" s="22"/>
      <c r="AB651" s="84"/>
      <c r="AC651" s="20"/>
      <c r="AD651" s="20"/>
      <c r="AE651" s="20"/>
    </row>
    <row r="652" customFormat="false" ht="15.75" hidden="false" customHeight="false" outlineLevel="0" collapsed="false">
      <c r="A652" s="12" t="str">
        <f aca="false">IF((AA652&gt;=4), "Y", "N")</f>
        <v>Y</v>
      </c>
      <c r="B652" s="12"/>
      <c r="C652" s="23" t="s">
        <v>2789</v>
      </c>
      <c r="D652" s="24" t="s">
        <v>94</v>
      </c>
      <c r="E652" s="25" t="s">
        <v>2790</v>
      </c>
      <c r="F652" s="17" t="s">
        <v>2791</v>
      </c>
      <c r="G652" s="17" t="s">
        <v>71</v>
      </c>
      <c r="H652" s="26" t="s">
        <v>72</v>
      </c>
      <c r="I652" s="17" t="s">
        <v>36</v>
      </c>
      <c r="J652" s="32" t="s">
        <v>2623</v>
      </c>
      <c r="K652" s="17" t="n">
        <v>2001</v>
      </c>
      <c r="L652" s="33"/>
      <c r="M652" s="27"/>
      <c r="N652" s="17" t="s">
        <v>377</v>
      </c>
      <c r="O652" s="17"/>
      <c r="P652" s="40" t="s">
        <v>111</v>
      </c>
      <c r="Q652" s="17"/>
      <c r="R652" s="17"/>
      <c r="S652" s="17"/>
      <c r="T652" s="17"/>
      <c r="U652" s="17"/>
      <c r="V652" s="27"/>
      <c r="Z652" s="17"/>
      <c r="AA652" s="29" t="n">
        <v>5</v>
      </c>
      <c r="AB652" s="84"/>
      <c r="AC652" s="17"/>
      <c r="AD652" s="17"/>
      <c r="AE652" s="17"/>
    </row>
    <row r="653" customFormat="false" ht="15.75" hidden="false" customHeight="false" outlineLevel="0" collapsed="false">
      <c r="A653" s="12" t="str">
        <f aca="false">IF((AA653&gt;=4), "Y", "N")</f>
        <v>Y</v>
      </c>
      <c r="B653" s="12"/>
      <c r="C653" s="23" t="s">
        <v>2792</v>
      </c>
      <c r="D653" s="24" t="s">
        <v>94</v>
      </c>
      <c r="E653" s="25" t="s">
        <v>2793</v>
      </c>
      <c r="F653" s="17" t="s">
        <v>2794</v>
      </c>
      <c r="G653" s="17" t="s">
        <v>1076</v>
      </c>
      <c r="H653" s="26" t="s">
        <v>72</v>
      </c>
      <c r="I653" s="17" t="s">
        <v>36</v>
      </c>
      <c r="J653" s="32" t="s">
        <v>2623</v>
      </c>
      <c r="K653" s="17" t="n">
        <v>1999</v>
      </c>
      <c r="L653" s="38" t="s">
        <v>482</v>
      </c>
      <c r="M653" s="27"/>
      <c r="N653" s="39" t="s">
        <v>1961</v>
      </c>
      <c r="O653" s="17"/>
      <c r="P653" s="40" t="s">
        <v>111</v>
      </c>
      <c r="Q653" s="12"/>
      <c r="R653" s="12"/>
      <c r="S653" s="12"/>
      <c r="T653" s="12"/>
      <c r="U653" s="12"/>
      <c r="V653" s="21"/>
      <c r="Z653" s="12"/>
      <c r="AA653" s="29" t="n">
        <v>5</v>
      </c>
      <c r="AB653" s="84"/>
      <c r="AC653" s="12"/>
      <c r="AD653" s="12"/>
      <c r="AE653" s="12"/>
    </row>
    <row r="654" customFormat="false" ht="15.75" hidden="false" customHeight="false" outlineLevel="0" collapsed="false">
      <c r="A654" s="12" t="str">
        <f aca="false">IF((AA654&gt;=4), "Y", "N")</f>
        <v>Y</v>
      </c>
      <c r="B654" s="13"/>
      <c r="C654" s="31" t="s">
        <v>2795</v>
      </c>
      <c r="D654" s="24" t="s">
        <v>94</v>
      </c>
      <c r="E654" s="32" t="s">
        <v>2796</v>
      </c>
      <c r="F654" s="17"/>
      <c r="G654" s="17"/>
      <c r="H654" s="17"/>
      <c r="I654" s="26" t="s">
        <v>266</v>
      </c>
      <c r="J654" s="32" t="s">
        <v>2623</v>
      </c>
      <c r="K654" s="33" t="n">
        <v>2012</v>
      </c>
      <c r="L654" s="33" t="s">
        <v>99</v>
      </c>
      <c r="M654" s="27"/>
      <c r="N654" s="17" t="s">
        <v>2797</v>
      </c>
      <c r="O654" s="17"/>
      <c r="P654" s="40" t="s">
        <v>268</v>
      </c>
      <c r="Q654" s="20"/>
      <c r="R654" s="20"/>
      <c r="S654" s="20"/>
      <c r="T654" s="20"/>
      <c r="U654" s="20"/>
      <c r="V654" s="45"/>
      <c r="Z654" s="20"/>
      <c r="AA654" s="29" t="str">
        <f aca="false">IF(P654="OD500 MX", "5", " ")</f>
        <v>5</v>
      </c>
      <c r="AB654" s="70"/>
      <c r="AC654" s="20"/>
      <c r="AD654" s="20"/>
      <c r="AE654" s="20"/>
    </row>
    <row r="655" customFormat="false" ht="15.75" hidden="false" customHeight="false" outlineLevel="0" collapsed="false">
      <c r="A655" s="12" t="str">
        <f aca="false">IF((AA655&gt;=4), "Y", "N")</f>
        <v>Y</v>
      </c>
      <c r="B655" s="13"/>
      <c r="C655" s="31" t="s">
        <v>2798</v>
      </c>
      <c r="D655" s="16" t="s">
        <v>94</v>
      </c>
      <c r="E655" s="32" t="s">
        <v>2799</v>
      </c>
      <c r="F655" s="32" t="s">
        <v>2800</v>
      </c>
      <c r="G655" s="32" t="s">
        <v>71</v>
      </c>
      <c r="H655" s="26" t="s">
        <v>72</v>
      </c>
      <c r="I655" s="17" t="s">
        <v>36</v>
      </c>
      <c r="J655" s="32" t="s">
        <v>2623</v>
      </c>
      <c r="K655" s="33" t="n">
        <v>2006</v>
      </c>
      <c r="L655" s="33" t="s">
        <v>109</v>
      </c>
      <c r="M655" s="27"/>
      <c r="N655" s="39" t="s">
        <v>2801</v>
      </c>
      <c r="O655" s="17"/>
      <c r="P655" s="19" t="s">
        <v>76</v>
      </c>
      <c r="Q655" s="12"/>
      <c r="R655" s="12" t="s">
        <v>2802</v>
      </c>
      <c r="S655" s="12"/>
      <c r="T655" s="12" t="s">
        <v>2803</v>
      </c>
      <c r="U655" s="12"/>
      <c r="V655" s="21" t="s">
        <v>31</v>
      </c>
      <c r="Z655" s="12"/>
      <c r="AA655" s="22" t="str">
        <f aca="false">IF(P655="OD500 US (submitted)", "5", " ")</f>
        <v>5</v>
      </c>
      <c r="AB655" s="84"/>
      <c r="AC655" s="12"/>
      <c r="AD655" s="12"/>
      <c r="AE655" s="12"/>
    </row>
    <row r="656" customFormat="false" ht="15.75" hidden="false" customHeight="false" outlineLevel="0" collapsed="false">
      <c r="A656" s="12" t="str">
        <f aca="false">IF((AA656&gt;=4), "Y", "N")</f>
        <v>Y</v>
      </c>
      <c r="B656" s="13"/>
      <c r="C656" s="31" t="s">
        <v>2804</v>
      </c>
      <c r="D656" s="16" t="s">
        <v>94</v>
      </c>
      <c r="E656" s="32" t="s">
        <v>2805</v>
      </c>
      <c r="F656" s="32" t="s">
        <v>2806</v>
      </c>
      <c r="G656" s="32" t="s">
        <v>145</v>
      </c>
      <c r="H656" s="26" t="s">
        <v>146</v>
      </c>
      <c r="I656" s="17" t="s">
        <v>36</v>
      </c>
      <c r="J656" s="32" t="s">
        <v>2623</v>
      </c>
      <c r="K656" s="33" t="n">
        <v>2011</v>
      </c>
      <c r="L656" s="33" t="s">
        <v>109</v>
      </c>
      <c r="M656" s="27"/>
      <c r="N656" s="39" t="s">
        <v>315</v>
      </c>
      <c r="O656" s="17"/>
      <c r="P656" s="19" t="s">
        <v>76</v>
      </c>
      <c r="Q656" s="12"/>
      <c r="R656" s="12" t="s">
        <v>2807</v>
      </c>
      <c r="S656" s="12"/>
      <c r="T656" s="12" t="s">
        <v>2808</v>
      </c>
      <c r="U656" s="12"/>
      <c r="V656" s="21" t="s">
        <v>31</v>
      </c>
      <c r="Z656" s="12"/>
      <c r="AA656" s="22" t="str">
        <f aca="false">IF(P656="OD500 US (submitted)", "5", " ")</f>
        <v>5</v>
      </c>
      <c r="AB656" s="84"/>
      <c r="AC656" s="12"/>
      <c r="AD656" s="12"/>
      <c r="AE656" s="12"/>
    </row>
    <row r="657" customFormat="false" ht="15.75" hidden="false" customHeight="false" outlineLevel="0" collapsed="false">
      <c r="A657" s="12" t="str">
        <f aca="false">IF((AA657&gt;=4), "Y", "N")</f>
        <v>Y</v>
      </c>
      <c r="B657" s="13"/>
      <c r="C657" s="31" t="s">
        <v>2809</v>
      </c>
      <c r="D657" s="16" t="s">
        <v>94</v>
      </c>
      <c r="E657" s="32" t="s">
        <v>2810</v>
      </c>
      <c r="F657" s="32" t="s">
        <v>2811</v>
      </c>
      <c r="G657" s="32" t="s">
        <v>2812</v>
      </c>
      <c r="H657" s="26" t="s">
        <v>2813</v>
      </c>
      <c r="I657" s="17" t="s">
        <v>36</v>
      </c>
      <c r="J657" s="32" t="s">
        <v>2623</v>
      </c>
      <c r="K657" s="33" t="n">
        <v>2005</v>
      </c>
      <c r="L657" s="33" t="s">
        <v>109</v>
      </c>
      <c r="M657" s="27"/>
      <c r="N657" s="39" t="s">
        <v>2814</v>
      </c>
      <c r="O657" s="17"/>
      <c r="P657" s="19" t="s">
        <v>76</v>
      </c>
      <c r="Q657" s="17"/>
      <c r="R657" s="17" t="s">
        <v>2815</v>
      </c>
      <c r="S657" s="17"/>
      <c r="T657" s="17" t="s">
        <v>2816</v>
      </c>
      <c r="U657" s="17"/>
      <c r="V657" s="21" t="s">
        <v>31</v>
      </c>
      <c r="Z657" s="17"/>
      <c r="AA657" s="22" t="str">
        <f aca="false">IF(P657="OD500 US (submitted)", "5", " ")</f>
        <v>5</v>
      </c>
      <c r="AB657" s="84"/>
      <c r="AC657" s="17"/>
      <c r="AD657" s="17"/>
      <c r="AE657" s="17"/>
    </row>
    <row r="658" customFormat="false" ht="15.75" hidden="false" customHeight="false" outlineLevel="0" collapsed="false">
      <c r="A658" s="12"/>
      <c r="B658" s="13"/>
      <c r="C658" s="14" t="s">
        <v>2817</v>
      </c>
      <c r="D658" s="24" t="s">
        <v>51</v>
      </c>
      <c r="E658" s="25" t="s">
        <v>2818</v>
      </c>
      <c r="F658" s="17" t="s">
        <v>2819</v>
      </c>
      <c r="G658" s="17" t="s">
        <v>478</v>
      </c>
      <c r="H658" s="17"/>
      <c r="I658" s="26" t="s">
        <v>166</v>
      </c>
      <c r="J658" s="32" t="s">
        <v>2623</v>
      </c>
      <c r="K658" s="17" t="n">
        <v>2003</v>
      </c>
      <c r="L658" s="17"/>
      <c r="M658" s="27"/>
      <c r="N658" s="17"/>
      <c r="O658" s="17"/>
      <c r="P658" s="52" t="s">
        <v>185</v>
      </c>
      <c r="Q658" s="12"/>
      <c r="R658" s="12"/>
      <c r="S658" s="12"/>
      <c r="T658" s="12"/>
      <c r="U658" s="12"/>
      <c r="V658" s="21"/>
      <c r="Z658" s="12"/>
      <c r="AA658" s="29" t="n">
        <v>3</v>
      </c>
      <c r="AB658" s="84"/>
      <c r="AC658" s="12"/>
      <c r="AD658" s="12"/>
      <c r="AE658" s="12"/>
    </row>
    <row r="659" customFormat="false" ht="15.75" hidden="false" customHeight="false" outlineLevel="0" collapsed="false">
      <c r="A659" s="12" t="str">
        <f aca="false">IF((AA659&gt;=4), "Y", "N")</f>
        <v>Y</v>
      </c>
      <c r="B659" s="13"/>
      <c r="C659" s="31" t="s">
        <v>2820</v>
      </c>
      <c r="D659" s="16" t="s">
        <v>51</v>
      </c>
      <c r="E659" s="32" t="s">
        <v>2821</v>
      </c>
      <c r="F659" s="17"/>
      <c r="G659" s="17"/>
      <c r="H659" s="17"/>
      <c r="I659" s="26" t="s">
        <v>266</v>
      </c>
      <c r="J659" s="32" t="s">
        <v>58</v>
      </c>
      <c r="K659" s="33" t="n">
        <v>1999</v>
      </c>
      <c r="L659" s="33" t="s">
        <v>99</v>
      </c>
      <c r="M659" s="27"/>
      <c r="N659" s="17" t="s">
        <v>2822</v>
      </c>
      <c r="O659" s="17"/>
      <c r="P659" s="40" t="s">
        <v>268</v>
      </c>
      <c r="Q659" s="12"/>
      <c r="R659" s="12"/>
      <c r="S659" s="12"/>
      <c r="T659" s="12"/>
      <c r="U659" s="12"/>
      <c r="V659" s="21"/>
      <c r="Z659" s="12"/>
      <c r="AA659" s="29" t="str">
        <f aca="false">IF(P659="OD500 MX", "5", " ")</f>
        <v>5</v>
      </c>
      <c r="AB659" s="70"/>
      <c r="AC659" s="12"/>
      <c r="AD659" s="12"/>
      <c r="AE659" s="12"/>
    </row>
    <row r="660" customFormat="false" ht="15.75" hidden="false" customHeight="false" outlineLevel="0" collapsed="false">
      <c r="A660" s="12" t="str">
        <f aca="false">IF((AA660&gt;=4), "Y", "N")</f>
        <v>Y</v>
      </c>
      <c r="B660" s="12"/>
      <c r="C660" s="23" t="s">
        <v>2823</v>
      </c>
      <c r="D660" s="24" t="s">
        <v>94</v>
      </c>
      <c r="E660" s="25" t="s">
        <v>2824</v>
      </c>
      <c r="F660" s="17" t="s">
        <v>2825</v>
      </c>
      <c r="G660" s="17" t="s">
        <v>2826</v>
      </c>
      <c r="H660" s="17" t="s">
        <v>72</v>
      </c>
      <c r="I660" s="17" t="s">
        <v>36</v>
      </c>
      <c r="J660" s="47" t="s">
        <v>58</v>
      </c>
      <c r="K660" s="17" t="n">
        <v>1999</v>
      </c>
      <c r="L660" s="38" t="s">
        <v>482</v>
      </c>
      <c r="M660" s="27"/>
      <c r="N660" s="34" t="s">
        <v>2827</v>
      </c>
      <c r="O660" s="17"/>
      <c r="P660" s="40" t="s">
        <v>111</v>
      </c>
      <c r="Q660" s="12"/>
      <c r="R660" s="12"/>
      <c r="S660" s="12"/>
      <c r="T660" s="12"/>
      <c r="U660" s="12"/>
      <c r="V660" s="21"/>
      <c r="Z660" s="12"/>
      <c r="AA660" s="29" t="n">
        <v>5</v>
      </c>
      <c r="AB660" s="84"/>
      <c r="AC660" s="59" t="s">
        <v>2828</v>
      </c>
      <c r="AD660" s="12"/>
      <c r="AE660" s="12"/>
    </row>
    <row r="661" customFormat="false" ht="15.75" hidden="false" customHeight="false" outlineLevel="0" collapsed="false">
      <c r="A661" s="12" t="str">
        <f aca="false">IF((AA661&gt;=4), "Y", "N")</f>
        <v>Y</v>
      </c>
      <c r="B661" s="54"/>
      <c r="C661" s="55" t="s">
        <v>2829</v>
      </c>
      <c r="D661" s="24" t="s">
        <v>51</v>
      </c>
      <c r="E661" s="57" t="s">
        <v>2830</v>
      </c>
      <c r="F661" s="15" t="s">
        <v>2831</v>
      </c>
      <c r="G661" s="15"/>
      <c r="H661" s="15"/>
      <c r="I661" s="26" t="s">
        <v>2832</v>
      </c>
      <c r="J661" s="15" t="s">
        <v>58</v>
      </c>
      <c r="K661" s="17"/>
      <c r="L661" s="17"/>
      <c r="M661" s="18"/>
      <c r="N661" s="17"/>
      <c r="O661" s="17"/>
      <c r="P661" s="19" t="s">
        <v>39</v>
      </c>
      <c r="Q661" s="20"/>
      <c r="R661" s="20" t="s">
        <v>2833</v>
      </c>
      <c r="S661" s="20"/>
      <c r="T661" s="20" t="s">
        <v>2834</v>
      </c>
      <c r="U661" s="20"/>
      <c r="V661" s="21" t="s">
        <v>31</v>
      </c>
      <c r="Z661" s="20"/>
      <c r="AA661" s="22" t="n">
        <v>4</v>
      </c>
      <c r="AB661" s="84"/>
      <c r="AC661" s="51" t="s">
        <v>2830</v>
      </c>
      <c r="AD661" s="20"/>
      <c r="AE661" s="20"/>
    </row>
    <row r="662" customFormat="false" ht="15.75" hidden="false" customHeight="false" outlineLevel="0" collapsed="false">
      <c r="A662" s="12"/>
      <c r="B662" s="12"/>
      <c r="C662" s="23" t="s">
        <v>2835</v>
      </c>
      <c r="D662" s="24" t="s">
        <v>51</v>
      </c>
      <c r="E662" s="25" t="s">
        <v>2836</v>
      </c>
      <c r="F662" s="17" t="s">
        <v>2837</v>
      </c>
      <c r="G662" s="17" t="s">
        <v>1100</v>
      </c>
      <c r="H662" s="17"/>
      <c r="I662" s="26" t="s">
        <v>82</v>
      </c>
      <c r="J662" s="32" t="s">
        <v>58</v>
      </c>
      <c r="K662" s="17"/>
      <c r="L662" s="17"/>
      <c r="M662" s="27"/>
      <c r="N662" s="17"/>
      <c r="O662" s="17"/>
      <c r="P662" s="40" t="s">
        <v>638</v>
      </c>
      <c r="Q662" s="12"/>
      <c r="R662" s="12" t="s">
        <v>2838</v>
      </c>
      <c r="S662" s="12"/>
      <c r="T662" s="12" t="s">
        <v>2839</v>
      </c>
      <c r="U662" s="12"/>
      <c r="V662" s="21" t="s">
        <v>31</v>
      </c>
      <c r="Z662" s="12"/>
      <c r="AA662" s="29" t="n">
        <v>3</v>
      </c>
      <c r="AB662" s="84"/>
      <c r="AC662" s="59" t="s">
        <v>2840</v>
      </c>
      <c r="AD662" s="12"/>
      <c r="AE662" s="12"/>
    </row>
    <row r="663" customFormat="false" ht="15.75" hidden="false" customHeight="false" outlineLevel="0" collapsed="false">
      <c r="A663" s="12" t="str">
        <f aca="false">IF((AA663&gt;=4), "Y", "N")</f>
        <v>Y</v>
      </c>
      <c r="B663" s="13"/>
      <c r="C663" s="31" t="s">
        <v>2841</v>
      </c>
      <c r="D663" s="16" t="s">
        <v>94</v>
      </c>
      <c r="E663" s="32" t="s">
        <v>2842</v>
      </c>
      <c r="F663" s="32" t="s">
        <v>2843</v>
      </c>
      <c r="G663" s="32" t="s">
        <v>389</v>
      </c>
      <c r="H663" s="17" t="s">
        <v>390</v>
      </c>
      <c r="I663" s="17" t="s">
        <v>36</v>
      </c>
      <c r="J663" s="32" t="s">
        <v>58</v>
      </c>
      <c r="K663" s="33" t="n">
        <v>2010</v>
      </c>
      <c r="L663" s="33" t="s">
        <v>99</v>
      </c>
      <c r="M663" s="27"/>
      <c r="N663" s="37" t="s">
        <v>1292</v>
      </c>
      <c r="O663" s="17"/>
      <c r="P663" s="19" t="s">
        <v>76</v>
      </c>
      <c r="Q663" s="12"/>
      <c r="R663" s="12" t="s">
        <v>2844</v>
      </c>
      <c r="S663" s="12"/>
      <c r="T663" s="12" t="s">
        <v>2845</v>
      </c>
      <c r="U663" s="12"/>
      <c r="V663" s="21" t="s">
        <v>31</v>
      </c>
      <c r="Z663" s="12"/>
      <c r="AA663" s="22" t="str">
        <f aca="false">IF(P663="OD500 US (submitted)", "5", " ")</f>
        <v>5</v>
      </c>
      <c r="AB663" s="84"/>
      <c r="AC663" s="12"/>
      <c r="AD663" s="12"/>
      <c r="AE663" s="12"/>
    </row>
    <row r="664" customFormat="false" ht="15.75" hidden="false" customHeight="false" outlineLevel="0" collapsed="false">
      <c r="A664" s="12" t="str">
        <f aca="false">IF((AA664&gt;=4), "Y", "N")</f>
        <v>Y</v>
      </c>
      <c r="B664" s="12"/>
      <c r="C664" s="23" t="s">
        <v>2846</v>
      </c>
      <c r="D664" s="24" t="s">
        <v>94</v>
      </c>
      <c r="E664" s="25" t="s">
        <v>2847</v>
      </c>
      <c r="F664" s="17" t="s">
        <v>2848</v>
      </c>
      <c r="G664" s="17" t="s">
        <v>2849</v>
      </c>
      <c r="H664" s="26" t="s">
        <v>108</v>
      </c>
      <c r="I664" s="17" t="s">
        <v>36</v>
      </c>
      <c r="J664" s="17" t="s">
        <v>58</v>
      </c>
      <c r="K664" s="17" t="n">
        <v>2011</v>
      </c>
      <c r="L664" s="33"/>
      <c r="M664" s="27"/>
      <c r="N664" s="17" t="s">
        <v>478</v>
      </c>
      <c r="O664" s="17"/>
      <c r="P664" s="40" t="s">
        <v>111</v>
      </c>
      <c r="Q664" s="12"/>
      <c r="R664" s="12"/>
      <c r="S664" s="12"/>
      <c r="T664" s="12"/>
      <c r="U664" s="12"/>
      <c r="V664" s="21"/>
      <c r="Z664" s="12"/>
      <c r="AA664" s="29" t="n">
        <v>5</v>
      </c>
      <c r="AB664" s="84"/>
      <c r="AC664" s="12"/>
      <c r="AD664" s="12"/>
      <c r="AE664" s="12"/>
    </row>
    <row r="665" customFormat="false" ht="15.75" hidden="false" customHeight="false" outlineLevel="0" collapsed="false">
      <c r="A665" s="12" t="str">
        <f aca="false">IF((AA665&gt;=4), "Y", "N")</f>
        <v>Y</v>
      </c>
      <c r="B665" s="13"/>
      <c r="C665" s="31" t="s">
        <v>2850</v>
      </c>
      <c r="D665" s="16" t="s">
        <v>94</v>
      </c>
      <c r="E665" s="32" t="s">
        <v>2851</v>
      </c>
      <c r="F665" s="32" t="s">
        <v>2852</v>
      </c>
      <c r="G665" s="32" t="s">
        <v>1070</v>
      </c>
      <c r="H665" s="17" t="s">
        <v>72</v>
      </c>
      <c r="I665" s="17" t="s">
        <v>36</v>
      </c>
      <c r="J665" s="32" t="s">
        <v>58</v>
      </c>
      <c r="K665" s="33" t="n">
        <v>2007</v>
      </c>
      <c r="L665" s="33" t="s">
        <v>99</v>
      </c>
      <c r="M665" s="27"/>
      <c r="N665" s="39" t="s">
        <v>377</v>
      </c>
      <c r="O665" s="17"/>
      <c r="P665" s="19" t="s">
        <v>76</v>
      </c>
      <c r="Q665" s="12"/>
      <c r="R665" s="12" t="s">
        <v>2853</v>
      </c>
      <c r="S665" s="12"/>
      <c r="T665" s="12" t="s">
        <v>2854</v>
      </c>
      <c r="U665" s="12"/>
      <c r="V665" s="21" t="s">
        <v>31</v>
      </c>
      <c r="Z665" s="12"/>
      <c r="AA665" s="22" t="str">
        <f aca="false">IF(P665="OD500 US (submitted)", "5", " ")</f>
        <v>5</v>
      </c>
      <c r="AB665" s="84"/>
      <c r="AC665" s="12"/>
      <c r="AD665" s="12"/>
      <c r="AE665" s="12"/>
    </row>
    <row r="666" customFormat="false" ht="15.75" hidden="false" customHeight="false" outlineLevel="0" collapsed="false">
      <c r="A666" s="12" t="str">
        <f aca="false">IF((AA666&gt;=4), "Y", "N")</f>
        <v>Y</v>
      </c>
      <c r="B666" s="13"/>
      <c r="C666" s="31" t="s">
        <v>2855</v>
      </c>
      <c r="D666" s="16" t="s">
        <v>94</v>
      </c>
      <c r="E666" s="32" t="s">
        <v>2856</v>
      </c>
      <c r="F666" s="32" t="s">
        <v>2857</v>
      </c>
      <c r="G666" s="32" t="s">
        <v>368</v>
      </c>
      <c r="H666" s="17" t="s">
        <v>369</v>
      </c>
      <c r="I666" s="17" t="s">
        <v>36</v>
      </c>
      <c r="J666" s="32" t="s">
        <v>58</v>
      </c>
      <c r="K666" s="33" t="n">
        <v>2009</v>
      </c>
      <c r="L666" s="33" t="s">
        <v>109</v>
      </c>
      <c r="M666" s="27"/>
      <c r="N666" s="39" t="s">
        <v>2858</v>
      </c>
      <c r="O666" s="17"/>
      <c r="P666" s="19" t="s">
        <v>76</v>
      </c>
      <c r="Q666" s="12"/>
      <c r="R666" s="12" t="s">
        <v>2859</v>
      </c>
      <c r="S666" s="12"/>
      <c r="T666" s="12" t="s">
        <v>2860</v>
      </c>
      <c r="U666" s="12"/>
      <c r="V666" s="21" t="s">
        <v>31</v>
      </c>
      <c r="Z666" s="12"/>
      <c r="AA666" s="22" t="str">
        <f aca="false">IF(P666="OD500 US (submitted)", "5", " ")</f>
        <v>5</v>
      </c>
      <c r="AB666" s="84"/>
      <c r="AC666" s="12"/>
      <c r="AD666" s="12"/>
      <c r="AE666" s="12"/>
    </row>
    <row r="667" customFormat="false" ht="15.75" hidden="false" customHeight="false" outlineLevel="0" collapsed="false">
      <c r="A667" s="12" t="str">
        <f aca="false">IF((AA667&gt;=4), "Y", "N")</f>
        <v>Y</v>
      </c>
      <c r="B667" s="13"/>
      <c r="C667" s="31" t="s">
        <v>2861</v>
      </c>
      <c r="D667" s="16" t="s">
        <v>94</v>
      </c>
      <c r="E667" s="32" t="s">
        <v>2862</v>
      </c>
      <c r="F667" s="32" t="s">
        <v>2863</v>
      </c>
      <c r="G667" s="32" t="s">
        <v>2864</v>
      </c>
      <c r="H667" s="17" t="s">
        <v>72</v>
      </c>
      <c r="I667" s="17" t="s">
        <v>36</v>
      </c>
      <c r="J667" s="32" t="s">
        <v>58</v>
      </c>
      <c r="K667" s="33" t="n">
        <v>2011</v>
      </c>
      <c r="L667" s="33" t="s">
        <v>109</v>
      </c>
      <c r="M667" s="27"/>
      <c r="N667" s="37" t="s">
        <v>315</v>
      </c>
      <c r="O667" s="17"/>
      <c r="P667" s="19" t="s">
        <v>76</v>
      </c>
      <c r="R667" s="0" t="s">
        <v>2865</v>
      </c>
      <c r="T667" s="0" t="s">
        <v>2866</v>
      </c>
      <c r="V667" s="21" t="s">
        <v>31</v>
      </c>
      <c r="AA667" s="22" t="str">
        <f aca="false">IF(P667="OD500 US (submitted)", "5", " ")</f>
        <v>5</v>
      </c>
      <c r="AB667" s="84"/>
    </row>
    <row r="668" customFormat="false" ht="15.75" hidden="false" customHeight="false" outlineLevel="0" collapsed="false">
      <c r="A668" s="12" t="str">
        <f aca="false">IF((AA668&gt;=4), "Y", "N")</f>
        <v>Y</v>
      </c>
      <c r="B668" s="13"/>
      <c r="C668" s="31" t="s">
        <v>2867</v>
      </c>
      <c r="D668" s="16" t="s">
        <v>94</v>
      </c>
      <c r="E668" s="32" t="s">
        <v>2868</v>
      </c>
      <c r="F668" s="32" t="s">
        <v>2869</v>
      </c>
      <c r="G668" s="32" t="s">
        <v>2870</v>
      </c>
      <c r="H668" s="17" t="s">
        <v>353</v>
      </c>
      <c r="I668" s="17" t="s">
        <v>36</v>
      </c>
      <c r="J668" s="47" t="s">
        <v>58</v>
      </c>
      <c r="K668" s="33" t="n">
        <v>2010</v>
      </c>
      <c r="L668" s="33" t="s">
        <v>109</v>
      </c>
      <c r="M668" s="27"/>
      <c r="N668" s="37" t="s">
        <v>354</v>
      </c>
      <c r="O668" s="17"/>
      <c r="P668" s="19" t="s">
        <v>76</v>
      </c>
      <c r="Q668" s="12"/>
      <c r="R668" s="12" t="s">
        <v>2871</v>
      </c>
      <c r="S668" s="12"/>
      <c r="T668" s="12" t="s">
        <v>2872</v>
      </c>
      <c r="U668" s="12"/>
      <c r="V668" s="21" t="s">
        <v>31</v>
      </c>
      <c r="Z668" s="12"/>
      <c r="AA668" s="22" t="str">
        <f aca="false">IF(P668="OD500 US (submitted)", "5", " ")</f>
        <v>5</v>
      </c>
      <c r="AB668" s="84"/>
      <c r="AC668" s="12"/>
      <c r="AD668" s="12"/>
      <c r="AE668" s="12"/>
    </row>
    <row r="669" customFormat="false" ht="15.75" hidden="false" customHeight="false" outlineLevel="0" collapsed="false">
      <c r="A669" s="12" t="str">
        <f aca="false">IF((AA669&gt;=4), "Y", "N")</f>
        <v>Y</v>
      </c>
      <c r="B669" s="13"/>
      <c r="C669" s="31" t="s">
        <v>2873</v>
      </c>
      <c r="D669" s="16" t="s">
        <v>51</v>
      </c>
      <c r="E669" s="32" t="s">
        <v>2874</v>
      </c>
      <c r="F669" s="32" t="s">
        <v>2875</v>
      </c>
      <c r="G669" s="32" t="s">
        <v>71</v>
      </c>
      <c r="H669" s="17" t="s">
        <v>72</v>
      </c>
      <c r="I669" s="17" t="s">
        <v>36</v>
      </c>
      <c r="J669" s="32" t="s">
        <v>58</v>
      </c>
      <c r="K669" s="33" t="n">
        <v>2009</v>
      </c>
      <c r="L669" s="33" t="s">
        <v>73</v>
      </c>
      <c r="M669" s="27"/>
      <c r="N669" s="39" t="s">
        <v>377</v>
      </c>
      <c r="O669" s="17"/>
      <c r="P669" s="19" t="s">
        <v>76</v>
      </c>
      <c r="R669" s="0" t="s">
        <v>2876</v>
      </c>
      <c r="T669" s="0" t="s">
        <v>2877</v>
      </c>
      <c r="V669" s="21" t="s">
        <v>31</v>
      </c>
      <c r="AA669" s="22" t="str">
        <f aca="false">IF(P669="OD500 US (submitted)", "5", " ")</f>
        <v>5</v>
      </c>
      <c r="AB669" s="84"/>
    </row>
    <row r="670" customFormat="false" ht="15.75" hidden="false" customHeight="false" outlineLevel="0" collapsed="false">
      <c r="A670" s="12" t="str">
        <f aca="false">IF((AA670&gt;=4), "Y", "N")</f>
        <v>Y</v>
      </c>
      <c r="B670" s="13"/>
      <c r="C670" s="31" t="s">
        <v>2878</v>
      </c>
      <c r="D670" s="16" t="s">
        <v>94</v>
      </c>
      <c r="E670" s="32" t="s">
        <v>2879</v>
      </c>
      <c r="F670" s="32" t="s">
        <v>2880</v>
      </c>
      <c r="G670" s="32" t="s">
        <v>476</v>
      </c>
      <c r="H670" s="17" t="s">
        <v>477</v>
      </c>
      <c r="I670" s="17" t="s">
        <v>36</v>
      </c>
      <c r="J670" s="32" t="s">
        <v>58</v>
      </c>
      <c r="K670" s="33" t="n">
        <v>2012</v>
      </c>
      <c r="L670" s="33" t="s">
        <v>109</v>
      </c>
      <c r="M670" s="27"/>
      <c r="N670" s="37" t="s">
        <v>2881</v>
      </c>
      <c r="O670" s="17"/>
      <c r="P670" s="19" t="s">
        <v>76</v>
      </c>
      <c r="R670" s="0" t="s">
        <v>2882</v>
      </c>
      <c r="T670" s="0" t="s">
        <v>2883</v>
      </c>
      <c r="V670" s="21" t="s">
        <v>31</v>
      </c>
      <c r="AA670" s="22" t="str">
        <f aca="false">IF(P670="OD500 US (submitted)", "5", " ")</f>
        <v>5</v>
      </c>
      <c r="AB670" s="84"/>
    </row>
    <row r="671" customFormat="false" ht="15.75" hidden="false" customHeight="false" outlineLevel="0" collapsed="false">
      <c r="A671" s="12" t="str">
        <f aca="false">IF((AA671&gt;=4), "Y", "N")</f>
        <v>Y</v>
      </c>
      <c r="B671" s="13"/>
      <c r="C671" s="31" t="s">
        <v>2884</v>
      </c>
      <c r="D671" s="16" t="s">
        <v>94</v>
      </c>
      <c r="E671" s="32" t="s">
        <v>2885</v>
      </c>
      <c r="F671" s="32" t="s">
        <v>2886</v>
      </c>
      <c r="G671" s="32" t="s">
        <v>458</v>
      </c>
      <c r="H671" s="26" t="s">
        <v>444</v>
      </c>
      <c r="I671" s="17" t="s">
        <v>36</v>
      </c>
      <c r="J671" s="32" t="s">
        <v>58</v>
      </c>
      <c r="K671" s="33" t="n">
        <v>2013</v>
      </c>
      <c r="L671" s="33" t="s">
        <v>109</v>
      </c>
      <c r="M671" s="27"/>
      <c r="N671" s="17" t="s">
        <v>478</v>
      </c>
      <c r="O671" s="17"/>
      <c r="P671" s="19" t="s">
        <v>76</v>
      </c>
      <c r="R671" s="0" t="s">
        <v>2887</v>
      </c>
      <c r="T671" s="0" t="s">
        <v>2888</v>
      </c>
      <c r="V671" s="21" t="s">
        <v>31</v>
      </c>
      <c r="AA671" s="22" t="str">
        <f aca="false">IF(P671="OD500 US (submitted)", "5", " ")</f>
        <v>5</v>
      </c>
      <c r="AB671" s="84"/>
    </row>
    <row r="672" customFormat="false" ht="15.75" hidden="false" customHeight="false" outlineLevel="0" collapsed="false">
      <c r="A672" s="12" t="str">
        <f aca="false">IF((AA672&gt;=4), "Y", "N")</f>
        <v>Y</v>
      </c>
      <c r="B672" s="13"/>
      <c r="C672" s="31" t="s">
        <v>2889</v>
      </c>
      <c r="D672" s="16" t="s">
        <v>94</v>
      </c>
      <c r="E672" s="32" t="s">
        <v>2890</v>
      </c>
      <c r="F672" s="32" t="s">
        <v>2891</v>
      </c>
      <c r="G672" s="32" t="s">
        <v>368</v>
      </c>
      <c r="H672" s="26" t="s">
        <v>369</v>
      </c>
      <c r="I672" s="17" t="s">
        <v>36</v>
      </c>
      <c r="J672" s="32" t="s">
        <v>58</v>
      </c>
      <c r="K672" s="33" t="n">
        <v>2004</v>
      </c>
      <c r="L672" s="33" t="s">
        <v>109</v>
      </c>
      <c r="M672" s="27"/>
      <c r="N672" s="37" t="s">
        <v>2892</v>
      </c>
      <c r="O672" s="17"/>
      <c r="P672" s="19" t="s">
        <v>76</v>
      </c>
      <c r="Q672" s="20"/>
      <c r="R672" s="20" t="s">
        <v>2893</v>
      </c>
      <c r="S672" s="20"/>
      <c r="T672" s="20" t="s">
        <v>2894</v>
      </c>
      <c r="U672" s="20"/>
      <c r="V672" s="21" t="s">
        <v>31</v>
      </c>
      <c r="Z672" s="20"/>
      <c r="AA672" s="22" t="str">
        <f aca="false">IF(P672="OD500 US (submitted)", "5", " ")</f>
        <v>5</v>
      </c>
      <c r="AB672" s="84"/>
      <c r="AC672" s="20"/>
      <c r="AD672" s="20"/>
      <c r="AE672" s="20"/>
    </row>
    <row r="673" customFormat="false" ht="15.75" hidden="false" customHeight="false" outlineLevel="0" collapsed="false">
      <c r="A673" s="12"/>
      <c r="B673" s="54"/>
      <c r="C673" s="55" t="s">
        <v>2895</v>
      </c>
      <c r="D673" s="24"/>
      <c r="E673" s="57" t="s">
        <v>2896</v>
      </c>
      <c r="F673" s="15" t="s">
        <v>2897</v>
      </c>
      <c r="G673" s="15"/>
      <c r="H673" s="15"/>
      <c r="I673" s="26" t="s">
        <v>1644</v>
      </c>
      <c r="J673" s="15" t="s">
        <v>58</v>
      </c>
      <c r="K673" s="17"/>
      <c r="L673" s="17"/>
      <c r="M673" s="18"/>
      <c r="N673" s="17"/>
      <c r="O673" s="17"/>
      <c r="P673" s="19" t="s">
        <v>39</v>
      </c>
      <c r="Q673" s="12"/>
      <c r="R673" s="12" t="s">
        <v>2898</v>
      </c>
      <c r="S673" s="12"/>
      <c r="T673" s="12" t="s">
        <v>2899</v>
      </c>
      <c r="U673" s="12"/>
      <c r="V673" s="21" t="s">
        <v>31</v>
      </c>
      <c r="Z673" s="12"/>
      <c r="AA673" s="29"/>
      <c r="AB673" s="18" t="s">
        <v>2900</v>
      </c>
      <c r="AC673" s="12"/>
      <c r="AD673" s="12"/>
      <c r="AE673" s="12"/>
    </row>
    <row r="674" customFormat="false" ht="15.75" hidden="false" customHeight="false" outlineLevel="0" collapsed="false">
      <c r="A674" s="12" t="str">
        <f aca="false">IF((AA674&gt;=4), "Y", "N")</f>
        <v>Y</v>
      </c>
      <c r="B674" s="13"/>
      <c r="C674" s="31" t="s">
        <v>2901</v>
      </c>
      <c r="D674" s="24" t="s">
        <v>94</v>
      </c>
      <c r="E674" s="32" t="s">
        <v>2902</v>
      </c>
      <c r="F674" s="17"/>
      <c r="G674" s="17"/>
      <c r="H674" s="17"/>
      <c r="I674" s="26" t="s">
        <v>266</v>
      </c>
      <c r="J674" s="32" t="s">
        <v>58</v>
      </c>
      <c r="K674" s="33" t="n">
        <v>2008</v>
      </c>
      <c r="L674" s="33" t="s">
        <v>73</v>
      </c>
      <c r="M674" s="27"/>
      <c r="N674" s="17" t="s">
        <v>2903</v>
      </c>
      <c r="O674" s="17"/>
      <c r="P674" s="40" t="s">
        <v>268</v>
      </c>
      <c r="Q674" s="12"/>
      <c r="R674" s="12"/>
      <c r="S674" s="12"/>
      <c r="T674" s="12"/>
      <c r="U674" s="12"/>
      <c r="V674" s="21"/>
      <c r="Z674" s="12"/>
      <c r="AA674" s="29" t="str">
        <f aca="false">IF(P674="OD500 MX", "5", " ")</f>
        <v>5</v>
      </c>
      <c r="AB674" s="70"/>
      <c r="AC674" s="12"/>
      <c r="AD674" s="12"/>
      <c r="AE674" s="12"/>
    </row>
    <row r="675" customFormat="false" ht="15.75" hidden="false" customHeight="false" outlineLevel="0" collapsed="false">
      <c r="A675" s="12"/>
      <c r="B675" s="54"/>
      <c r="C675" s="55" t="s">
        <v>2904</v>
      </c>
      <c r="D675" s="15"/>
      <c r="E675" s="16" t="s">
        <v>2905</v>
      </c>
      <c r="F675" s="15" t="s">
        <v>2906</v>
      </c>
      <c r="G675" s="15"/>
      <c r="H675" s="15"/>
      <c r="I675" s="26" t="s">
        <v>209</v>
      </c>
      <c r="J675" s="15" t="s">
        <v>58</v>
      </c>
      <c r="K675" s="15" t="n">
        <v>2014</v>
      </c>
      <c r="L675" s="17"/>
      <c r="M675" s="18"/>
      <c r="N675" s="17"/>
      <c r="O675" s="17"/>
      <c r="P675" s="19" t="s">
        <v>39</v>
      </c>
      <c r="Q675" s="12"/>
      <c r="R675" s="12" t="s">
        <v>2907</v>
      </c>
      <c r="S675" s="12"/>
      <c r="T675" s="12" t="s">
        <v>2908</v>
      </c>
      <c r="U675" s="12"/>
      <c r="V675" s="21" t="s">
        <v>31</v>
      </c>
      <c r="Z675" s="12"/>
      <c r="AA675" s="29"/>
      <c r="AB675" s="18" t="s">
        <v>2909</v>
      </c>
      <c r="AC675" s="12"/>
      <c r="AD675" s="12"/>
      <c r="AE675" s="12"/>
    </row>
    <row r="676" customFormat="false" ht="15.75" hidden="false" customHeight="false" outlineLevel="0" collapsed="false">
      <c r="A676" s="12" t="str">
        <f aca="false">IF((AA676&gt;=4), "Y", "N")</f>
        <v>Y</v>
      </c>
      <c r="B676" s="12"/>
      <c r="C676" s="23" t="s">
        <v>2910</v>
      </c>
      <c r="D676" s="24" t="s">
        <v>94</v>
      </c>
      <c r="E676" s="25" t="s">
        <v>2911</v>
      </c>
      <c r="F676" s="17" t="s">
        <v>2912</v>
      </c>
      <c r="G676" s="17" t="s">
        <v>1611</v>
      </c>
      <c r="H676" s="17" t="s">
        <v>297</v>
      </c>
      <c r="I676" s="17" t="s">
        <v>36</v>
      </c>
      <c r="J676" s="17" t="s">
        <v>58</v>
      </c>
      <c r="K676" s="17" t="n">
        <v>2012</v>
      </c>
      <c r="L676" s="38" t="s">
        <v>109</v>
      </c>
      <c r="M676" s="27"/>
      <c r="N676" s="17" t="s">
        <v>2913</v>
      </c>
      <c r="O676" s="17"/>
      <c r="P676" s="40" t="s">
        <v>111</v>
      </c>
      <c r="Q676" s="12"/>
      <c r="R676" s="12"/>
      <c r="S676" s="12"/>
      <c r="T676" s="12"/>
      <c r="U676" s="12"/>
      <c r="V676" s="21"/>
      <c r="Z676" s="12"/>
      <c r="AA676" s="29" t="n">
        <v>5</v>
      </c>
      <c r="AB676" s="84"/>
      <c r="AC676" s="12"/>
      <c r="AD676" s="12"/>
      <c r="AE676" s="12"/>
    </row>
    <row r="677" customFormat="false" ht="15.75" hidden="false" customHeight="false" outlineLevel="0" collapsed="false">
      <c r="A677" s="12" t="str">
        <f aca="false">IF((AA677&gt;=4), "Y", "N")</f>
        <v>Y</v>
      </c>
      <c r="B677" s="13"/>
      <c r="C677" s="31" t="s">
        <v>2914</v>
      </c>
      <c r="D677" s="24" t="s">
        <v>94</v>
      </c>
      <c r="E677" s="32" t="s">
        <v>2915</v>
      </c>
      <c r="F677" s="17"/>
      <c r="G677" s="17"/>
      <c r="H677" s="17"/>
      <c r="I677" s="26" t="s">
        <v>266</v>
      </c>
      <c r="J677" s="32" t="s">
        <v>58</v>
      </c>
      <c r="K677" s="33" t="n">
        <v>2014</v>
      </c>
      <c r="L677" s="33" t="s">
        <v>109</v>
      </c>
      <c r="M677" s="27"/>
      <c r="N677" s="17" t="s">
        <v>2916</v>
      </c>
      <c r="O677" s="17"/>
      <c r="P677" s="40" t="s">
        <v>268</v>
      </c>
      <c r="Q677" s="12"/>
      <c r="R677" s="12"/>
      <c r="S677" s="12"/>
      <c r="T677" s="12"/>
      <c r="U677" s="12"/>
      <c r="V677" s="21"/>
      <c r="Z677" s="12"/>
      <c r="AA677" s="29" t="str">
        <f aca="false">IF(P677="OD500 MX", "5", " ")</f>
        <v>5</v>
      </c>
      <c r="AB677" s="70"/>
      <c r="AC677" s="12"/>
      <c r="AD677" s="12"/>
      <c r="AE677" s="12"/>
    </row>
    <row r="678" customFormat="false" ht="15.75" hidden="false" customHeight="false" outlineLevel="0" collapsed="false">
      <c r="A678" s="12" t="str">
        <f aca="false">IF((AA678&gt;=4), "Y", "N")</f>
        <v>Y</v>
      </c>
      <c r="B678" s="13"/>
      <c r="C678" s="31" t="s">
        <v>2917</v>
      </c>
      <c r="D678" s="16" t="s">
        <v>94</v>
      </c>
      <c r="E678" s="32" t="s">
        <v>2918</v>
      </c>
      <c r="F678" s="32" t="s">
        <v>2919</v>
      </c>
      <c r="G678" s="32" t="s">
        <v>71</v>
      </c>
      <c r="H678" s="17" t="s">
        <v>72</v>
      </c>
      <c r="I678" s="17" t="s">
        <v>36</v>
      </c>
      <c r="J678" s="32" t="s">
        <v>58</v>
      </c>
      <c r="K678" s="33" t="n">
        <v>2011</v>
      </c>
      <c r="L678" s="33" t="s">
        <v>99</v>
      </c>
      <c r="M678" s="27"/>
      <c r="N678" s="17" t="s">
        <v>478</v>
      </c>
      <c r="O678" s="17"/>
      <c r="P678" s="19" t="s">
        <v>76</v>
      </c>
      <c r="Q678" s="12"/>
      <c r="R678" s="12" t="s">
        <v>2920</v>
      </c>
      <c r="S678" s="12"/>
      <c r="T678" s="12" t="s">
        <v>2921</v>
      </c>
      <c r="U678" s="12"/>
      <c r="V678" s="21" t="s">
        <v>31</v>
      </c>
      <c r="Z678" s="12"/>
      <c r="AA678" s="22" t="str">
        <f aca="false">IF(P678="OD500 US (submitted)", "5", " ")</f>
        <v>5</v>
      </c>
      <c r="AB678" s="84"/>
      <c r="AC678" s="12"/>
      <c r="AD678" s="12"/>
      <c r="AE678" s="12"/>
    </row>
    <row r="679" customFormat="false" ht="15.75" hidden="false" customHeight="false" outlineLevel="0" collapsed="false">
      <c r="A679" s="12" t="str">
        <f aca="false">IF((AA679&gt;=4), "Y", "N")</f>
        <v>Y</v>
      </c>
      <c r="B679" s="13"/>
      <c r="C679" s="31" t="s">
        <v>2922</v>
      </c>
      <c r="D679" s="16" t="s">
        <v>94</v>
      </c>
      <c r="E679" s="32" t="s">
        <v>2923</v>
      </c>
      <c r="F679" s="32" t="s">
        <v>2924</v>
      </c>
      <c r="G679" s="32" t="s">
        <v>946</v>
      </c>
      <c r="H679" s="17" t="s">
        <v>353</v>
      </c>
      <c r="I679" s="17" t="s">
        <v>36</v>
      </c>
      <c r="J679" s="32" t="s">
        <v>58</v>
      </c>
      <c r="K679" s="33" t="n">
        <v>2012</v>
      </c>
      <c r="L679" s="33" t="s">
        <v>109</v>
      </c>
      <c r="M679" s="27"/>
      <c r="N679" s="37" t="s">
        <v>2267</v>
      </c>
      <c r="O679" s="17"/>
      <c r="P679" s="19" t="s">
        <v>76</v>
      </c>
      <c r="Q679" s="20"/>
      <c r="R679" s="20" t="s">
        <v>2925</v>
      </c>
      <c r="S679" s="20"/>
      <c r="T679" s="20" t="s">
        <v>2926</v>
      </c>
      <c r="U679" s="20"/>
      <c r="V679" s="21" t="s">
        <v>31</v>
      </c>
      <c r="Z679" s="20"/>
      <c r="AA679" s="22" t="str">
        <f aca="false">IF(P679="OD500 US (submitted)", "5", " ")</f>
        <v>5</v>
      </c>
      <c r="AB679" s="84"/>
      <c r="AC679" s="20"/>
      <c r="AD679" s="20"/>
      <c r="AE679" s="20"/>
    </row>
    <row r="680" customFormat="false" ht="15.75" hidden="false" customHeight="false" outlineLevel="0" collapsed="false">
      <c r="A680" s="12" t="str">
        <f aca="false">IF((AA680&gt;=4), "Y", "N")</f>
        <v>Y</v>
      </c>
      <c r="B680" s="13"/>
      <c r="C680" s="31" t="s">
        <v>2927</v>
      </c>
      <c r="D680" s="16" t="s">
        <v>94</v>
      </c>
      <c r="E680" s="32" t="s">
        <v>2928</v>
      </c>
      <c r="F680" s="32" t="s">
        <v>2929</v>
      </c>
      <c r="G680" s="32" t="s">
        <v>2930</v>
      </c>
      <c r="H680" s="17" t="s">
        <v>477</v>
      </c>
      <c r="I680" s="17" t="s">
        <v>36</v>
      </c>
      <c r="J680" s="32" t="s">
        <v>58</v>
      </c>
      <c r="K680" s="33" t="n">
        <v>2011</v>
      </c>
      <c r="L680" s="33"/>
      <c r="M680" s="27"/>
      <c r="N680" s="37" t="s">
        <v>663</v>
      </c>
      <c r="O680" s="17"/>
      <c r="P680" s="19" t="s">
        <v>76</v>
      </c>
      <c r="Q680" s="20"/>
      <c r="R680" s="20" t="s">
        <v>2931</v>
      </c>
      <c r="S680" s="20"/>
      <c r="T680" s="20" t="s">
        <v>2932</v>
      </c>
      <c r="U680" s="20"/>
      <c r="V680" s="21" t="s">
        <v>31</v>
      </c>
      <c r="Z680" s="20"/>
      <c r="AA680" s="22" t="str">
        <f aca="false">IF(P680="OD500 US (submitted)", "5", " ")</f>
        <v>5</v>
      </c>
      <c r="AB680" s="84"/>
      <c r="AC680" s="20"/>
      <c r="AD680" s="20"/>
      <c r="AE680" s="20"/>
    </row>
    <row r="681" customFormat="false" ht="15.75" hidden="false" customHeight="false" outlineLevel="0" collapsed="false">
      <c r="A681" s="12" t="str">
        <f aca="false">IF((AA681&gt;=4), "Y", "N")</f>
        <v>Y</v>
      </c>
      <c r="B681" s="12"/>
      <c r="C681" s="23" t="s">
        <v>2933</v>
      </c>
      <c r="D681" s="24" t="s">
        <v>94</v>
      </c>
      <c r="E681" s="25" t="s">
        <v>2934</v>
      </c>
      <c r="F681" s="17" t="s">
        <v>2935</v>
      </c>
      <c r="G681" s="17" t="s">
        <v>71</v>
      </c>
      <c r="H681" s="17" t="s">
        <v>72</v>
      </c>
      <c r="I681" s="17" t="s">
        <v>36</v>
      </c>
      <c r="J681" s="17" t="s">
        <v>58</v>
      </c>
      <c r="K681" s="17" t="n">
        <v>1999</v>
      </c>
      <c r="L681" s="38" t="s">
        <v>73</v>
      </c>
      <c r="M681" s="27"/>
      <c r="N681" s="17" t="s">
        <v>2913</v>
      </c>
      <c r="O681" s="17"/>
      <c r="P681" s="40" t="s">
        <v>111</v>
      </c>
      <c r="Q681" s="12"/>
      <c r="R681" s="12"/>
      <c r="S681" s="12"/>
      <c r="T681" s="12"/>
      <c r="U681" s="12"/>
      <c r="V681" s="21"/>
      <c r="Z681" s="12"/>
      <c r="AA681" s="29" t="n">
        <v>5</v>
      </c>
      <c r="AB681" s="84"/>
      <c r="AC681" s="12"/>
      <c r="AD681" s="12"/>
      <c r="AE681" s="12"/>
    </row>
    <row r="682" customFormat="false" ht="15.75" hidden="false" customHeight="false" outlineLevel="0" collapsed="false">
      <c r="A682" s="12" t="str">
        <f aca="false">IF((AA682&gt;=4), "Y", "N")</f>
        <v>Y</v>
      </c>
      <c r="B682" s="13"/>
      <c r="C682" s="31" t="s">
        <v>2936</v>
      </c>
      <c r="D682" s="16" t="s">
        <v>51</v>
      </c>
      <c r="E682" s="32" t="s">
        <v>2937</v>
      </c>
      <c r="F682" s="32" t="s">
        <v>2938</v>
      </c>
      <c r="G682" s="32" t="s">
        <v>368</v>
      </c>
      <c r="H682" s="17" t="s">
        <v>369</v>
      </c>
      <c r="I682" s="17" t="s">
        <v>36</v>
      </c>
      <c r="J682" s="32" t="s">
        <v>58</v>
      </c>
      <c r="K682" s="33" t="n">
        <v>1994</v>
      </c>
      <c r="L682" s="33" t="s">
        <v>73</v>
      </c>
      <c r="M682" s="27"/>
      <c r="N682" s="39" t="s">
        <v>354</v>
      </c>
      <c r="O682" s="17"/>
      <c r="P682" s="19" t="s">
        <v>76</v>
      </c>
      <c r="Q682" s="20"/>
      <c r="R682" s="20" t="s">
        <v>2939</v>
      </c>
      <c r="S682" s="20"/>
      <c r="T682" s="20" t="s">
        <v>2940</v>
      </c>
      <c r="U682" s="20"/>
      <c r="V682" s="21" t="s">
        <v>31</v>
      </c>
      <c r="Z682" s="20"/>
      <c r="AA682" s="22" t="str">
        <f aca="false">IF(P682="OD500 US (submitted)", "5", " ")</f>
        <v>5</v>
      </c>
      <c r="AB682" s="84"/>
      <c r="AC682" s="20"/>
      <c r="AD682" s="20"/>
      <c r="AE682" s="20"/>
    </row>
    <row r="683" customFormat="false" ht="15.75" hidden="false" customHeight="false" outlineLevel="0" collapsed="false">
      <c r="A683" s="12" t="str">
        <f aca="false">IF((AA683&gt;=4), "Y", "N")</f>
        <v>Y</v>
      </c>
      <c r="B683" s="13"/>
      <c r="C683" s="31" t="s">
        <v>2941</v>
      </c>
      <c r="D683" s="16" t="s">
        <v>94</v>
      </c>
      <c r="E683" s="32" t="s">
        <v>2942</v>
      </c>
      <c r="F683" s="32" t="s">
        <v>2943</v>
      </c>
      <c r="G683" s="32" t="s">
        <v>368</v>
      </c>
      <c r="H683" s="26" t="s">
        <v>369</v>
      </c>
      <c r="I683" s="17" t="s">
        <v>36</v>
      </c>
      <c r="J683" s="32" t="s">
        <v>58</v>
      </c>
      <c r="K683" s="33" t="n">
        <v>2006</v>
      </c>
      <c r="L683" s="33" t="s">
        <v>109</v>
      </c>
      <c r="M683" s="27"/>
      <c r="N683" s="17" t="s">
        <v>919</v>
      </c>
      <c r="O683" s="17"/>
      <c r="P683" s="19" t="s">
        <v>76</v>
      </c>
      <c r="Q683" s="12"/>
      <c r="R683" s="12" t="s">
        <v>2944</v>
      </c>
      <c r="S683" s="12"/>
      <c r="T683" s="12" t="s">
        <v>2945</v>
      </c>
      <c r="U683" s="12"/>
      <c r="V683" s="21" t="s">
        <v>31</v>
      </c>
      <c r="Z683" s="12"/>
      <c r="AA683" s="22" t="str">
        <f aca="false">IF(P683="OD500 US (submitted)", "5", " ")</f>
        <v>5</v>
      </c>
      <c r="AB683" s="84"/>
      <c r="AC683" s="12"/>
      <c r="AD683" s="12"/>
      <c r="AE683" s="12"/>
    </row>
    <row r="684" customFormat="false" ht="15.75" hidden="false" customHeight="false" outlineLevel="0" collapsed="false">
      <c r="A684" s="12" t="str">
        <f aca="false">IF((AA684&gt;=4), "Y", "N")</f>
        <v>Y</v>
      </c>
      <c r="B684" s="13"/>
      <c r="C684" s="31" t="s">
        <v>2946</v>
      </c>
      <c r="D684" s="16" t="s">
        <v>94</v>
      </c>
      <c r="E684" s="32" t="s">
        <v>2947</v>
      </c>
      <c r="F684" s="32" t="s">
        <v>2948</v>
      </c>
      <c r="G684" s="32" t="s">
        <v>2475</v>
      </c>
      <c r="H684" s="26" t="s">
        <v>1030</v>
      </c>
      <c r="I684" s="17" t="s">
        <v>36</v>
      </c>
      <c r="J684" s="32" t="s">
        <v>58</v>
      </c>
      <c r="K684" s="33" t="n">
        <v>2011</v>
      </c>
      <c r="L684" s="33" t="s">
        <v>109</v>
      </c>
      <c r="M684" s="27"/>
      <c r="N684" s="17" t="s">
        <v>2858</v>
      </c>
      <c r="O684" s="17"/>
      <c r="P684" s="19" t="s">
        <v>76</v>
      </c>
      <c r="Q684" s="12"/>
      <c r="R684" s="12" t="s">
        <v>2949</v>
      </c>
      <c r="S684" s="12"/>
      <c r="T684" s="12" t="s">
        <v>2950</v>
      </c>
      <c r="U684" s="12"/>
      <c r="V684" s="21" t="s">
        <v>31</v>
      </c>
      <c r="Z684" s="12"/>
      <c r="AA684" s="22" t="str">
        <f aca="false">IF(P684="OD500 US (submitted)", "5", " ")</f>
        <v>5</v>
      </c>
      <c r="AB684" s="84"/>
      <c r="AC684" s="12"/>
      <c r="AD684" s="12"/>
      <c r="AE684" s="12"/>
    </row>
    <row r="685" customFormat="false" ht="15.75" hidden="false" customHeight="false" outlineLevel="0" collapsed="false">
      <c r="A685" s="12" t="str">
        <f aca="false">IF((AA685&gt;=4), "Y", "N")</f>
        <v>Y</v>
      </c>
      <c r="B685" s="12"/>
      <c r="C685" s="23" t="s">
        <v>2951</v>
      </c>
      <c r="D685" s="24" t="s">
        <v>94</v>
      </c>
      <c r="E685" s="25" t="s">
        <v>2952</v>
      </c>
      <c r="F685" s="17" t="s">
        <v>2953</v>
      </c>
      <c r="G685" s="17" t="s">
        <v>368</v>
      </c>
      <c r="H685" s="26" t="s">
        <v>369</v>
      </c>
      <c r="I685" s="17" t="s">
        <v>36</v>
      </c>
      <c r="J685" s="17" t="s">
        <v>58</v>
      </c>
      <c r="K685" s="17" t="n">
        <v>2006</v>
      </c>
      <c r="L685" s="38" t="s">
        <v>109</v>
      </c>
      <c r="M685" s="27"/>
      <c r="N685" s="39" t="s">
        <v>2913</v>
      </c>
      <c r="O685" s="17"/>
      <c r="P685" s="40" t="s">
        <v>111</v>
      </c>
      <c r="Q685" s="17"/>
      <c r="R685" s="17"/>
      <c r="S685" s="17"/>
      <c r="T685" s="17"/>
      <c r="U685" s="17"/>
      <c r="V685" s="27"/>
      <c r="Z685" s="17"/>
      <c r="AA685" s="29" t="n">
        <v>5</v>
      </c>
      <c r="AB685" s="84"/>
      <c r="AC685" s="17"/>
      <c r="AD685" s="17"/>
      <c r="AE685" s="17"/>
    </row>
    <row r="686" customFormat="false" ht="15.75" hidden="false" customHeight="false" outlineLevel="0" collapsed="false">
      <c r="A686" s="12" t="s">
        <v>31</v>
      </c>
      <c r="B686" s="12" t="s">
        <v>32</v>
      </c>
      <c r="C686" s="23" t="s">
        <v>2954</v>
      </c>
      <c r="D686" s="24" t="s">
        <v>51</v>
      </c>
      <c r="E686" s="25" t="s">
        <v>2955</v>
      </c>
      <c r="F686" s="17" t="s">
        <v>2956</v>
      </c>
      <c r="G686" s="17" t="s">
        <v>2957</v>
      </c>
      <c r="H686" s="17"/>
      <c r="I686" s="26" t="s">
        <v>2958</v>
      </c>
      <c r="J686" s="17" t="s">
        <v>58</v>
      </c>
      <c r="K686" s="17"/>
      <c r="L686" s="17"/>
      <c r="M686" s="27" t="s">
        <v>58</v>
      </c>
      <c r="N686" s="17" t="s">
        <v>2959</v>
      </c>
      <c r="P686" s="28" t="s">
        <v>59</v>
      </c>
      <c r="Q686" s="20"/>
      <c r="R686" s="20"/>
      <c r="S686" s="20"/>
      <c r="T686" s="20"/>
      <c r="U686" s="20"/>
      <c r="V686" s="45"/>
      <c r="Z686" s="20"/>
      <c r="AA686" s="22" t="n">
        <v>4</v>
      </c>
      <c r="AB686" s="20"/>
      <c r="AC686" s="20"/>
      <c r="AD686" s="20"/>
      <c r="AE686" s="20"/>
    </row>
    <row r="687" customFormat="false" ht="15.75" hidden="false" customHeight="false" outlineLevel="0" collapsed="false">
      <c r="A687" s="12" t="str">
        <f aca="false">IF((AA687&gt;=4), "Y", "N")</f>
        <v>Y</v>
      </c>
      <c r="B687" s="13"/>
      <c r="C687" s="31" t="s">
        <v>2960</v>
      </c>
      <c r="D687" s="16" t="s">
        <v>94</v>
      </c>
      <c r="E687" s="32" t="s">
        <v>2961</v>
      </c>
      <c r="F687" s="32" t="s">
        <v>2962</v>
      </c>
      <c r="G687" s="32" t="s">
        <v>2963</v>
      </c>
      <c r="H687" s="26" t="s">
        <v>98</v>
      </c>
      <c r="I687" s="17" t="s">
        <v>36</v>
      </c>
      <c r="J687" s="32" t="s">
        <v>58</v>
      </c>
      <c r="K687" s="33" t="n">
        <v>2010</v>
      </c>
      <c r="L687" s="33" t="s">
        <v>109</v>
      </c>
      <c r="M687" s="27"/>
      <c r="N687" s="39" t="s">
        <v>2964</v>
      </c>
      <c r="O687" s="17"/>
      <c r="P687" s="19" t="s">
        <v>76</v>
      </c>
      <c r="Q687" s="12"/>
      <c r="R687" s="12" t="s">
        <v>2965</v>
      </c>
      <c r="S687" s="12"/>
      <c r="T687" s="12" t="s">
        <v>2966</v>
      </c>
      <c r="U687" s="12"/>
      <c r="V687" s="21" t="s">
        <v>31</v>
      </c>
      <c r="Z687" s="12"/>
      <c r="AA687" s="22" t="str">
        <f aca="false">IF(P687="OD500 US (submitted)", "5", " ")</f>
        <v>5</v>
      </c>
      <c r="AB687" s="84"/>
      <c r="AC687" s="12"/>
      <c r="AD687" s="12"/>
      <c r="AE687" s="12"/>
    </row>
    <row r="688" customFormat="false" ht="15.75" hidden="false" customHeight="false" outlineLevel="0" collapsed="false">
      <c r="A688" s="12" t="str">
        <f aca="false">IF((AA688&gt;=4), "Y", "N")</f>
        <v>Y</v>
      </c>
      <c r="B688" s="13"/>
      <c r="C688" s="31" t="s">
        <v>2967</v>
      </c>
      <c r="D688" s="16" t="s">
        <v>94</v>
      </c>
      <c r="E688" s="32" t="s">
        <v>2968</v>
      </c>
      <c r="F688" s="32" t="s">
        <v>2969</v>
      </c>
      <c r="G688" s="32" t="s">
        <v>2970</v>
      </c>
      <c r="H688" s="26" t="s">
        <v>72</v>
      </c>
      <c r="I688" s="17" t="s">
        <v>36</v>
      </c>
      <c r="J688" s="32" t="s">
        <v>58</v>
      </c>
      <c r="K688" s="33" t="n">
        <v>2008</v>
      </c>
      <c r="L688" s="33" t="s">
        <v>99</v>
      </c>
      <c r="M688" s="27"/>
      <c r="N688" s="39" t="s">
        <v>2858</v>
      </c>
      <c r="O688" s="17"/>
      <c r="P688" s="19" t="s">
        <v>76</v>
      </c>
      <c r="Q688" s="17"/>
      <c r="R688" s="17" t="s">
        <v>2971</v>
      </c>
      <c r="S688" s="17"/>
      <c r="T688" s="17" t="s">
        <v>2972</v>
      </c>
      <c r="U688" s="17"/>
      <c r="V688" s="21" t="s">
        <v>31</v>
      </c>
      <c r="Z688" s="17"/>
      <c r="AA688" s="22" t="str">
        <f aca="false">IF(P688="OD500 US (submitted)", "5", " ")</f>
        <v>5</v>
      </c>
      <c r="AB688" s="84"/>
      <c r="AC688" s="17"/>
      <c r="AD688" s="17"/>
      <c r="AE688" s="17"/>
    </row>
    <row r="689" customFormat="false" ht="15.75" hidden="false" customHeight="false" outlineLevel="0" collapsed="false">
      <c r="A689" s="12" t="str">
        <f aca="false">IF((AA689&gt;=4), "Y", "N")</f>
        <v>Y</v>
      </c>
      <c r="B689" s="13"/>
      <c r="C689" s="31" t="s">
        <v>2973</v>
      </c>
      <c r="D689" s="16" t="s">
        <v>94</v>
      </c>
      <c r="E689" s="32" t="s">
        <v>2974</v>
      </c>
      <c r="F689" s="32" t="s">
        <v>2975</v>
      </c>
      <c r="G689" s="32" t="s">
        <v>145</v>
      </c>
      <c r="H689" s="26" t="s">
        <v>146</v>
      </c>
      <c r="I689" s="17" t="s">
        <v>36</v>
      </c>
      <c r="J689" s="32" t="s">
        <v>58</v>
      </c>
      <c r="K689" s="33" t="n">
        <v>2011</v>
      </c>
      <c r="L689" s="33" t="s">
        <v>99</v>
      </c>
      <c r="M689" s="27"/>
      <c r="N689" s="39" t="s">
        <v>2976</v>
      </c>
      <c r="O689" s="17"/>
      <c r="P689" s="19" t="s">
        <v>76</v>
      </c>
      <c r="Q689" s="12"/>
      <c r="R689" s="12" t="s">
        <v>2977</v>
      </c>
      <c r="S689" s="12"/>
      <c r="T689" s="12" t="s">
        <v>2978</v>
      </c>
      <c r="U689" s="12"/>
      <c r="V689" s="21" t="s">
        <v>31</v>
      </c>
      <c r="Z689" s="12"/>
      <c r="AA689" s="22" t="str">
        <f aca="false">IF(P689="OD500 US (submitted)", "5", " ")</f>
        <v>5</v>
      </c>
      <c r="AB689" s="84"/>
      <c r="AC689" s="12"/>
      <c r="AD689" s="12"/>
      <c r="AE689" s="12"/>
    </row>
    <row r="690" customFormat="false" ht="15.75" hidden="false" customHeight="false" outlineLevel="0" collapsed="false">
      <c r="A690" s="12" t="str">
        <f aca="false">IF((AA690&gt;=4), "Y", "N")</f>
        <v>Y</v>
      </c>
      <c r="B690" s="13"/>
      <c r="C690" s="31" t="s">
        <v>2979</v>
      </c>
      <c r="D690" s="16" t="s">
        <v>94</v>
      </c>
      <c r="E690" s="32" t="s">
        <v>2980</v>
      </c>
      <c r="F690" s="32" t="s">
        <v>2981</v>
      </c>
      <c r="G690" s="32" t="s">
        <v>302</v>
      </c>
      <c r="H690" s="26" t="s">
        <v>303</v>
      </c>
      <c r="I690" s="17" t="s">
        <v>36</v>
      </c>
      <c r="J690" s="32" t="s">
        <v>58</v>
      </c>
      <c r="K690" s="33" t="n">
        <v>2000</v>
      </c>
      <c r="L690" s="33" t="s">
        <v>73</v>
      </c>
      <c r="M690" s="27"/>
      <c r="N690" s="39" t="s">
        <v>478</v>
      </c>
      <c r="O690" s="17"/>
      <c r="P690" s="19" t="s">
        <v>76</v>
      </c>
      <c r="Q690" s="12"/>
      <c r="R690" s="12" t="s">
        <v>2982</v>
      </c>
      <c r="S690" s="12"/>
      <c r="T690" s="12" t="s">
        <v>2983</v>
      </c>
      <c r="U690" s="12"/>
      <c r="V690" s="21" t="s">
        <v>31</v>
      </c>
      <c r="Z690" s="12"/>
      <c r="AA690" s="63" t="s">
        <v>478</v>
      </c>
      <c r="AB690" s="84"/>
      <c r="AC690" s="12"/>
      <c r="AD690" s="12"/>
      <c r="AE690" s="12"/>
    </row>
    <row r="691" customFormat="false" ht="15.75" hidden="false" customHeight="false" outlineLevel="0" collapsed="false">
      <c r="A691" s="12" t="str">
        <f aca="false">IF((AA691&gt;=4), "Y", "N")</f>
        <v>Y</v>
      </c>
      <c r="B691" s="13"/>
      <c r="C691" s="31" t="s">
        <v>2984</v>
      </c>
      <c r="D691" s="16" t="s">
        <v>51</v>
      </c>
      <c r="E691" s="32" t="s">
        <v>2985</v>
      </c>
      <c r="F691" s="32" t="s">
        <v>2986</v>
      </c>
      <c r="G691" s="32"/>
      <c r="H691" s="26" t="s">
        <v>72</v>
      </c>
      <c r="I691" s="17" t="s">
        <v>36</v>
      </c>
      <c r="J691" s="32" t="s">
        <v>58</v>
      </c>
      <c r="K691" s="33" t="n">
        <v>2013</v>
      </c>
      <c r="L691" s="33" t="s">
        <v>109</v>
      </c>
      <c r="M691" s="27"/>
      <c r="N691" s="39" t="s">
        <v>377</v>
      </c>
      <c r="O691" s="17"/>
      <c r="P691" s="19" t="s">
        <v>76</v>
      </c>
      <c r="Q691" s="20"/>
      <c r="R691" s="20" t="s">
        <v>2987</v>
      </c>
      <c r="S691" s="20"/>
      <c r="T691" s="20" t="s">
        <v>2988</v>
      </c>
      <c r="U691" s="20"/>
      <c r="V691" s="21" t="s">
        <v>31</v>
      </c>
      <c r="Z691" s="20"/>
      <c r="AA691" s="22" t="str">
        <f aca="false">IF(P691="OD500 US (submitted)", "5", " ")</f>
        <v>5</v>
      </c>
      <c r="AB691" s="84"/>
      <c r="AC691" s="20"/>
      <c r="AD691" s="20"/>
      <c r="AE691" s="20"/>
    </row>
    <row r="692" customFormat="false" ht="15.75" hidden="false" customHeight="false" outlineLevel="0" collapsed="false">
      <c r="A692" s="12" t="str">
        <f aca="false">IF((AA692&gt;=4), "Y", "N")</f>
        <v>Y</v>
      </c>
      <c r="B692" s="13"/>
      <c r="C692" s="31" t="s">
        <v>2989</v>
      </c>
      <c r="D692" s="16" t="s">
        <v>94</v>
      </c>
      <c r="E692" s="32" t="s">
        <v>2990</v>
      </c>
      <c r="F692" s="32" t="s">
        <v>2991</v>
      </c>
      <c r="G692" s="32" t="s">
        <v>405</v>
      </c>
      <c r="H692" s="26" t="s">
        <v>72</v>
      </c>
      <c r="I692" s="17" t="s">
        <v>36</v>
      </c>
      <c r="J692" s="32" t="s">
        <v>58</v>
      </c>
      <c r="K692" s="33" t="n">
        <v>2012</v>
      </c>
      <c r="L692" s="33" t="s">
        <v>99</v>
      </c>
      <c r="M692" s="27"/>
      <c r="N692" s="39" t="s">
        <v>377</v>
      </c>
      <c r="O692" s="17"/>
      <c r="P692" s="19" t="s">
        <v>76</v>
      </c>
      <c r="Q692" s="20"/>
      <c r="R692" s="20" t="s">
        <v>2992</v>
      </c>
      <c r="S692" s="20"/>
      <c r="T692" s="20" t="s">
        <v>2993</v>
      </c>
      <c r="U692" s="20"/>
      <c r="V692" s="21" t="s">
        <v>31</v>
      </c>
      <c r="Z692" s="20"/>
      <c r="AA692" s="22" t="str">
        <f aca="false">IF(P692="OD500 US (submitted)", "5", " ")</f>
        <v>5</v>
      </c>
      <c r="AB692" s="84"/>
      <c r="AC692" s="20"/>
      <c r="AD692" s="20"/>
      <c r="AE692" s="20"/>
    </row>
    <row r="693" customFormat="false" ht="15.75" hidden="false" customHeight="false" outlineLevel="0" collapsed="false">
      <c r="A693" s="12" t="str">
        <f aca="false">IF((AA693&gt;=4), "Y", "N")</f>
        <v>Y</v>
      </c>
      <c r="B693" s="12"/>
      <c r="C693" s="23" t="s">
        <v>2994</v>
      </c>
      <c r="D693" s="24"/>
      <c r="E693" s="25" t="s">
        <v>2995</v>
      </c>
      <c r="F693" s="17" t="s">
        <v>2996</v>
      </c>
      <c r="G693" s="17" t="s">
        <v>145</v>
      </c>
      <c r="H693" s="26" t="s">
        <v>146</v>
      </c>
      <c r="I693" s="17" t="s">
        <v>36</v>
      </c>
      <c r="J693" s="17" t="s">
        <v>58</v>
      </c>
      <c r="K693" s="17" t="n">
        <v>1999</v>
      </c>
      <c r="L693" s="38" t="s">
        <v>99</v>
      </c>
      <c r="M693" s="27"/>
      <c r="N693" s="17" t="s">
        <v>377</v>
      </c>
      <c r="O693" s="17"/>
      <c r="P693" s="40" t="s">
        <v>111</v>
      </c>
      <c r="Q693" s="12"/>
      <c r="R693" s="12"/>
      <c r="S693" s="12"/>
      <c r="T693" s="12"/>
      <c r="U693" s="12"/>
      <c r="V693" s="21"/>
      <c r="Z693" s="12"/>
      <c r="AA693" s="29" t="n">
        <v>5</v>
      </c>
      <c r="AB693" s="84"/>
      <c r="AC693" s="12"/>
      <c r="AD693" s="12"/>
      <c r="AE693" s="12"/>
    </row>
    <row r="694" customFormat="false" ht="15.75" hidden="false" customHeight="false" outlineLevel="0" collapsed="false">
      <c r="A694" s="12"/>
      <c r="B694" s="13"/>
      <c r="C694" s="31" t="s">
        <v>2997</v>
      </c>
      <c r="D694" s="16" t="s">
        <v>51</v>
      </c>
      <c r="E694" s="32" t="s">
        <v>2998</v>
      </c>
      <c r="F694" s="32" t="s">
        <v>2999</v>
      </c>
      <c r="G694" s="32"/>
      <c r="H694" s="26" t="s">
        <v>341</v>
      </c>
      <c r="I694" s="17" t="s">
        <v>36</v>
      </c>
      <c r="J694" s="32" t="s">
        <v>58</v>
      </c>
      <c r="K694" s="33" t="n">
        <v>2013</v>
      </c>
      <c r="L694" s="33" t="s">
        <v>109</v>
      </c>
      <c r="M694" s="27"/>
      <c r="N694" s="39" t="s">
        <v>377</v>
      </c>
      <c r="O694" s="17"/>
      <c r="P694" s="19" t="s">
        <v>76</v>
      </c>
      <c r="Q694" s="20"/>
      <c r="R694" s="20" t="s">
        <v>3000</v>
      </c>
      <c r="S694" s="20"/>
      <c r="T694" s="20" t="s">
        <v>3001</v>
      </c>
      <c r="U694" s="20"/>
      <c r="V694" s="21" t="s">
        <v>31</v>
      </c>
      <c r="Z694" s="20"/>
      <c r="AA694" s="22" t="n">
        <v>3</v>
      </c>
      <c r="AB694" s="84"/>
      <c r="AC694" s="20"/>
      <c r="AD694" s="20"/>
      <c r="AE694" s="20"/>
    </row>
    <row r="695" customFormat="false" ht="15.75" hidden="false" customHeight="false" outlineLevel="0" collapsed="false">
      <c r="A695" s="12" t="str">
        <f aca="false">IF((AA695&gt;=4), "Y", "N")</f>
        <v>Y</v>
      </c>
      <c r="B695" s="12"/>
      <c r="C695" s="23" t="s">
        <v>3002</v>
      </c>
      <c r="D695" s="24" t="s">
        <v>94</v>
      </c>
      <c r="E695" s="25" t="s">
        <v>3003</v>
      </c>
      <c r="F695" s="17" t="s">
        <v>3004</v>
      </c>
      <c r="G695" s="17" t="s">
        <v>3005</v>
      </c>
      <c r="H695" s="26" t="s">
        <v>341</v>
      </c>
      <c r="I695" s="17" t="s">
        <v>36</v>
      </c>
      <c r="J695" s="17" t="s">
        <v>58</v>
      </c>
      <c r="K695" s="17" t="n">
        <v>2012</v>
      </c>
      <c r="L695" s="38" t="s">
        <v>330</v>
      </c>
      <c r="M695" s="27"/>
      <c r="N695" s="65" t="s">
        <v>315</v>
      </c>
      <c r="O695" s="17"/>
      <c r="P695" s="40" t="s">
        <v>111</v>
      </c>
      <c r="Q695" s="12"/>
      <c r="R695" s="12"/>
      <c r="S695" s="12"/>
      <c r="T695" s="12"/>
      <c r="U695" s="12"/>
      <c r="V695" s="21"/>
      <c r="Z695" s="12"/>
      <c r="AA695" s="29" t="n">
        <v>5</v>
      </c>
      <c r="AB695" s="84"/>
      <c r="AC695" s="12"/>
      <c r="AD695" s="12"/>
      <c r="AE695" s="12"/>
    </row>
    <row r="696" customFormat="false" ht="15.75" hidden="false" customHeight="false" outlineLevel="0" collapsed="false">
      <c r="A696" s="12" t="str">
        <f aca="false">IF((AA696&gt;=4), "Y", "N")</f>
        <v>Y</v>
      </c>
      <c r="B696" s="13"/>
      <c r="C696" s="31" t="s">
        <v>3006</v>
      </c>
      <c r="D696" s="24" t="s">
        <v>667</v>
      </c>
      <c r="E696" s="32" t="s">
        <v>3007</v>
      </c>
      <c r="F696" s="32" t="s">
        <v>3008</v>
      </c>
      <c r="G696" s="32" t="s">
        <v>145</v>
      </c>
      <c r="H696" s="26" t="s">
        <v>146</v>
      </c>
      <c r="I696" s="17" t="s">
        <v>36</v>
      </c>
      <c r="J696" s="32" t="s">
        <v>58</v>
      </c>
      <c r="K696" s="33" t="n">
        <v>2004</v>
      </c>
      <c r="L696" s="33" t="s">
        <v>109</v>
      </c>
      <c r="M696" s="27"/>
      <c r="N696" s="39" t="s">
        <v>478</v>
      </c>
      <c r="O696" s="17"/>
      <c r="P696" s="19" t="s">
        <v>76</v>
      </c>
      <c r="Q696" s="20"/>
      <c r="R696" s="20" t="s">
        <v>3009</v>
      </c>
      <c r="S696" s="20"/>
      <c r="T696" s="20" t="s">
        <v>3010</v>
      </c>
      <c r="U696" s="20"/>
      <c r="V696" s="21" t="s">
        <v>31</v>
      </c>
      <c r="Z696" s="20"/>
      <c r="AA696" s="22" t="str">
        <f aca="false">IF(P696="OD500 US (submitted)", "5", " ")</f>
        <v>5</v>
      </c>
      <c r="AB696" s="84"/>
      <c r="AC696" s="20"/>
      <c r="AD696" s="20"/>
      <c r="AE696" s="20"/>
    </row>
    <row r="697" customFormat="false" ht="15.75" hidden="false" customHeight="false" outlineLevel="0" collapsed="false">
      <c r="A697" s="12"/>
      <c r="B697" s="54"/>
      <c r="C697" s="55" t="s">
        <v>3011</v>
      </c>
      <c r="D697" s="24"/>
      <c r="E697" s="57" t="s">
        <v>3012</v>
      </c>
      <c r="F697" s="15" t="s">
        <v>3013</v>
      </c>
      <c r="G697" s="15"/>
      <c r="H697" s="15"/>
      <c r="I697" s="26" t="s">
        <v>543</v>
      </c>
      <c r="J697" s="15" t="s">
        <v>58</v>
      </c>
      <c r="K697" s="17"/>
      <c r="L697" s="17"/>
      <c r="M697" s="18"/>
      <c r="N697" s="17"/>
      <c r="O697" s="17"/>
      <c r="P697" s="19" t="s">
        <v>39</v>
      </c>
      <c r="Q697" s="12"/>
      <c r="R697" s="12" t="s">
        <v>3014</v>
      </c>
      <c r="S697" s="12"/>
      <c r="T697" s="12"/>
      <c r="U697" s="12"/>
      <c r="V697" s="21"/>
      <c r="Z697" s="12"/>
      <c r="AA697" s="29"/>
      <c r="AB697" s="18" t="s">
        <v>3015</v>
      </c>
      <c r="AC697" s="12"/>
      <c r="AD697" s="12"/>
      <c r="AE697" s="12"/>
    </row>
    <row r="698" customFormat="false" ht="15.75" hidden="false" customHeight="false" outlineLevel="0" collapsed="false">
      <c r="A698" s="12" t="str">
        <f aca="false">IF((AA698&gt;=4), "Y", "N")</f>
        <v>Y</v>
      </c>
      <c r="B698" s="12"/>
      <c r="C698" s="23" t="s">
        <v>3016</v>
      </c>
      <c r="D698" s="24" t="s">
        <v>94</v>
      </c>
      <c r="E698" s="25" t="s">
        <v>3017</v>
      </c>
      <c r="F698" s="17" t="s">
        <v>3018</v>
      </c>
      <c r="G698" s="17" t="s">
        <v>988</v>
      </c>
      <c r="H698" s="26" t="s">
        <v>72</v>
      </c>
      <c r="I698" s="17" t="s">
        <v>36</v>
      </c>
      <c r="J698" s="17" t="s">
        <v>58</v>
      </c>
      <c r="K698" s="17" t="n">
        <v>2011</v>
      </c>
      <c r="L698" s="38" t="s">
        <v>109</v>
      </c>
      <c r="M698" s="27"/>
      <c r="N698" s="39" t="s">
        <v>354</v>
      </c>
      <c r="O698" s="17"/>
      <c r="P698" s="40" t="s">
        <v>111</v>
      </c>
      <c r="Q698" s="12"/>
      <c r="R698" s="12"/>
      <c r="S698" s="12"/>
      <c r="T698" s="12"/>
      <c r="U698" s="12"/>
      <c r="V698" s="21"/>
      <c r="Z698" s="12"/>
      <c r="AA698" s="29" t="n">
        <v>5</v>
      </c>
      <c r="AB698" s="84"/>
      <c r="AC698" s="12"/>
      <c r="AD698" s="12"/>
      <c r="AE698" s="12"/>
    </row>
    <row r="699" customFormat="false" ht="15.75" hidden="false" customHeight="false" outlineLevel="0" collapsed="false">
      <c r="A699" s="12" t="str">
        <f aca="false">IF((AA699&gt;=4), "Y", "N")</f>
        <v>Y</v>
      </c>
      <c r="B699" s="13"/>
      <c r="C699" s="31" t="s">
        <v>3019</v>
      </c>
      <c r="D699" s="16" t="s">
        <v>94</v>
      </c>
      <c r="E699" s="32" t="s">
        <v>3020</v>
      </c>
      <c r="F699" s="32" t="s">
        <v>3021</v>
      </c>
      <c r="G699" s="32" t="s">
        <v>1061</v>
      </c>
      <c r="H699" s="26" t="s">
        <v>72</v>
      </c>
      <c r="I699" s="17" t="s">
        <v>36</v>
      </c>
      <c r="J699" s="32" t="s">
        <v>58</v>
      </c>
      <c r="K699" s="33" t="n">
        <v>2010</v>
      </c>
      <c r="L699" s="33" t="s">
        <v>109</v>
      </c>
      <c r="M699" s="27"/>
      <c r="N699" s="39" t="s">
        <v>2858</v>
      </c>
      <c r="O699" s="17"/>
      <c r="P699" s="19" t="s">
        <v>76</v>
      </c>
      <c r="Q699" s="12"/>
      <c r="R699" s="12" t="s">
        <v>3022</v>
      </c>
      <c r="S699" s="12"/>
      <c r="T699" s="12" t="s">
        <v>3023</v>
      </c>
      <c r="U699" s="12"/>
      <c r="V699" s="21" t="s">
        <v>31</v>
      </c>
      <c r="Z699" s="12"/>
      <c r="AA699" s="22" t="str">
        <f aca="false">IF(P699="OD500 US (submitted)", "5", " ")</f>
        <v>5</v>
      </c>
      <c r="AB699" s="84"/>
      <c r="AC699" s="12"/>
      <c r="AD699" s="12"/>
      <c r="AE699" s="12"/>
    </row>
    <row r="700" customFormat="false" ht="15.75" hidden="false" customHeight="false" outlineLevel="0" collapsed="false">
      <c r="A700" s="12" t="str">
        <f aca="false">IF((AA700&gt;=4), "Y", "N")</f>
        <v>Y</v>
      </c>
      <c r="B700" s="13"/>
      <c r="C700" s="31" t="s">
        <v>3024</v>
      </c>
      <c r="D700" s="16" t="s">
        <v>51</v>
      </c>
      <c r="E700" s="32" t="s">
        <v>3025</v>
      </c>
      <c r="F700" s="32" t="s">
        <v>3026</v>
      </c>
      <c r="G700" s="32" t="s">
        <v>145</v>
      </c>
      <c r="H700" s="26" t="s">
        <v>146</v>
      </c>
      <c r="I700" s="17" t="s">
        <v>36</v>
      </c>
      <c r="J700" s="32" t="s">
        <v>58</v>
      </c>
      <c r="K700" s="33" t="n">
        <v>2007</v>
      </c>
      <c r="L700" s="33" t="s">
        <v>99</v>
      </c>
      <c r="M700" s="27"/>
      <c r="N700" s="39" t="s">
        <v>478</v>
      </c>
      <c r="O700" s="17"/>
      <c r="P700" s="19" t="s">
        <v>76</v>
      </c>
      <c r="Q700" s="12"/>
      <c r="R700" s="12" t="s">
        <v>3027</v>
      </c>
      <c r="S700" s="12"/>
      <c r="T700" s="12" t="s">
        <v>3028</v>
      </c>
      <c r="U700" s="12"/>
      <c r="V700" s="21" t="s">
        <v>31</v>
      </c>
      <c r="Z700" s="12"/>
      <c r="AA700" s="22" t="str">
        <f aca="false">IF(P700="OD500 US (submitted)", "5", " ")</f>
        <v>5</v>
      </c>
      <c r="AB700" s="84"/>
      <c r="AC700" s="12"/>
      <c r="AD700" s="12"/>
      <c r="AE700" s="12"/>
    </row>
    <row r="701" customFormat="false" ht="15.75" hidden="false" customHeight="false" outlineLevel="0" collapsed="false">
      <c r="A701" s="12" t="str">
        <f aca="false">IF((AA701&gt;=4), "Y", "N")</f>
        <v>Y</v>
      </c>
      <c r="B701" s="12"/>
      <c r="C701" s="23" t="s">
        <v>3029</v>
      </c>
      <c r="D701" s="24" t="s">
        <v>94</v>
      </c>
      <c r="E701" s="25" t="s">
        <v>3030</v>
      </c>
      <c r="F701" s="17" t="s">
        <v>3031</v>
      </c>
      <c r="G701" s="17" t="s">
        <v>3032</v>
      </c>
      <c r="H701" s="26" t="s">
        <v>3033</v>
      </c>
      <c r="I701" s="17" t="s">
        <v>36</v>
      </c>
      <c r="J701" s="17" t="s">
        <v>58</v>
      </c>
      <c r="K701" s="17" t="n">
        <v>2007</v>
      </c>
      <c r="L701" s="38" t="s">
        <v>99</v>
      </c>
      <c r="M701" s="27"/>
      <c r="N701" s="39" t="s">
        <v>1042</v>
      </c>
      <c r="O701" s="17"/>
      <c r="P701" s="40" t="s">
        <v>111</v>
      </c>
      <c r="Q701" s="12"/>
      <c r="R701" s="12"/>
      <c r="S701" s="12"/>
      <c r="T701" s="12"/>
      <c r="U701" s="12"/>
      <c r="V701" s="21"/>
      <c r="Z701" s="12"/>
      <c r="AA701" s="29" t="n">
        <v>5</v>
      </c>
      <c r="AB701" s="84"/>
      <c r="AC701" s="12"/>
      <c r="AD701" s="12"/>
      <c r="AE701" s="12"/>
    </row>
    <row r="702" customFormat="false" ht="15.75" hidden="false" customHeight="false" outlineLevel="0" collapsed="false">
      <c r="A702" s="12" t="str">
        <f aca="false">IF((AA702&gt;=4), "Y", "N")</f>
        <v>Y</v>
      </c>
      <c r="B702" s="12"/>
      <c r="C702" s="23" t="s">
        <v>3034</v>
      </c>
      <c r="D702" s="24" t="s">
        <v>94</v>
      </c>
      <c r="E702" s="25" t="s">
        <v>3035</v>
      </c>
      <c r="F702" s="17" t="s">
        <v>3036</v>
      </c>
      <c r="G702" s="17" t="s">
        <v>3037</v>
      </c>
      <c r="H702" s="26" t="s">
        <v>297</v>
      </c>
      <c r="I702" s="17" t="s">
        <v>36</v>
      </c>
      <c r="J702" s="17" t="s">
        <v>58</v>
      </c>
      <c r="K702" s="17" t="n">
        <v>1980</v>
      </c>
      <c r="L702" s="38" t="s">
        <v>73</v>
      </c>
      <c r="M702" s="27"/>
      <c r="N702" s="39" t="s">
        <v>354</v>
      </c>
      <c r="O702" s="17"/>
      <c r="P702" s="40" t="s">
        <v>111</v>
      </c>
      <c r="Q702" s="12"/>
      <c r="R702" s="12"/>
      <c r="S702" s="12"/>
      <c r="T702" s="12"/>
      <c r="U702" s="12"/>
      <c r="V702" s="21"/>
      <c r="Z702" s="12"/>
      <c r="AA702" s="29" t="n">
        <v>5</v>
      </c>
      <c r="AB702" s="84"/>
      <c r="AC702" s="12"/>
      <c r="AD702" s="12"/>
      <c r="AE702" s="12"/>
    </row>
    <row r="703" customFormat="false" ht="15.75" hidden="false" customHeight="false" outlineLevel="0" collapsed="false">
      <c r="A703" s="12" t="str">
        <f aca="false">IF((AA703&gt;=4), "Y", "N")</f>
        <v>Y</v>
      </c>
      <c r="B703" s="13"/>
      <c r="C703" s="31" t="s">
        <v>3038</v>
      </c>
      <c r="D703" s="16" t="s">
        <v>94</v>
      </c>
      <c r="E703" s="32" t="s">
        <v>3039</v>
      </c>
      <c r="F703" s="32" t="s">
        <v>3040</v>
      </c>
      <c r="G703" s="32" t="s">
        <v>3041</v>
      </c>
      <c r="H703" s="26" t="s">
        <v>341</v>
      </c>
      <c r="I703" s="17" t="s">
        <v>36</v>
      </c>
      <c r="J703" s="32" t="s">
        <v>58</v>
      </c>
      <c r="K703" s="33" t="n">
        <v>2010</v>
      </c>
      <c r="L703" s="33" t="s">
        <v>99</v>
      </c>
      <c r="M703" s="27"/>
      <c r="N703" s="39" t="s">
        <v>377</v>
      </c>
      <c r="O703" s="17"/>
      <c r="P703" s="19" t="s">
        <v>76</v>
      </c>
      <c r="Q703" s="12"/>
      <c r="R703" s="12" t="s">
        <v>3042</v>
      </c>
      <c r="S703" s="12"/>
      <c r="T703" s="12" t="s">
        <v>3043</v>
      </c>
      <c r="U703" s="12"/>
      <c r="V703" s="21" t="s">
        <v>31</v>
      </c>
      <c r="Z703" s="12"/>
      <c r="AA703" s="22" t="str">
        <f aca="false">IF(P703="OD500 US (submitted)", "5", " ")</f>
        <v>5</v>
      </c>
      <c r="AB703" s="84"/>
      <c r="AC703" s="12"/>
      <c r="AD703" s="12"/>
      <c r="AE703" s="12"/>
    </row>
    <row r="704" customFormat="false" ht="15.75" hidden="false" customHeight="false" outlineLevel="0" collapsed="false">
      <c r="A704" s="12" t="str">
        <f aca="false">IF((AA704&gt;=4), "Y", "N")</f>
        <v>Y</v>
      </c>
      <c r="B704" s="13"/>
      <c r="C704" s="31" t="s">
        <v>3044</v>
      </c>
      <c r="D704" s="16" t="s">
        <v>94</v>
      </c>
      <c r="E704" s="32" t="s">
        <v>3045</v>
      </c>
      <c r="F704" s="32" t="s">
        <v>3046</v>
      </c>
      <c r="G704" s="32" t="s">
        <v>3047</v>
      </c>
      <c r="H704" s="26" t="s">
        <v>1172</v>
      </c>
      <c r="I704" s="17" t="s">
        <v>36</v>
      </c>
      <c r="J704" s="32" t="s">
        <v>58</v>
      </c>
      <c r="K704" s="33" t="n">
        <v>2008</v>
      </c>
      <c r="L704" s="33" t="s">
        <v>99</v>
      </c>
      <c r="M704" s="27"/>
      <c r="N704" s="39" t="s">
        <v>750</v>
      </c>
      <c r="O704" s="17"/>
      <c r="P704" s="19" t="s">
        <v>76</v>
      </c>
      <c r="Q704" s="20"/>
      <c r="R704" s="20" t="s">
        <v>3048</v>
      </c>
      <c r="S704" s="20"/>
      <c r="T704" s="20" t="s">
        <v>3049</v>
      </c>
      <c r="U704" s="20"/>
      <c r="V704" s="21" t="s">
        <v>31</v>
      </c>
      <c r="Z704" s="20"/>
      <c r="AA704" s="22" t="str">
        <f aca="false">IF(P704="OD500 US (submitted)", "5", " ")</f>
        <v>5</v>
      </c>
      <c r="AB704" s="84"/>
      <c r="AC704" s="20"/>
      <c r="AD704" s="20"/>
      <c r="AE704" s="20"/>
    </row>
    <row r="705" customFormat="false" ht="15.75" hidden="false" customHeight="false" outlineLevel="0" collapsed="false">
      <c r="A705" s="12" t="s">
        <v>31</v>
      </c>
      <c r="B705" s="54" t="s">
        <v>32</v>
      </c>
      <c r="C705" s="55" t="s">
        <v>3050</v>
      </c>
      <c r="D705" s="24" t="s">
        <v>51</v>
      </c>
      <c r="E705" s="57" t="s">
        <v>3051</v>
      </c>
      <c r="F705" s="15" t="s">
        <v>3052</v>
      </c>
      <c r="G705" s="15" t="s">
        <v>3053</v>
      </c>
      <c r="H705" s="15"/>
      <c r="I705" s="26" t="s">
        <v>551</v>
      </c>
      <c r="J705" s="15" t="s">
        <v>58</v>
      </c>
      <c r="K705" s="17"/>
      <c r="L705" s="17"/>
      <c r="M705" s="18" t="s">
        <v>147</v>
      </c>
      <c r="N705" s="17"/>
      <c r="O705" s="17" t="s">
        <v>3054</v>
      </c>
      <c r="P705" s="19" t="s">
        <v>39</v>
      </c>
      <c r="Q705" s="17"/>
      <c r="R705" s="17" t="s">
        <v>3055</v>
      </c>
      <c r="S705" s="17"/>
      <c r="T705" s="17" t="s">
        <v>3056</v>
      </c>
      <c r="U705" s="17"/>
      <c r="V705" s="21" t="s">
        <v>31</v>
      </c>
      <c r="Z705" s="17"/>
      <c r="AA705" s="29" t="n">
        <v>4</v>
      </c>
      <c r="AB705" s="17"/>
      <c r="AC705" s="17"/>
      <c r="AD705" s="17"/>
      <c r="AE705" s="17"/>
    </row>
    <row r="706" customFormat="false" ht="15.75" hidden="false" customHeight="false" outlineLevel="0" collapsed="false">
      <c r="A706" s="12" t="str">
        <f aca="false">IF((AA706&gt;=4), "Y", "N")</f>
        <v>Y</v>
      </c>
      <c r="B706" s="13"/>
      <c r="C706" s="31" t="s">
        <v>3057</v>
      </c>
      <c r="D706" s="16" t="s">
        <v>94</v>
      </c>
      <c r="E706" s="32" t="s">
        <v>3058</v>
      </c>
      <c r="F706" s="32" t="s">
        <v>3059</v>
      </c>
      <c r="G706" s="32" t="s">
        <v>3060</v>
      </c>
      <c r="H706" s="26" t="s">
        <v>439</v>
      </c>
      <c r="I706" s="17" t="s">
        <v>36</v>
      </c>
      <c r="J706" s="32" t="s">
        <v>58</v>
      </c>
      <c r="K706" s="33" t="n">
        <v>2011</v>
      </c>
      <c r="L706" s="33" t="s">
        <v>99</v>
      </c>
      <c r="M706" s="27"/>
      <c r="N706" s="39" t="s">
        <v>968</v>
      </c>
      <c r="O706" s="17"/>
      <c r="P706" s="19" t="s">
        <v>76</v>
      </c>
      <c r="Q706" s="12"/>
      <c r="R706" s="12" t="s">
        <v>3061</v>
      </c>
      <c r="S706" s="12"/>
      <c r="T706" s="12" t="s">
        <v>3062</v>
      </c>
      <c r="U706" s="12"/>
      <c r="V706" s="21" t="s">
        <v>31</v>
      </c>
      <c r="Z706" s="12"/>
      <c r="AA706" s="22" t="str">
        <f aca="false">IF(P706="OD500 US (submitted)", "5", " ")</f>
        <v>5</v>
      </c>
      <c r="AB706" s="84"/>
      <c r="AC706" s="12"/>
      <c r="AD706" s="12"/>
      <c r="AE706" s="12"/>
    </row>
    <row r="707" customFormat="false" ht="15.75" hidden="false" customHeight="false" outlineLevel="0" collapsed="false">
      <c r="A707" s="12" t="str">
        <f aca="false">IF((AA707&gt;=4), "Y", "N")</f>
        <v>Y</v>
      </c>
      <c r="B707" s="13"/>
      <c r="C707" s="31" t="s">
        <v>3063</v>
      </c>
      <c r="D707" s="16" t="s">
        <v>94</v>
      </c>
      <c r="E707" s="32" t="s">
        <v>3064</v>
      </c>
      <c r="F707" s="32" t="s">
        <v>3065</v>
      </c>
      <c r="G707" s="32" t="s">
        <v>145</v>
      </c>
      <c r="H707" s="26" t="s">
        <v>146</v>
      </c>
      <c r="I707" s="17" t="s">
        <v>36</v>
      </c>
      <c r="J707" s="47" t="s">
        <v>58</v>
      </c>
      <c r="K707" s="33" t="n">
        <v>2013</v>
      </c>
      <c r="L707" s="33" t="s">
        <v>109</v>
      </c>
      <c r="M707" s="27"/>
      <c r="N707" s="39" t="s">
        <v>478</v>
      </c>
      <c r="O707" s="17"/>
      <c r="P707" s="19" t="s">
        <v>76</v>
      </c>
      <c r="Q707" s="12"/>
      <c r="R707" s="12" t="s">
        <v>3066</v>
      </c>
      <c r="S707" s="12"/>
      <c r="T707" s="12" t="s">
        <v>3067</v>
      </c>
      <c r="U707" s="12"/>
      <c r="V707" s="21" t="s">
        <v>31</v>
      </c>
      <c r="Z707" s="12"/>
      <c r="AA707" s="22" t="str">
        <f aca="false">IF(P707="OD500 US (submitted)", "5", " ")</f>
        <v>5</v>
      </c>
      <c r="AB707" s="84"/>
      <c r="AC707" s="12"/>
      <c r="AD707" s="12"/>
      <c r="AE707" s="12"/>
    </row>
    <row r="708" customFormat="false" ht="15.75" hidden="false" customHeight="false" outlineLevel="0" collapsed="false">
      <c r="A708" s="12" t="str">
        <f aca="false">IF((AA708&gt;=4), "Y", "N")</f>
        <v>Y</v>
      </c>
      <c r="B708" s="13"/>
      <c r="C708" s="31" t="s">
        <v>3068</v>
      </c>
      <c r="D708" s="16" t="s">
        <v>94</v>
      </c>
      <c r="E708" s="32" t="s">
        <v>3069</v>
      </c>
      <c r="F708" s="32" t="s">
        <v>3070</v>
      </c>
      <c r="G708" s="32" t="s">
        <v>2248</v>
      </c>
      <c r="H708" s="26" t="s">
        <v>120</v>
      </c>
      <c r="I708" s="17" t="s">
        <v>36</v>
      </c>
      <c r="J708" s="32" t="s">
        <v>58</v>
      </c>
      <c r="K708" s="33" t="n">
        <v>2007</v>
      </c>
      <c r="L708" s="33" t="s">
        <v>99</v>
      </c>
      <c r="M708" s="27"/>
      <c r="N708" s="39" t="s">
        <v>750</v>
      </c>
      <c r="O708" s="17"/>
      <c r="P708" s="19" t="s">
        <v>76</v>
      </c>
      <c r="Q708" s="12"/>
      <c r="R708" s="12" t="s">
        <v>3071</v>
      </c>
      <c r="S708" s="12"/>
      <c r="T708" s="12" t="s">
        <v>3072</v>
      </c>
      <c r="U708" s="12"/>
      <c r="V708" s="21" t="s">
        <v>31</v>
      </c>
      <c r="Z708" s="12"/>
      <c r="AA708" s="22" t="str">
        <f aca="false">IF(P708="OD500 US (submitted)", "5", " ")</f>
        <v>5</v>
      </c>
      <c r="AB708" s="84"/>
      <c r="AC708" s="12"/>
      <c r="AD708" s="12"/>
      <c r="AE708" s="12"/>
    </row>
    <row r="709" customFormat="false" ht="15.75" hidden="false" customHeight="false" outlineLevel="0" collapsed="false">
      <c r="A709" s="12" t="str">
        <f aca="false">IF((AA709&gt;=4), "Y", "N")</f>
        <v>Y</v>
      </c>
      <c r="B709" s="13"/>
      <c r="C709" s="31" t="s">
        <v>3073</v>
      </c>
      <c r="D709" s="16" t="s">
        <v>94</v>
      </c>
      <c r="E709" s="32" t="s">
        <v>3074</v>
      </c>
      <c r="F709" s="32" t="s">
        <v>3075</v>
      </c>
      <c r="G709" s="32" t="s">
        <v>3076</v>
      </c>
      <c r="H709" s="26" t="s">
        <v>390</v>
      </c>
      <c r="I709" s="17" t="s">
        <v>36</v>
      </c>
      <c r="J709" s="32" t="s">
        <v>58</v>
      </c>
      <c r="K709" s="33" t="n">
        <v>2012</v>
      </c>
      <c r="L709" s="33" t="s">
        <v>99</v>
      </c>
      <c r="M709" s="27"/>
      <c r="N709" s="39" t="s">
        <v>2881</v>
      </c>
      <c r="O709" s="17"/>
      <c r="P709" s="19" t="s">
        <v>76</v>
      </c>
      <c r="Q709" s="12"/>
      <c r="R709" s="12" t="s">
        <v>3077</v>
      </c>
      <c r="S709" s="12"/>
      <c r="T709" s="12" t="s">
        <v>3078</v>
      </c>
      <c r="U709" s="12"/>
      <c r="V709" s="21" t="s">
        <v>31</v>
      </c>
      <c r="Z709" s="12"/>
      <c r="AA709" s="22" t="str">
        <f aca="false">IF(P709="OD500 US (submitted)", "5", " ")</f>
        <v>5</v>
      </c>
      <c r="AB709" s="84"/>
      <c r="AC709" s="12"/>
      <c r="AD709" s="12"/>
      <c r="AE709" s="12"/>
    </row>
    <row r="710" customFormat="false" ht="15.75" hidden="false" customHeight="false" outlineLevel="0" collapsed="false">
      <c r="A710" s="12" t="s">
        <v>31</v>
      </c>
      <c r="B710" s="12" t="s">
        <v>32</v>
      </c>
      <c r="C710" s="23" t="s">
        <v>3079</v>
      </c>
      <c r="D710" s="24" t="s">
        <v>51</v>
      </c>
      <c r="E710" s="25" t="s">
        <v>3080</v>
      </c>
      <c r="G710" s="17" t="s">
        <v>3081</v>
      </c>
      <c r="H710" s="17"/>
      <c r="I710" s="26" t="s">
        <v>3082</v>
      </c>
      <c r="J710" s="17" t="s">
        <v>58</v>
      </c>
      <c r="K710" s="17"/>
      <c r="L710" s="17"/>
      <c r="M710" s="27" t="s">
        <v>3083</v>
      </c>
      <c r="N710" s="17" t="s">
        <v>3084</v>
      </c>
      <c r="O710" s="17" t="s">
        <v>3085</v>
      </c>
      <c r="P710" s="28" t="s">
        <v>59</v>
      </c>
      <c r="Q710" s="17"/>
      <c r="R710" s="17"/>
      <c r="S710" s="17"/>
      <c r="T710" s="17"/>
      <c r="U710" s="17"/>
      <c r="V710" s="27"/>
      <c r="Z710" s="17"/>
      <c r="AA710" s="29" t="n">
        <v>4</v>
      </c>
      <c r="AB710" s="17"/>
      <c r="AC710" s="17"/>
      <c r="AD710" s="17"/>
      <c r="AE710" s="17"/>
    </row>
    <row r="711" customFormat="false" ht="15.75" hidden="false" customHeight="false" outlineLevel="0" collapsed="false">
      <c r="A711" s="12" t="str">
        <f aca="false">IF((AA711&gt;=4), "Y", "N")</f>
        <v>Y</v>
      </c>
      <c r="B711" s="12"/>
      <c r="C711" s="23" t="s">
        <v>3086</v>
      </c>
      <c r="D711" s="24" t="s">
        <v>94</v>
      </c>
      <c r="E711" s="25" t="s">
        <v>3087</v>
      </c>
      <c r="F711" s="17" t="s">
        <v>3088</v>
      </c>
      <c r="G711" s="17" t="s">
        <v>368</v>
      </c>
      <c r="H711" s="26" t="s">
        <v>369</v>
      </c>
      <c r="I711" s="17" t="s">
        <v>36</v>
      </c>
      <c r="J711" s="17" t="s">
        <v>58</v>
      </c>
      <c r="K711" s="17" t="n">
        <v>2011</v>
      </c>
      <c r="L711" s="38" t="s">
        <v>99</v>
      </c>
      <c r="M711" s="27"/>
      <c r="N711" s="17" t="s">
        <v>377</v>
      </c>
      <c r="O711" s="17"/>
      <c r="P711" s="40" t="s">
        <v>111</v>
      </c>
      <c r="Q711" s="12"/>
      <c r="R711" s="12"/>
      <c r="S711" s="12"/>
      <c r="T711" s="12"/>
      <c r="U711" s="12"/>
      <c r="V711" s="21"/>
      <c r="Z711" s="12"/>
      <c r="AA711" s="29" t="n">
        <v>5</v>
      </c>
      <c r="AB711" s="84"/>
      <c r="AC711" s="12"/>
      <c r="AD711" s="12"/>
      <c r="AE711" s="12"/>
    </row>
    <row r="712" customFormat="false" ht="15.75" hidden="false" customHeight="false" outlineLevel="0" collapsed="false">
      <c r="A712" s="12"/>
      <c r="B712" s="12"/>
      <c r="C712" s="23" t="s">
        <v>3089</v>
      </c>
      <c r="D712" s="24" t="s">
        <v>94</v>
      </c>
      <c r="E712" s="25" t="s">
        <v>3090</v>
      </c>
      <c r="F712" s="17" t="s">
        <v>3091</v>
      </c>
      <c r="G712" s="17" t="s">
        <v>313</v>
      </c>
      <c r="H712" s="26" t="s">
        <v>314</v>
      </c>
      <c r="I712" s="17" t="s">
        <v>36</v>
      </c>
      <c r="J712" s="17" t="s">
        <v>58</v>
      </c>
      <c r="K712" s="17" t="n">
        <v>1987</v>
      </c>
      <c r="L712" s="38" t="s">
        <v>73</v>
      </c>
      <c r="M712" s="27"/>
      <c r="N712" s="39" t="s">
        <v>331</v>
      </c>
      <c r="O712" s="17"/>
      <c r="P712" s="40" t="s">
        <v>111</v>
      </c>
      <c r="Q712" s="12"/>
      <c r="R712" s="12"/>
      <c r="S712" s="12"/>
      <c r="T712" s="12"/>
      <c r="U712" s="12"/>
      <c r="V712" s="21"/>
      <c r="Z712" s="12"/>
      <c r="AA712" s="29" t="n">
        <v>5</v>
      </c>
      <c r="AB712" s="84"/>
      <c r="AC712" s="12"/>
      <c r="AD712" s="12"/>
      <c r="AE712" s="12"/>
    </row>
    <row r="713" customFormat="false" ht="15.75" hidden="false" customHeight="false" outlineLevel="0" collapsed="false">
      <c r="A713" s="12"/>
      <c r="B713" s="12"/>
      <c r="C713" s="23" t="s">
        <v>3092</v>
      </c>
      <c r="D713" s="24" t="s">
        <v>94</v>
      </c>
      <c r="E713" s="25" t="s">
        <v>3093</v>
      </c>
      <c r="F713" s="17" t="s">
        <v>3094</v>
      </c>
      <c r="G713" s="17"/>
      <c r="H713" s="26" t="s">
        <v>146</v>
      </c>
      <c r="I713" s="17" t="s">
        <v>36</v>
      </c>
      <c r="J713" s="17" t="s">
        <v>58</v>
      </c>
      <c r="K713" s="17" t="n">
        <v>2010</v>
      </c>
      <c r="L713" s="38" t="s">
        <v>109</v>
      </c>
      <c r="M713" s="27"/>
      <c r="N713" s="39" t="s">
        <v>2858</v>
      </c>
      <c r="O713" s="17"/>
      <c r="P713" s="40" t="s">
        <v>111</v>
      </c>
      <c r="Q713" s="12"/>
      <c r="R713" s="12"/>
      <c r="S713" s="12"/>
      <c r="T713" s="12"/>
      <c r="U713" s="12"/>
      <c r="V713" s="21"/>
      <c r="Z713" s="12"/>
      <c r="AA713" s="29" t="n">
        <v>5</v>
      </c>
      <c r="AB713" s="84"/>
      <c r="AC713" s="12"/>
      <c r="AD713" s="12"/>
      <c r="AE713" s="12"/>
    </row>
    <row r="714" customFormat="false" ht="15.75" hidden="false" customHeight="false" outlineLevel="0" collapsed="false">
      <c r="A714" s="12" t="str">
        <f aca="false">IF((AA714&gt;=4), "Y", "N")</f>
        <v>Y</v>
      </c>
      <c r="B714" s="13"/>
      <c r="C714" s="31" t="s">
        <v>3095</v>
      </c>
      <c r="D714" s="16" t="s">
        <v>94</v>
      </c>
      <c r="E714" s="32" t="s">
        <v>3096</v>
      </c>
      <c r="F714" s="32" t="s">
        <v>3097</v>
      </c>
      <c r="G714" s="32" t="s">
        <v>3098</v>
      </c>
      <c r="H714" s="26" t="s">
        <v>72</v>
      </c>
      <c r="I714" s="17" t="s">
        <v>36</v>
      </c>
      <c r="J714" s="32" t="s">
        <v>58</v>
      </c>
      <c r="K714" s="33" t="n">
        <v>2003</v>
      </c>
      <c r="L714" s="33" t="s">
        <v>109</v>
      </c>
      <c r="M714" s="27"/>
      <c r="N714" s="39" t="s">
        <v>331</v>
      </c>
      <c r="O714" s="17"/>
      <c r="P714" s="19" t="s">
        <v>76</v>
      </c>
      <c r="Q714" s="12"/>
      <c r="R714" s="12" t="s">
        <v>3099</v>
      </c>
      <c r="S714" s="12"/>
      <c r="T714" s="12" t="s">
        <v>3100</v>
      </c>
      <c r="U714" s="12"/>
      <c r="V714" s="21" t="s">
        <v>31</v>
      </c>
      <c r="Z714" s="12"/>
      <c r="AA714" s="22" t="str">
        <f aca="false">IF(P714="OD500 US (submitted)", "5", " ")</f>
        <v>5</v>
      </c>
      <c r="AB714" s="84"/>
      <c r="AC714" s="12"/>
      <c r="AD714" s="12"/>
      <c r="AE714" s="12"/>
    </row>
    <row r="715" customFormat="false" ht="15.75" hidden="false" customHeight="false" outlineLevel="0" collapsed="false">
      <c r="A715" s="12" t="str">
        <f aca="false">IF((AA715&gt;=4), "Y", "N")</f>
        <v>Y</v>
      </c>
      <c r="B715" s="13"/>
      <c r="C715" s="14" t="s">
        <v>3101</v>
      </c>
      <c r="D715" s="16" t="s">
        <v>620</v>
      </c>
      <c r="E715" s="25" t="s">
        <v>3102</v>
      </c>
      <c r="F715" s="17" t="s">
        <v>3103</v>
      </c>
      <c r="G715" s="17"/>
      <c r="H715" s="17"/>
      <c r="I715" s="17" t="s">
        <v>3104</v>
      </c>
      <c r="J715" s="32" t="s">
        <v>58</v>
      </c>
      <c r="K715" s="17"/>
      <c r="L715" s="17"/>
      <c r="M715" s="27"/>
      <c r="N715" s="17"/>
      <c r="O715" s="17"/>
      <c r="P715" s="52" t="s">
        <v>3105</v>
      </c>
      <c r="Q715" s="12"/>
      <c r="R715" s="12"/>
      <c r="S715" s="12"/>
      <c r="T715" s="12" t="s">
        <v>3106</v>
      </c>
      <c r="U715" s="12"/>
      <c r="V715" s="21"/>
      <c r="Z715" s="12"/>
      <c r="AA715" s="29" t="n">
        <v>5</v>
      </c>
      <c r="AB715" s="84"/>
      <c r="AC715" s="12"/>
      <c r="AD715" s="12"/>
      <c r="AE715" s="12"/>
    </row>
    <row r="716" customFormat="false" ht="15.75" hidden="false" customHeight="false" outlineLevel="0" collapsed="false">
      <c r="A716" s="12" t="str">
        <f aca="false">IF((AA716&gt;=4), "Y", "N")</f>
        <v>Y</v>
      </c>
      <c r="B716" s="13"/>
      <c r="C716" s="14" t="s">
        <v>3107</v>
      </c>
      <c r="D716" s="16" t="s">
        <v>620</v>
      </c>
      <c r="E716" s="25" t="s">
        <v>3108</v>
      </c>
      <c r="F716" s="17" t="s">
        <v>3109</v>
      </c>
      <c r="G716" s="17" t="s">
        <v>3110</v>
      </c>
      <c r="H716" s="17"/>
      <c r="I716" s="26" t="s">
        <v>610</v>
      </c>
      <c r="J716" s="32" t="s">
        <v>58</v>
      </c>
      <c r="K716" s="17"/>
      <c r="L716" s="17"/>
      <c r="M716" s="27"/>
      <c r="N716" s="17"/>
      <c r="O716" s="17"/>
      <c r="P716" s="52" t="s">
        <v>3105</v>
      </c>
      <c r="Q716" s="12"/>
      <c r="R716" s="12" t="s">
        <v>3111</v>
      </c>
      <c r="S716" s="12"/>
      <c r="T716" s="12" t="s">
        <v>3112</v>
      </c>
      <c r="U716" s="12"/>
      <c r="V716" s="21"/>
      <c r="Z716" s="12"/>
      <c r="AA716" s="29" t="n">
        <v>5</v>
      </c>
      <c r="AB716" s="84"/>
      <c r="AC716" s="12"/>
      <c r="AD716" s="12"/>
      <c r="AE716" s="12"/>
    </row>
    <row r="717" customFormat="false" ht="15.75" hidden="false" customHeight="false" outlineLevel="0" collapsed="false">
      <c r="A717" s="12" t="str">
        <f aca="false">IF((AA717&gt;=4), "Y", "N")</f>
        <v>Y</v>
      </c>
      <c r="B717" s="13"/>
      <c r="C717" s="14" t="s">
        <v>3113</v>
      </c>
      <c r="D717" s="16" t="s">
        <v>620</v>
      </c>
      <c r="E717" s="25" t="s">
        <v>3114</v>
      </c>
      <c r="F717" s="17" t="s">
        <v>3115</v>
      </c>
      <c r="G717" s="17" t="s">
        <v>3116</v>
      </c>
      <c r="H717" s="17"/>
      <c r="I717" s="26" t="s">
        <v>65</v>
      </c>
      <c r="J717" s="32" t="s">
        <v>58</v>
      </c>
      <c r="K717" s="17"/>
      <c r="L717" s="17"/>
      <c r="M717" s="27"/>
      <c r="N717" s="17"/>
      <c r="O717" s="17"/>
      <c r="P717" s="97" t="s">
        <v>3105</v>
      </c>
      <c r="Q717" s="12"/>
      <c r="R717" s="12" t="s">
        <v>3117</v>
      </c>
      <c r="S717" s="12"/>
      <c r="T717" s="12" t="s">
        <v>3118</v>
      </c>
      <c r="U717" s="12" t="s">
        <v>3119</v>
      </c>
      <c r="V717" s="21"/>
      <c r="Z717" s="12"/>
      <c r="AA717" s="29" t="n">
        <v>5</v>
      </c>
      <c r="AB717" s="84"/>
      <c r="AC717" s="12"/>
      <c r="AD717" s="12"/>
      <c r="AE717" s="12"/>
    </row>
    <row r="718" customFormat="false" ht="15.75" hidden="false" customHeight="false" outlineLevel="0" collapsed="false">
      <c r="A718" s="12" t="str">
        <f aca="false">IF((AA718&gt;=4), "Y", "N")</f>
        <v>Y</v>
      </c>
      <c r="B718" s="13"/>
      <c r="C718" s="14" t="s">
        <v>3120</v>
      </c>
      <c r="D718" s="16" t="s">
        <v>620</v>
      </c>
      <c r="E718" s="25" t="s">
        <v>3121</v>
      </c>
      <c r="F718" s="17" t="s">
        <v>3122</v>
      </c>
      <c r="G718" s="17"/>
      <c r="H718" s="17"/>
      <c r="I718" s="26" t="s">
        <v>3123</v>
      </c>
      <c r="J718" s="32" t="s">
        <v>58</v>
      </c>
      <c r="K718" s="17" t="n">
        <v>2009</v>
      </c>
      <c r="L718" s="17"/>
      <c r="M718" s="27"/>
      <c r="N718" s="17"/>
      <c r="O718" s="17"/>
      <c r="P718" s="52" t="s">
        <v>3105</v>
      </c>
      <c r="Q718" s="12"/>
      <c r="R718" s="12"/>
      <c r="S718" s="12"/>
      <c r="T718" s="12"/>
      <c r="U718" s="12"/>
      <c r="V718" s="21"/>
      <c r="Z718" s="12"/>
      <c r="AA718" s="29" t="n">
        <v>5</v>
      </c>
      <c r="AB718" s="84"/>
      <c r="AC718" s="12"/>
      <c r="AD718" s="12"/>
      <c r="AE718" s="12"/>
    </row>
    <row r="719" customFormat="false" ht="15.75" hidden="false" customHeight="false" outlineLevel="0" collapsed="false">
      <c r="A719" s="12" t="str">
        <f aca="false">IF((AA719&gt;=4), "Y", "N")</f>
        <v>Y</v>
      </c>
      <c r="B719" s="13"/>
      <c r="C719" s="14" t="s">
        <v>3124</v>
      </c>
      <c r="D719" s="16" t="s">
        <v>620</v>
      </c>
      <c r="E719" s="25" t="s">
        <v>3125</v>
      </c>
      <c r="F719" s="17" t="s">
        <v>3126</v>
      </c>
      <c r="G719" s="17" t="s">
        <v>3127</v>
      </c>
      <c r="H719" s="17"/>
      <c r="I719" s="26" t="s">
        <v>3128</v>
      </c>
      <c r="J719" s="32" t="s">
        <v>58</v>
      </c>
      <c r="K719" s="17"/>
      <c r="L719" s="17"/>
      <c r="M719" s="27"/>
      <c r="N719" s="17"/>
      <c r="O719" s="17"/>
      <c r="P719" s="52" t="s">
        <v>3105</v>
      </c>
      <c r="Q719" s="12"/>
      <c r="R719" s="12"/>
      <c r="S719" s="12"/>
      <c r="T719" s="12" t="s">
        <v>3129</v>
      </c>
      <c r="U719" s="12"/>
      <c r="V719" s="21"/>
      <c r="Z719" s="12"/>
      <c r="AA719" s="29" t="n">
        <v>5</v>
      </c>
      <c r="AB719" s="84"/>
      <c r="AC719" s="12"/>
      <c r="AD719" s="12"/>
      <c r="AE719" s="12"/>
    </row>
    <row r="720" customFormat="false" ht="15.75" hidden="false" customHeight="false" outlineLevel="0" collapsed="false">
      <c r="A720" s="12" t="str">
        <f aca="false">IF((AA720&gt;=4), "Y", "N")</f>
        <v>Y</v>
      </c>
      <c r="B720" s="13"/>
      <c r="C720" s="14" t="s">
        <v>3130</v>
      </c>
      <c r="D720" s="16" t="s">
        <v>620</v>
      </c>
      <c r="E720" s="25" t="s">
        <v>3131</v>
      </c>
      <c r="F720" s="17" t="s">
        <v>3132</v>
      </c>
      <c r="G720" s="17" t="s">
        <v>3133</v>
      </c>
      <c r="H720" s="17"/>
      <c r="I720" s="26" t="s">
        <v>223</v>
      </c>
      <c r="J720" s="32" t="s">
        <v>58</v>
      </c>
      <c r="K720" s="17"/>
      <c r="L720" s="17"/>
      <c r="M720" s="27"/>
      <c r="N720" s="17"/>
      <c r="O720" s="17"/>
      <c r="P720" s="52" t="s">
        <v>3105</v>
      </c>
      <c r="Q720" s="12"/>
      <c r="R720" s="12" t="s">
        <v>3134</v>
      </c>
      <c r="S720" s="12"/>
      <c r="T720" s="12" t="s">
        <v>3135</v>
      </c>
      <c r="U720" s="12" t="s">
        <v>3136</v>
      </c>
      <c r="V720" s="21"/>
      <c r="Z720" s="12"/>
      <c r="AA720" s="29" t="n">
        <v>5</v>
      </c>
      <c r="AB720" s="84"/>
      <c r="AC720" s="12"/>
      <c r="AD720" s="12"/>
      <c r="AE720" s="12"/>
    </row>
    <row r="721" customFormat="false" ht="15.75" hidden="false" customHeight="false" outlineLevel="0" collapsed="false">
      <c r="A721" s="12" t="str">
        <f aca="false">IF((AA721&gt;=4), "Y", "N")</f>
        <v>Y</v>
      </c>
      <c r="B721" s="13"/>
      <c r="C721" s="14" t="s">
        <v>3137</v>
      </c>
      <c r="D721" s="16" t="s">
        <v>620</v>
      </c>
      <c r="E721" s="25" t="s">
        <v>3138</v>
      </c>
      <c r="F721" s="17" t="s">
        <v>3139</v>
      </c>
      <c r="G721" s="17" t="s">
        <v>197</v>
      </c>
      <c r="H721" s="17"/>
      <c r="I721" s="26" t="s">
        <v>198</v>
      </c>
      <c r="J721" s="32" t="s">
        <v>58</v>
      </c>
      <c r="K721" s="17"/>
      <c r="L721" s="17"/>
      <c r="M721" s="27"/>
      <c r="N721" s="17"/>
      <c r="O721" s="17"/>
      <c r="P721" s="52" t="s">
        <v>3105</v>
      </c>
      <c r="Q721" s="12"/>
      <c r="R721" s="12"/>
      <c r="S721" s="12"/>
      <c r="T721" s="12" t="s">
        <v>3140</v>
      </c>
      <c r="U721" s="12"/>
      <c r="V721" s="21"/>
      <c r="Z721" s="12"/>
      <c r="AA721" s="29" t="n">
        <v>5</v>
      </c>
      <c r="AB721" s="84"/>
      <c r="AC721" s="12"/>
      <c r="AD721" s="12"/>
      <c r="AE721" s="12"/>
    </row>
    <row r="722" customFormat="false" ht="15.75" hidden="false" customHeight="false" outlineLevel="0" collapsed="false">
      <c r="A722" s="12" t="str">
        <f aca="false">IF((AA722&gt;=4), "Y", "N")</f>
        <v>Y</v>
      </c>
      <c r="B722" s="13"/>
      <c r="C722" s="14" t="s">
        <v>3141</v>
      </c>
      <c r="D722" s="16" t="s">
        <v>620</v>
      </c>
      <c r="E722" s="25" t="s">
        <v>3142</v>
      </c>
      <c r="F722" s="17" t="s">
        <v>3143</v>
      </c>
      <c r="G722" s="17"/>
      <c r="H722" s="17"/>
      <c r="I722" s="17" t="s">
        <v>3104</v>
      </c>
      <c r="J722" s="32" t="s">
        <v>58</v>
      </c>
      <c r="K722" s="17"/>
      <c r="L722" s="17"/>
      <c r="M722" s="27"/>
      <c r="N722" s="17"/>
      <c r="O722" s="17"/>
      <c r="P722" s="52" t="s">
        <v>3105</v>
      </c>
      <c r="Q722" s="12"/>
      <c r="R722" s="12"/>
      <c r="S722" s="12"/>
      <c r="T722" s="12"/>
      <c r="U722" s="12"/>
      <c r="V722" s="21"/>
      <c r="Z722" s="12"/>
      <c r="AA722" s="29" t="n">
        <v>5</v>
      </c>
      <c r="AB722" s="84"/>
      <c r="AC722" s="12"/>
      <c r="AD722" s="12"/>
      <c r="AE722" s="12"/>
    </row>
    <row r="723" customFormat="false" ht="15.75" hidden="false" customHeight="false" outlineLevel="0" collapsed="false">
      <c r="A723" s="12" t="str">
        <f aca="false">IF((AA723&gt;=4), "Y", "N")</f>
        <v>Y</v>
      </c>
      <c r="B723" s="13"/>
      <c r="C723" s="14" t="s">
        <v>3144</v>
      </c>
      <c r="D723" s="16" t="s">
        <v>620</v>
      </c>
      <c r="E723" s="25" t="s">
        <v>3145</v>
      </c>
      <c r="F723" s="17" t="s">
        <v>3146</v>
      </c>
      <c r="G723" s="17"/>
      <c r="H723" s="17"/>
      <c r="I723" s="26" t="s">
        <v>230</v>
      </c>
      <c r="J723" s="32" t="s">
        <v>58</v>
      </c>
      <c r="K723" s="17"/>
      <c r="L723" s="17"/>
      <c r="M723" s="27"/>
      <c r="N723" s="17"/>
      <c r="O723" s="17"/>
      <c r="P723" s="52" t="s">
        <v>3105</v>
      </c>
      <c r="Q723" s="12"/>
      <c r="R723" s="12"/>
      <c r="S723" s="12"/>
      <c r="T723" s="12"/>
      <c r="U723" s="12"/>
      <c r="V723" s="21"/>
      <c r="Z723" s="12"/>
      <c r="AA723" s="29" t="n">
        <v>5</v>
      </c>
      <c r="AB723" s="84"/>
      <c r="AC723" s="12"/>
      <c r="AD723" s="12"/>
      <c r="AE723" s="12"/>
    </row>
    <row r="724" customFormat="false" ht="15.75" hidden="false" customHeight="false" outlineLevel="0" collapsed="false">
      <c r="A724" s="12" t="str">
        <f aca="false">IF((AA724&gt;=4), "Y", "N")</f>
        <v>Y</v>
      </c>
      <c r="B724" s="13"/>
      <c r="C724" s="14" t="s">
        <v>3147</v>
      </c>
      <c r="D724" s="16" t="s">
        <v>620</v>
      </c>
      <c r="E724" s="25" t="s">
        <v>1464</v>
      </c>
      <c r="F724" s="17" t="s">
        <v>3148</v>
      </c>
      <c r="G724" s="17"/>
      <c r="H724" s="17"/>
      <c r="I724" s="26" t="s">
        <v>266</v>
      </c>
      <c r="J724" s="32" t="s">
        <v>58</v>
      </c>
      <c r="K724" s="17"/>
      <c r="L724" s="17"/>
      <c r="M724" s="27"/>
      <c r="N724" s="17"/>
      <c r="O724" s="17"/>
      <c r="P724" s="52" t="s">
        <v>3105</v>
      </c>
      <c r="Q724" s="12"/>
      <c r="R724" s="12"/>
      <c r="S724" s="12"/>
      <c r="T724" s="12"/>
      <c r="U724" s="12"/>
      <c r="V724" s="21"/>
      <c r="Z724" s="12"/>
      <c r="AA724" s="29" t="n">
        <v>5</v>
      </c>
      <c r="AB724" s="84"/>
      <c r="AC724" s="12"/>
      <c r="AD724" s="12"/>
      <c r="AE724" s="12"/>
    </row>
    <row r="725" customFormat="false" ht="15.75" hidden="false" customHeight="false" outlineLevel="0" collapsed="false">
      <c r="A725" s="12" t="str">
        <f aca="false">IF((AA725&gt;=4), "Y", "N")</f>
        <v>Y</v>
      </c>
      <c r="B725" s="13"/>
      <c r="C725" s="14" t="s">
        <v>3149</v>
      </c>
      <c r="D725" s="16" t="s">
        <v>620</v>
      </c>
      <c r="E725" s="25" t="s">
        <v>3150</v>
      </c>
      <c r="F725" s="17" t="s">
        <v>3151</v>
      </c>
      <c r="G725" s="17" t="s">
        <v>3152</v>
      </c>
      <c r="H725" s="17"/>
      <c r="I725" s="26" t="s">
        <v>3153</v>
      </c>
      <c r="J725" s="32" t="s">
        <v>58</v>
      </c>
      <c r="K725" s="17" t="n">
        <v>2010</v>
      </c>
      <c r="L725" s="17"/>
      <c r="M725" s="27"/>
      <c r="N725" s="17"/>
      <c r="O725" s="17"/>
      <c r="P725" s="52" t="s">
        <v>3105</v>
      </c>
      <c r="Q725" s="12"/>
      <c r="R725" s="12"/>
      <c r="S725" s="12"/>
      <c r="T725" s="12"/>
      <c r="U725" s="12"/>
      <c r="V725" s="21"/>
      <c r="Z725" s="12"/>
      <c r="AA725" s="29" t="n">
        <v>5</v>
      </c>
      <c r="AB725" s="84"/>
      <c r="AC725" s="12"/>
      <c r="AD725" s="12"/>
      <c r="AE725" s="12"/>
    </row>
    <row r="726" customFormat="false" ht="15.75" hidden="false" customHeight="false" outlineLevel="0" collapsed="false">
      <c r="A726" s="12" t="str">
        <f aca="false">IF((AA726&gt;=4), "Y", "N")</f>
        <v>Y</v>
      </c>
      <c r="B726" s="13"/>
      <c r="C726" s="14" t="s">
        <v>3154</v>
      </c>
      <c r="D726" s="16" t="s">
        <v>620</v>
      </c>
      <c r="E726" s="25" t="s">
        <v>3155</v>
      </c>
      <c r="F726" s="17" t="s">
        <v>3156</v>
      </c>
      <c r="G726" s="17" t="s">
        <v>2652</v>
      </c>
      <c r="H726" s="17"/>
      <c r="I726" s="26" t="s">
        <v>266</v>
      </c>
      <c r="J726" s="32" t="s">
        <v>58</v>
      </c>
      <c r="K726" s="17"/>
      <c r="L726" s="17"/>
      <c r="M726" s="27"/>
      <c r="N726" s="17"/>
      <c r="O726" s="17"/>
      <c r="P726" s="52" t="s">
        <v>3105</v>
      </c>
      <c r="Q726" s="12"/>
      <c r="R726" s="12"/>
      <c r="S726" s="12"/>
      <c r="T726" s="12"/>
      <c r="U726" s="12"/>
      <c r="V726" s="21"/>
      <c r="Z726" s="12"/>
      <c r="AA726" s="29" t="n">
        <v>5</v>
      </c>
      <c r="AB726" s="84"/>
      <c r="AC726" s="12"/>
      <c r="AD726" s="12"/>
      <c r="AE726" s="12"/>
    </row>
    <row r="727" customFormat="false" ht="15.75" hidden="false" customHeight="false" outlineLevel="0" collapsed="false">
      <c r="A727" s="12" t="str">
        <f aca="false">IF((AA727&gt;=4), "Y", "N")</f>
        <v>Y</v>
      </c>
      <c r="B727" s="13"/>
      <c r="C727" s="72" t="s">
        <v>3157</v>
      </c>
      <c r="D727" s="16" t="s">
        <v>620</v>
      </c>
      <c r="E727" s="25" t="s">
        <v>3158</v>
      </c>
      <c r="F727" s="98" t="s">
        <v>3159</v>
      </c>
      <c r="G727" s="17"/>
      <c r="H727" s="17"/>
      <c r="I727" s="17"/>
      <c r="J727" s="32" t="s">
        <v>58</v>
      </c>
      <c r="K727" s="17" t="n">
        <v>2012</v>
      </c>
      <c r="L727" s="17"/>
      <c r="M727" s="27"/>
      <c r="N727" s="17"/>
      <c r="O727" s="17"/>
      <c r="P727" s="52" t="s">
        <v>3105</v>
      </c>
      <c r="Q727" s="12"/>
      <c r="R727" s="12"/>
      <c r="S727" s="12"/>
      <c r="T727" s="12"/>
      <c r="U727" s="12"/>
      <c r="V727" s="21"/>
      <c r="Z727" s="12"/>
      <c r="AA727" s="29" t="n">
        <v>5</v>
      </c>
      <c r="AB727" s="84"/>
      <c r="AC727" s="12"/>
      <c r="AD727" s="12"/>
      <c r="AE727" s="12"/>
    </row>
    <row r="728" customFormat="false" ht="15.75" hidden="false" customHeight="false" outlineLevel="0" collapsed="false">
      <c r="A728" s="12" t="str">
        <f aca="false">IF((AA728&gt;=4), "Y", "N")</f>
        <v>Y</v>
      </c>
      <c r="B728" s="13"/>
      <c r="C728" s="14" t="s">
        <v>3160</v>
      </c>
      <c r="D728" s="24" t="s">
        <v>51</v>
      </c>
      <c r="E728" s="25" t="s">
        <v>3161</v>
      </c>
      <c r="F728" s="17" t="s">
        <v>3162</v>
      </c>
      <c r="G728" s="17" t="s">
        <v>478</v>
      </c>
      <c r="H728" s="17"/>
      <c r="I728" s="26" t="s">
        <v>610</v>
      </c>
      <c r="J728" s="32" t="s">
        <v>58</v>
      </c>
      <c r="K728" s="17"/>
      <c r="L728" s="17"/>
      <c r="M728" s="27"/>
      <c r="N728" s="17"/>
      <c r="O728" s="17"/>
      <c r="P728" s="52" t="s">
        <v>185</v>
      </c>
      <c r="Q728" s="12"/>
      <c r="R728" s="12"/>
      <c r="S728" s="12"/>
      <c r="T728" s="12"/>
      <c r="U728" s="12"/>
      <c r="V728" s="21"/>
      <c r="Z728" s="12"/>
      <c r="AA728" s="29" t="n">
        <v>4</v>
      </c>
      <c r="AB728" s="84"/>
      <c r="AC728" s="12"/>
      <c r="AD728" s="12"/>
      <c r="AE728" s="12"/>
    </row>
    <row r="729" customFormat="false" ht="15.75" hidden="false" customHeight="false" outlineLevel="0" collapsed="false">
      <c r="A729" s="12"/>
      <c r="B729" s="13"/>
      <c r="C729" s="14" t="s">
        <v>3163</v>
      </c>
      <c r="D729" s="24" t="s">
        <v>51</v>
      </c>
      <c r="E729" s="25" t="s">
        <v>3164</v>
      </c>
      <c r="F729" s="17" t="s">
        <v>3165</v>
      </c>
      <c r="G729" s="17" t="s">
        <v>478</v>
      </c>
      <c r="H729" s="17"/>
      <c r="I729" s="17" t="s">
        <v>131</v>
      </c>
      <c r="J729" s="32" t="s">
        <v>58</v>
      </c>
      <c r="K729" s="17"/>
      <c r="L729" s="17"/>
      <c r="M729" s="27"/>
      <c r="N729" s="17"/>
      <c r="O729" s="17"/>
      <c r="P729" s="52" t="s">
        <v>185</v>
      </c>
      <c r="Q729" s="12"/>
      <c r="R729" s="12"/>
      <c r="S729" s="99"/>
      <c r="T729" s="99" t="s">
        <v>3166</v>
      </c>
      <c r="U729" s="12"/>
      <c r="V729" s="21"/>
      <c r="Z729" s="12"/>
      <c r="AA729" s="29" t="n">
        <v>2</v>
      </c>
      <c r="AB729" s="84"/>
      <c r="AC729" s="12"/>
      <c r="AD729" s="12"/>
      <c r="AE729" s="12"/>
    </row>
    <row r="730" customFormat="false" ht="15.75" hidden="false" customHeight="false" outlineLevel="0" collapsed="false">
      <c r="A730" s="12"/>
      <c r="B730" s="13"/>
      <c r="C730" s="14" t="s">
        <v>3167</v>
      </c>
      <c r="D730" s="24" t="s">
        <v>51</v>
      </c>
      <c r="E730" s="25" t="s">
        <v>3168</v>
      </c>
      <c r="F730" s="17" t="s">
        <v>3169</v>
      </c>
      <c r="G730" s="17" t="s">
        <v>478</v>
      </c>
      <c r="H730" s="17"/>
      <c r="I730" s="26" t="s">
        <v>557</v>
      </c>
      <c r="J730" s="32" t="s">
        <v>58</v>
      </c>
      <c r="K730" s="17"/>
      <c r="L730" s="17"/>
      <c r="M730" s="27"/>
      <c r="N730" s="17"/>
      <c r="O730" s="17"/>
      <c r="P730" s="52" t="s">
        <v>185</v>
      </c>
      <c r="Q730" s="12"/>
      <c r="R730" s="12"/>
      <c r="S730" s="12"/>
      <c r="T730" s="12"/>
      <c r="U730" s="12"/>
      <c r="V730" s="21"/>
      <c r="Z730" s="12"/>
      <c r="AA730" s="29" t="n">
        <v>2</v>
      </c>
      <c r="AB730" s="84"/>
      <c r="AC730" s="12"/>
      <c r="AD730" s="12"/>
      <c r="AE730" s="12"/>
    </row>
    <row r="731" customFormat="false" ht="15.75" hidden="false" customHeight="false" outlineLevel="0" collapsed="false">
      <c r="A731" s="12"/>
      <c r="B731" s="13"/>
      <c r="C731" s="14" t="s">
        <v>3170</v>
      </c>
      <c r="D731" s="24" t="s">
        <v>51</v>
      </c>
      <c r="E731" s="25" t="s">
        <v>3171</v>
      </c>
      <c r="F731" s="17" t="s">
        <v>3172</v>
      </c>
      <c r="G731" s="17" t="s">
        <v>478</v>
      </c>
      <c r="H731" s="17"/>
      <c r="I731" s="26" t="s">
        <v>209</v>
      </c>
      <c r="J731" s="32" t="s">
        <v>58</v>
      </c>
      <c r="K731" s="17"/>
      <c r="L731" s="17"/>
      <c r="M731" s="27"/>
      <c r="N731" s="17"/>
      <c r="O731" s="17"/>
      <c r="P731" s="52" t="s">
        <v>185</v>
      </c>
      <c r="Q731" s="12"/>
      <c r="R731" s="12"/>
      <c r="S731" s="12"/>
      <c r="T731" s="12"/>
      <c r="U731" s="12"/>
      <c r="V731" s="21"/>
      <c r="Z731" s="12"/>
      <c r="AA731" s="29" t="n">
        <v>3</v>
      </c>
      <c r="AB731" s="84"/>
      <c r="AC731" s="12"/>
      <c r="AD731" s="12"/>
      <c r="AE731" s="12"/>
    </row>
    <row r="732" customFormat="false" ht="15.75" hidden="false" customHeight="false" outlineLevel="0" collapsed="false">
      <c r="A732" s="12"/>
      <c r="B732" s="13"/>
      <c r="C732" s="14" t="s">
        <v>3173</v>
      </c>
      <c r="D732" s="24" t="s">
        <v>51</v>
      </c>
      <c r="E732" s="25" t="s">
        <v>3174</v>
      </c>
      <c r="F732" s="17" t="s">
        <v>3175</v>
      </c>
      <c r="G732" s="17" t="s">
        <v>478</v>
      </c>
      <c r="H732" s="17"/>
      <c r="I732" s="26" t="s">
        <v>610</v>
      </c>
      <c r="J732" s="32" t="s">
        <v>58</v>
      </c>
      <c r="K732" s="17"/>
      <c r="L732" s="17"/>
      <c r="M732" s="27"/>
      <c r="N732" s="17"/>
      <c r="O732" s="17"/>
      <c r="P732" s="52" t="s">
        <v>185</v>
      </c>
      <c r="Q732" s="12"/>
      <c r="R732" s="12"/>
      <c r="S732" s="12"/>
      <c r="T732" s="12"/>
      <c r="U732" s="12"/>
      <c r="V732" s="21"/>
      <c r="Z732" s="12"/>
      <c r="AA732" s="29" t="n">
        <v>3</v>
      </c>
      <c r="AB732" s="84"/>
      <c r="AC732" s="12"/>
      <c r="AD732" s="12"/>
      <c r="AE732" s="12"/>
    </row>
    <row r="733" customFormat="false" ht="15.75" hidden="false" customHeight="false" outlineLevel="0" collapsed="false">
      <c r="A733" s="12"/>
      <c r="B733" s="13"/>
      <c r="C733" s="14" t="s">
        <v>3176</v>
      </c>
      <c r="D733" s="24" t="s">
        <v>51</v>
      </c>
      <c r="E733" s="25" t="s">
        <v>3177</v>
      </c>
      <c r="F733" s="17" t="s">
        <v>3178</v>
      </c>
      <c r="G733" s="17" t="s">
        <v>478</v>
      </c>
      <c r="H733" s="17"/>
      <c r="I733" s="17" t="s">
        <v>36</v>
      </c>
      <c r="J733" s="32" t="s">
        <v>58</v>
      </c>
      <c r="K733" s="17"/>
      <c r="L733" s="17"/>
      <c r="M733" s="27"/>
      <c r="N733" s="17"/>
      <c r="O733" s="17"/>
      <c r="P733" s="52" t="s">
        <v>185</v>
      </c>
      <c r="Q733" s="12"/>
      <c r="R733" s="12"/>
      <c r="S733" s="12"/>
      <c r="T733" s="12"/>
      <c r="U733" s="12"/>
      <c r="V733" s="21"/>
      <c r="Z733" s="12"/>
      <c r="AA733" s="29" t="n">
        <v>3</v>
      </c>
      <c r="AB733" s="84"/>
      <c r="AC733" s="12"/>
      <c r="AD733" s="12"/>
      <c r="AE733" s="12"/>
    </row>
    <row r="734" customFormat="false" ht="15.75" hidden="false" customHeight="false" outlineLevel="0" collapsed="false">
      <c r="A734" s="12" t="str">
        <f aca="false">IF((AA734&gt;=4), "Y", "N")</f>
        <v>Y</v>
      </c>
      <c r="B734" s="13"/>
      <c r="C734" s="14" t="s">
        <v>3179</v>
      </c>
      <c r="D734" s="24" t="s">
        <v>51</v>
      </c>
      <c r="E734" s="25" t="s">
        <v>3180</v>
      </c>
      <c r="F734" s="17" t="s">
        <v>3181</v>
      </c>
      <c r="G734" s="17" t="s">
        <v>478</v>
      </c>
      <c r="H734" s="47"/>
      <c r="I734" s="26" t="s">
        <v>886</v>
      </c>
      <c r="J734" s="32" t="s">
        <v>58</v>
      </c>
      <c r="K734" s="17" t="n">
        <v>2011</v>
      </c>
      <c r="L734" s="17"/>
      <c r="M734" s="27"/>
      <c r="N734" s="17"/>
      <c r="O734" s="17"/>
      <c r="P734" s="52" t="s">
        <v>185</v>
      </c>
      <c r="Q734" s="12"/>
      <c r="R734" s="12"/>
      <c r="S734" s="12"/>
      <c r="T734" s="12" t="s">
        <v>3182</v>
      </c>
      <c r="U734" s="12"/>
      <c r="V734" s="21"/>
      <c r="Z734" s="12"/>
      <c r="AA734" s="29" t="n">
        <v>5</v>
      </c>
      <c r="AB734" s="84"/>
      <c r="AC734" s="12"/>
      <c r="AD734" s="12"/>
      <c r="AE734" s="12"/>
    </row>
    <row r="735" customFormat="false" ht="15.75" hidden="false" customHeight="false" outlineLevel="0" collapsed="false">
      <c r="A735" s="12"/>
      <c r="B735" s="13"/>
      <c r="C735" s="14" t="s">
        <v>3183</v>
      </c>
      <c r="D735" s="24" t="s">
        <v>51</v>
      </c>
      <c r="E735" s="25" t="s">
        <v>3184</v>
      </c>
      <c r="F735" s="17" t="s">
        <v>3185</v>
      </c>
      <c r="G735" s="17" t="s">
        <v>478</v>
      </c>
      <c r="H735" s="17"/>
      <c r="I735" s="26" t="s">
        <v>266</v>
      </c>
      <c r="J735" s="32" t="s">
        <v>58</v>
      </c>
      <c r="K735" s="17"/>
      <c r="L735" s="17"/>
      <c r="M735" s="27"/>
      <c r="N735" s="17"/>
      <c r="O735" s="17"/>
      <c r="P735" s="52" t="s">
        <v>185</v>
      </c>
      <c r="Q735" s="12"/>
      <c r="R735" s="12"/>
      <c r="S735" s="12"/>
      <c r="T735" s="12" t="s">
        <v>3186</v>
      </c>
      <c r="U735" s="12"/>
      <c r="V735" s="21"/>
      <c r="Z735" s="12"/>
      <c r="AA735" s="29" t="n">
        <v>3</v>
      </c>
      <c r="AB735" s="84"/>
      <c r="AC735" s="12"/>
      <c r="AD735" s="12"/>
      <c r="AE735" s="12"/>
    </row>
    <row r="736" customFormat="false" ht="15.75" hidden="false" customHeight="false" outlineLevel="0" collapsed="false">
      <c r="A736" s="12"/>
      <c r="B736" s="13"/>
      <c r="C736" s="14" t="s">
        <v>3187</v>
      </c>
      <c r="D736" s="24" t="s">
        <v>51</v>
      </c>
      <c r="E736" s="25" t="s">
        <v>3188</v>
      </c>
      <c r="F736" s="17" t="s">
        <v>3189</v>
      </c>
      <c r="G736" s="17" t="s">
        <v>478</v>
      </c>
      <c r="H736" s="17"/>
      <c r="I736" s="26" t="s">
        <v>557</v>
      </c>
      <c r="J736" s="32" t="s">
        <v>58</v>
      </c>
      <c r="K736" s="17"/>
      <c r="L736" s="17"/>
      <c r="M736" s="27"/>
      <c r="N736" s="17"/>
      <c r="O736" s="17"/>
      <c r="P736" s="52" t="s">
        <v>185</v>
      </c>
      <c r="Q736" s="12"/>
      <c r="R736" s="12"/>
      <c r="S736" s="12"/>
      <c r="T736" s="12" t="s">
        <v>3190</v>
      </c>
      <c r="U736" s="12"/>
      <c r="V736" s="21"/>
      <c r="Z736" s="12"/>
      <c r="AA736" s="29" t="n">
        <v>3</v>
      </c>
      <c r="AB736" s="84"/>
      <c r="AC736" s="12"/>
      <c r="AD736" s="12"/>
      <c r="AE736" s="12"/>
    </row>
    <row r="737" customFormat="false" ht="15.75" hidden="false" customHeight="false" outlineLevel="0" collapsed="false">
      <c r="A737" s="12" t="str">
        <f aca="false">IF((AA737&gt;=4), "Y", "N")</f>
        <v>Y</v>
      </c>
      <c r="B737" s="13"/>
      <c r="C737" s="14" t="s">
        <v>3191</v>
      </c>
      <c r="D737" s="24" t="s">
        <v>51</v>
      </c>
      <c r="E737" s="25" t="s">
        <v>3192</v>
      </c>
      <c r="F737" s="17" t="s">
        <v>3193</v>
      </c>
      <c r="G737" s="17" t="s">
        <v>3194</v>
      </c>
      <c r="H737" s="17" t="s">
        <v>72</v>
      </c>
      <c r="I737" s="17" t="s">
        <v>36</v>
      </c>
      <c r="J737" s="32" t="s">
        <v>58</v>
      </c>
      <c r="K737" s="17" t="n">
        <v>2012</v>
      </c>
      <c r="L737" s="17"/>
      <c r="M737" s="27"/>
      <c r="N737" s="17"/>
      <c r="O737" s="17"/>
      <c r="P737" s="52" t="s">
        <v>185</v>
      </c>
      <c r="Q737" s="12"/>
      <c r="R737" s="12"/>
      <c r="S737" s="12"/>
      <c r="T737" s="12"/>
      <c r="U737" s="12"/>
      <c r="V737" s="21"/>
      <c r="Z737" s="12"/>
      <c r="AA737" s="29" t="n">
        <v>4</v>
      </c>
      <c r="AB737" s="84"/>
      <c r="AC737" s="12"/>
      <c r="AD737" s="12"/>
      <c r="AE737" s="12"/>
    </row>
    <row r="738" customFormat="false" ht="15.75" hidden="false" customHeight="false" outlineLevel="0" collapsed="false">
      <c r="A738" s="12"/>
      <c r="B738" s="13"/>
      <c r="C738" s="14" t="s">
        <v>3195</v>
      </c>
      <c r="D738" s="24" t="s">
        <v>51</v>
      </c>
      <c r="E738" s="25" t="s">
        <v>3196</v>
      </c>
      <c r="F738" s="17" t="s">
        <v>3197</v>
      </c>
      <c r="G738" s="17" t="s">
        <v>183</v>
      </c>
      <c r="H738" s="17"/>
      <c r="I738" s="17" t="s">
        <v>36</v>
      </c>
      <c r="J738" s="32" t="s">
        <v>58</v>
      </c>
      <c r="K738" s="17" t="n">
        <v>2004</v>
      </c>
      <c r="L738" s="17"/>
      <c r="M738" s="27"/>
      <c r="N738" s="17"/>
      <c r="O738" s="17"/>
      <c r="P738" s="52" t="s">
        <v>185</v>
      </c>
      <c r="Q738" s="12"/>
      <c r="R738" s="12"/>
      <c r="S738" s="12"/>
      <c r="T738" s="12" t="s">
        <v>3198</v>
      </c>
      <c r="U738" s="12"/>
      <c r="V738" s="21"/>
      <c r="Z738" s="12"/>
      <c r="AA738" s="29" t="n">
        <v>3</v>
      </c>
      <c r="AB738" s="84"/>
      <c r="AC738" s="12"/>
      <c r="AD738" s="12"/>
      <c r="AE738" s="12"/>
    </row>
    <row r="739" customFormat="false" ht="15.75" hidden="false" customHeight="false" outlineLevel="0" collapsed="false">
      <c r="A739" s="12"/>
      <c r="B739" s="13"/>
      <c r="C739" s="14" t="s">
        <v>3199</v>
      </c>
      <c r="D739" s="24" t="s">
        <v>51</v>
      </c>
      <c r="E739" s="25" t="s">
        <v>3200</v>
      </c>
      <c r="F739" s="17" t="s">
        <v>3201</v>
      </c>
      <c r="G739" s="17" t="s">
        <v>183</v>
      </c>
      <c r="H739" s="17"/>
      <c r="I739" s="17" t="s">
        <v>131</v>
      </c>
      <c r="J739" s="32" t="s">
        <v>58</v>
      </c>
      <c r="K739" s="17"/>
      <c r="L739" s="17"/>
      <c r="M739" s="27"/>
      <c r="N739" s="17"/>
      <c r="O739" s="17"/>
      <c r="P739" s="52" t="s">
        <v>185</v>
      </c>
      <c r="Q739" s="12"/>
      <c r="R739" s="12"/>
      <c r="S739" s="12"/>
      <c r="T739" s="12" t="s">
        <v>3202</v>
      </c>
      <c r="U739" s="12"/>
      <c r="V739" s="21"/>
      <c r="Z739" s="12"/>
      <c r="AA739" s="29" t="n">
        <v>3</v>
      </c>
      <c r="AB739" s="84"/>
      <c r="AC739" s="12"/>
      <c r="AD739" s="12"/>
      <c r="AE739" s="12"/>
    </row>
    <row r="740" customFormat="false" ht="15.75" hidden="false" customHeight="false" outlineLevel="0" collapsed="false">
      <c r="A740" s="12"/>
      <c r="B740" s="13"/>
      <c r="C740" s="14" t="s">
        <v>3203</v>
      </c>
      <c r="D740" s="24" t="s">
        <v>51</v>
      </c>
      <c r="E740" s="25" t="s">
        <v>3204</v>
      </c>
      <c r="F740" s="17" t="s">
        <v>3205</v>
      </c>
      <c r="G740" s="17" t="s">
        <v>478</v>
      </c>
      <c r="H740" s="17"/>
      <c r="I740" s="26" t="s">
        <v>557</v>
      </c>
      <c r="J740" s="32" t="s">
        <v>58</v>
      </c>
      <c r="K740" s="17" t="n">
        <v>2011</v>
      </c>
      <c r="L740" s="17"/>
      <c r="M740" s="27"/>
      <c r="N740" s="17"/>
      <c r="O740" s="17"/>
      <c r="P740" s="52" t="s">
        <v>185</v>
      </c>
      <c r="Q740" s="12"/>
      <c r="R740" s="12"/>
      <c r="S740" s="12"/>
      <c r="T740" s="12" t="s">
        <v>3206</v>
      </c>
      <c r="U740" s="12"/>
      <c r="V740" s="21"/>
      <c r="Z740" s="12"/>
      <c r="AA740" s="29" t="n">
        <v>3</v>
      </c>
      <c r="AB740" s="84"/>
      <c r="AC740" s="12"/>
      <c r="AD740" s="12"/>
      <c r="AE740" s="12"/>
    </row>
    <row r="741" customFormat="false" ht="15.75" hidden="false" customHeight="false" outlineLevel="0" collapsed="false">
      <c r="A741" s="12"/>
      <c r="B741" s="13"/>
      <c r="C741" s="14" t="s">
        <v>3207</v>
      </c>
      <c r="D741" s="24" t="s">
        <v>51</v>
      </c>
      <c r="E741" s="25" t="s">
        <v>3208</v>
      </c>
      <c r="F741" s="17" t="s">
        <v>3209</v>
      </c>
      <c r="G741" s="17" t="s">
        <v>478</v>
      </c>
      <c r="H741" s="17"/>
      <c r="I741" s="26" t="s">
        <v>724</v>
      </c>
      <c r="J741" s="32" t="s">
        <v>58</v>
      </c>
      <c r="K741" s="17"/>
      <c r="L741" s="17"/>
      <c r="M741" s="27"/>
      <c r="N741" s="17"/>
      <c r="O741" s="17"/>
      <c r="P741" s="52" t="s">
        <v>185</v>
      </c>
      <c r="Q741" s="12"/>
      <c r="R741" s="12"/>
      <c r="S741" s="12"/>
      <c r="T741" s="12"/>
      <c r="U741" s="12"/>
      <c r="V741" s="21"/>
      <c r="Z741" s="12"/>
      <c r="AA741" s="29" t="n">
        <v>3</v>
      </c>
      <c r="AB741" s="84"/>
      <c r="AC741" s="12"/>
      <c r="AD741" s="12"/>
      <c r="AE741" s="12"/>
    </row>
    <row r="742" customFormat="false" ht="15.75" hidden="false" customHeight="false" outlineLevel="0" collapsed="false">
      <c r="A742" s="12"/>
      <c r="B742" s="13" t="s">
        <v>528</v>
      </c>
      <c r="C742" s="14" t="s">
        <v>3210</v>
      </c>
      <c r="D742" s="24" t="s">
        <v>51</v>
      </c>
      <c r="E742" s="25" t="s">
        <v>3211</v>
      </c>
      <c r="F742" s="17" t="s">
        <v>3212</v>
      </c>
      <c r="G742" s="17" t="s">
        <v>3213</v>
      </c>
      <c r="H742" s="17" t="s">
        <v>369</v>
      </c>
      <c r="I742" s="17" t="s">
        <v>36</v>
      </c>
      <c r="J742" s="32" t="s">
        <v>58</v>
      </c>
      <c r="K742" s="17" t="n">
        <v>2006</v>
      </c>
      <c r="L742" s="17" t="s">
        <v>99</v>
      </c>
      <c r="M742" s="27" t="s">
        <v>58</v>
      </c>
      <c r="N742" s="68"/>
      <c r="O742" s="17" t="s">
        <v>157</v>
      </c>
      <c r="P742" s="40" t="s">
        <v>150</v>
      </c>
      <c r="Q742" s="12"/>
      <c r="R742" s="12"/>
      <c r="S742" s="12"/>
      <c r="T742" s="12"/>
      <c r="U742" s="12"/>
      <c r="V742" s="21"/>
      <c r="Z742" s="12"/>
      <c r="AA742" s="29" t="n">
        <v>5</v>
      </c>
      <c r="AB742" s="12"/>
      <c r="AC742" s="12"/>
      <c r="AD742" s="12"/>
      <c r="AE742" s="12"/>
    </row>
    <row r="743" customFormat="false" ht="15.75" hidden="false" customHeight="false" outlineLevel="0" collapsed="false">
      <c r="A743" s="12" t="str">
        <f aca="false">IF((AA743&gt;=4), "Y", "N")</f>
        <v>Y</v>
      </c>
      <c r="B743" s="13"/>
      <c r="C743" s="14" t="s">
        <v>3214</v>
      </c>
      <c r="D743" s="16" t="s">
        <v>620</v>
      </c>
      <c r="E743" s="25" t="s">
        <v>3215</v>
      </c>
      <c r="F743" s="17" t="s">
        <v>3216</v>
      </c>
      <c r="G743" s="17" t="s">
        <v>478</v>
      </c>
      <c r="H743" s="17"/>
      <c r="I743" s="17" t="s">
        <v>260</v>
      </c>
      <c r="J743" s="32" t="s">
        <v>57</v>
      </c>
      <c r="K743" s="17"/>
      <c r="L743" s="17"/>
      <c r="M743" s="27"/>
      <c r="N743" s="17"/>
      <c r="O743" s="17"/>
      <c r="P743" s="52" t="s">
        <v>3105</v>
      </c>
      <c r="Q743" s="12"/>
      <c r="R743" s="12" t="s">
        <v>3217</v>
      </c>
      <c r="S743" s="12"/>
      <c r="T743" s="12" t="s">
        <v>3218</v>
      </c>
      <c r="U743" s="12"/>
      <c r="V743" s="21"/>
      <c r="Z743" s="12"/>
      <c r="AA743" s="29" t="n">
        <v>5</v>
      </c>
      <c r="AB743" s="84"/>
      <c r="AC743" s="12"/>
      <c r="AD743" s="12"/>
      <c r="AE743" s="12"/>
    </row>
    <row r="744" customFormat="false" ht="15.75" hidden="false" customHeight="false" outlineLevel="0" collapsed="false">
      <c r="A744" s="12" t="str">
        <f aca="false">IF((AA744&gt;=4), "Y", "N")</f>
        <v>Y</v>
      </c>
      <c r="B744" s="13"/>
      <c r="C744" s="14" t="s">
        <v>3219</v>
      </c>
      <c r="D744" s="16" t="s">
        <v>620</v>
      </c>
      <c r="E744" s="25" t="s">
        <v>3220</v>
      </c>
      <c r="F744" s="17" t="s">
        <v>3221</v>
      </c>
      <c r="G744" s="17" t="s">
        <v>3222</v>
      </c>
      <c r="H744" s="17"/>
      <c r="I744" s="26" t="s">
        <v>3223</v>
      </c>
      <c r="J744" s="32" t="s">
        <v>57</v>
      </c>
      <c r="K744" s="17"/>
      <c r="L744" s="17"/>
      <c r="M744" s="27"/>
      <c r="N744" s="17"/>
      <c r="O744" s="17"/>
      <c r="P744" s="52" t="s">
        <v>3105</v>
      </c>
      <c r="Q744" s="12"/>
      <c r="R744" s="12"/>
      <c r="S744" s="12"/>
      <c r="T744" s="12"/>
      <c r="U744" s="12"/>
      <c r="V744" s="21"/>
      <c r="Z744" s="12"/>
      <c r="AA744" s="29" t="n">
        <v>5</v>
      </c>
      <c r="AB744" s="84"/>
      <c r="AC744" s="12"/>
      <c r="AD744" s="12"/>
      <c r="AE744" s="12"/>
    </row>
    <row r="745" customFormat="false" ht="15.75" hidden="false" customHeight="false" outlineLevel="0" collapsed="false">
      <c r="A745" s="12" t="str">
        <f aca="false">IF((AA745&gt;=4), "Y", "N")</f>
        <v>Y</v>
      </c>
      <c r="B745" s="13"/>
      <c r="C745" s="14" t="s">
        <v>3224</v>
      </c>
      <c r="D745" s="24" t="s">
        <v>51</v>
      </c>
      <c r="E745" s="25" t="s">
        <v>3225</v>
      </c>
      <c r="F745" s="17" t="s">
        <v>3226</v>
      </c>
      <c r="G745" s="17" t="s">
        <v>1937</v>
      </c>
      <c r="H745" s="17" t="s">
        <v>72</v>
      </c>
      <c r="I745" s="17" t="s">
        <v>36</v>
      </c>
      <c r="J745" s="32" t="s">
        <v>57</v>
      </c>
      <c r="K745" s="17"/>
      <c r="L745" s="17"/>
      <c r="M745" s="27"/>
      <c r="N745" s="17"/>
      <c r="O745" s="17"/>
      <c r="P745" s="52" t="s">
        <v>185</v>
      </c>
      <c r="Q745" s="12"/>
      <c r="R745" s="12"/>
      <c r="S745" s="12"/>
      <c r="T745" s="12"/>
      <c r="U745" s="12"/>
      <c r="V745" s="21"/>
      <c r="Z745" s="12"/>
      <c r="AA745" s="29" t="n">
        <v>5</v>
      </c>
      <c r="AB745" s="84"/>
      <c r="AC745" s="12"/>
      <c r="AD745" s="12"/>
      <c r="AE745" s="12"/>
    </row>
    <row r="746" customFormat="false" ht="15.75" hidden="false" customHeight="false" outlineLevel="0" collapsed="false">
      <c r="A746" s="12" t="str">
        <f aca="false">IF((AA746&gt;=4), "Y", "N")</f>
        <v>Y</v>
      </c>
      <c r="B746" s="13"/>
      <c r="C746" s="14" t="s">
        <v>3227</v>
      </c>
      <c r="D746" s="24" t="s">
        <v>51</v>
      </c>
      <c r="E746" s="25" t="s">
        <v>3228</v>
      </c>
      <c r="F746" s="17" t="s">
        <v>3229</v>
      </c>
      <c r="G746" s="17" t="s">
        <v>478</v>
      </c>
      <c r="H746" s="17"/>
      <c r="I746" s="17"/>
      <c r="J746" s="32" t="s">
        <v>57</v>
      </c>
      <c r="K746" s="17"/>
      <c r="L746" s="17"/>
      <c r="M746" s="27"/>
      <c r="N746" s="17"/>
      <c r="O746" s="17"/>
      <c r="P746" s="52" t="s">
        <v>185</v>
      </c>
      <c r="Q746" s="12"/>
      <c r="R746" s="12"/>
      <c r="S746" s="12"/>
      <c r="T746" s="12"/>
      <c r="U746" s="12"/>
      <c r="V746" s="21"/>
      <c r="Z746" s="12"/>
      <c r="AA746" s="29" t="n">
        <v>4</v>
      </c>
      <c r="AB746" s="84"/>
      <c r="AC746" s="12"/>
      <c r="AD746" s="12"/>
      <c r="AE746" s="12"/>
    </row>
    <row r="747" customFormat="false" ht="15.75" hidden="false" customHeight="false" outlineLevel="0" collapsed="false">
      <c r="A747" s="12"/>
      <c r="B747" s="13"/>
      <c r="C747" s="14" t="s">
        <v>3230</v>
      </c>
      <c r="D747" s="24" t="s">
        <v>51</v>
      </c>
      <c r="E747" s="25" t="s">
        <v>3231</v>
      </c>
      <c r="F747" s="17" t="s">
        <v>3232</v>
      </c>
      <c r="G747" s="17" t="s">
        <v>3233</v>
      </c>
      <c r="H747" s="17"/>
      <c r="I747" s="26" t="s">
        <v>3234</v>
      </c>
      <c r="J747" s="32" t="s">
        <v>57</v>
      </c>
      <c r="K747" s="17"/>
      <c r="L747" s="17"/>
      <c r="M747" s="27"/>
      <c r="N747" s="17"/>
      <c r="O747" s="17"/>
      <c r="P747" s="52" t="s">
        <v>185</v>
      </c>
      <c r="Q747" s="12"/>
      <c r="R747" s="12"/>
      <c r="S747" s="12"/>
      <c r="T747" s="12"/>
      <c r="U747" s="12"/>
      <c r="V747" s="21"/>
      <c r="Z747" s="12"/>
      <c r="AA747" s="29" t="n">
        <v>1</v>
      </c>
      <c r="AB747" s="84"/>
      <c r="AC747" s="12"/>
      <c r="AD747" s="12"/>
      <c r="AE747" s="12"/>
    </row>
    <row r="748" customFormat="false" ht="15.75" hidden="false" customHeight="false" outlineLevel="0" collapsed="false">
      <c r="A748" s="12" t="str">
        <f aca="false">IF((AA748&gt;=4), "Y", "N")</f>
        <v>Y</v>
      </c>
      <c r="B748" s="13"/>
      <c r="C748" s="14" t="s">
        <v>3235</v>
      </c>
      <c r="D748" s="24"/>
      <c r="E748" s="25" t="s">
        <v>3236</v>
      </c>
      <c r="F748" s="17" t="s">
        <v>3237</v>
      </c>
      <c r="G748" s="17" t="s">
        <v>183</v>
      </c>
      <c r="H748" s="17"/>
      <c r="I748" s="26" t="s">
        <v>3238</v>
      </c>
      <c r="J748" s="32" t="s">
        <v>57</v>
      </c>
      <c r="K748" s="17"/>
      <c r="L748" s="17"/>
      <c r="M748" s="27"/>
      <c r="N748" s="17"/>
      <c r="O748" s="17"/>
      <c r="P748" s="52" t="s">
        <v>185</v>
      </c>
      <c r="Q748" s="12"/>
      <c r="R748" s="12"/>
      <c r="S748" s="12"/>
      <c r="T748" s="12"/>
      <c r="U748" s="12"/>
      <c r="V748" s="21"/>
      <c r="Z748" s="12"/>
      <c r="AA748" s="29" t="n">
        <v>4</v>
      </c>
      <c r="AB748" s="84"/>
      <c r="AC748" s="12"/>
      <c r="AD748" s="12"/>
      <c r="AE748" s="12"/>
    </row>
    <row r="749" customFormat="false" ht="15.75" hidden="false" customHeight="false" outlineLevel="0" collapsed="false">
      <c r="A749" s="12" t="str">
        <f aca="false">IF((AA749&gt;=4), "Y", "N")</f>
        <v>Y</v>
      </c>
      <c r="B749" s="13"/>
      <c r="C749" s="14" t="s">
        <v>3239</v>
      </c>
      <c r="D749" s="24" t="s">
        <v>51</v>
      </c>
      <c r="E749" s="25" t="s">
        <v>3240</v>
      </c>
      <c r="F749" s="17" t="s">
        <v>3241</v>
      </c>
      <c r="G749" s="17" t="s">
        <v>183</v>
      </c>
      <c r="H749" s="17"/>
      <c r="I749" s="26" t="s">
        <v>166</v>
      </c>
      <c r="J749" s="32" t="s">
        <v>57</v>
      </c>
      <c r="K749" s="17"/>
      <c r="L749" s="17"/>
      <c r="M749" s="27"/>
      <c r="N749" s="17"/>
      <c r="O749" s="17"/>
      <c r="P749" s="52" t="s">
        <v>185</v>
      </c>
      <c r="Q749" s="12"/>
      <c r="R749" s="12"/>
      <c r="S749" s="12"/>
      <c r="T749" s="12"/>
      <c r="U749" s="12"/>
      <c r="V749" s="21"/>
      <c r="Z749" s="12"/>
      <c r="AA749" s="29" t="n">
        <v>4</v>
      </c>
      <c r="AB749" s="84"/>
      <c r="AC749" s="12"/>
      <c r="AD749" s="12"/>
      <c r="AE749" s="12"/>
    </row>
    <row r="750" customFormat="false" ht="15.75" hidden="false" customHeight="false" outlineLevel="0" collapsed="false">
      <c r="A750" s="12"/>
      <c r="B750" s="13"/>
      <c r="C750" s="14" t="s">
        <v>3242</v>
      </c>
      <c r="D750" s="24" t="s">
        <v>51</v>
      </c>
      <c r="E750" s="25" t="s">
        <v>3243</v>
      </c>
      <c r="F750" s="17" t="s">
        <v>3244</v>
      </c>
      <c r="G750" s="17" t="s">
        <v>183</v>
      </c>
      <c r="H750" s="17"/>
      <c r="I750" s="26" t="s">
        <v>166</v>
      </c>
      <c r="J750" s="32" t="s">
        <v>57</v>
      </c>
      <c r="K750" s="17"/>
      <c r="L750" s="17"/>
      <c r="M750" s="27"/>
      <c r="N750" s="17"/>
      <c r="O750" s="17"/>
      <c r="P750" s="52" t="s">
        <v>185</v>
      </c>
      <c r="Q750" s="12"/>
      <c r="R750" s="12"/>
      <c r="S750" s="12"/>
      <c r="T750" s="12"/>
      <c r="U750" s="12"/>
      <c r="V750" s="21"/>
      <c r="Z750" s="12"/>
      <c r="AA750" s="29" t="n">
        <v>3</v>
      </c>
      <c r="AB750" s="84"/>
      <c r="AC750" s="12"/>
      <c r="AD750" s="12"/>
      <c r="AE750" s="12"/>
    </row>
    <row r="751" customFormat="false" ht="15.75" hidden="false" customHeight="false" outlineLevel="0" collapsed="false">
      <c r="A751" s="12"/>
      <c r="B751" s="13"/>
      <c r="C751" s="14" t="s">
        <v>3245</v>
      </c>
      <c r="D751" s="24" t="s">
        <v>51</v>
      </c>
      <c r="E751" s="25" t="s">
        <v>3246</v>
      </c>
      <c r="F751" s="17" t="s">
        <v>3247</v>
      </c>
      <c r="G751" s="17" t="s">
        <v>3248</v>
      </c>
      <c r="H751" s="17"/>
      <c r="I751" s="26" t="s">
        <v>724</v>
      </c>
      <c r="J751" s="32" t="s">
        <v>57</v>
      </c>
      <c r="K751" s="17"/>
      <c r="L751" s="17"/>
      <c r="M751" s="27"/>
      <c r="N751" s="17"/>
      <c r="O751" s="17"/>
      <c r="P751" s="52" t="s">
        <v>185</v>
      </c>
      <c r="Q751" s="12"/>
      <c r="R751" s="12"/>
      <c r="S751" s="12"/>
      <c r="T751" s="12"/>
      <c r="U751" s="12"/>
      <c r="V751" s="21"/>
      <c r="Z751" s="12"/>
      <c r="AA751" s="29" t="n">
        <v>2</v>
      </c>
      <c r="AB751" s="84"/>
      <c r="AC751" s="12"/>
      <c r="AD751" s="12"/>
      <c r="AE751" s="12"/>
    </row>
    <row r="752" customFormat="false" ht="15.75" hidden="false" customHeight="false" outlineLevel="0" collapsed="false">
      <c r="A752" s="12"/>
      <c r="B752" s="13"/>
      <c r="C752" s="14" t="s">
        <v>3249</v>
      </c>
      <c r="D752" s="24" t="s">
        <v>51</v>
      </c>
      <c r="E752" s="25" t="s">
        <v>3250</v>
      </c>
      <c r="F752" s="17" t="s">
        <v>3251</v>
      </c>
      <c r="G752" s="17" t="s">
        <v>3248</v>
      </c>
      <c r="H752" s="17"/>
      <c r="I752" s="26" t="s">
        <v>724</v>
      </c>
      <c r="J752" s="32" t="s">
        <v>57</v>
      </c>
      <c r="K752" s="17"/>
      <c r="L752" s="17"/>
      <c r="M752" s="27"/>
      <c r="N752" s="17"/>
      <c r="O752" s="17"/>
      <c r="P752" s="52" t="s">
        <v>185</v>
      </c>
      <c r="Q752" s="12"/>
      <c r="R752" s="12"/>
      <c r="S752" s="12"/>
      <c r="T752" s="12"/>
      <c r="U752" s="12"/>
      <c r="V752" s="21"/>
      <c r="Z752" s="12"/>
      <c r="AA752" s="29" t="n">
        <v>3</v>
      </c>
      <c r="AB752" s="84"/>
      <c r="AC752" s="12"/>
      <c r="AD752" s="12"/>
      <c r="AE752" s="12"/>
    </row>
    <row r="753" customFormat="false" ht="15.75" hidden="false" customHeight="false" outlineLevel="0" collapsed="false">
      <c r="A753" s="12"/>
      <c r="B753" s="13"/>
      <c r="C753" s="14" t="s">
        <v>3252</v>
      </c>
      <c r="D753" s="24" t="s">
        <v>51</v>
      </c>
      <c r="E753" s="25" t="s">
        <v>3253</v>
      </c>
      <c r="F753" s="17" t="s">
        <v>3254</v>
      </c>
      <c r="G753" s="17" t="s">
        <v>478</v>
      </c>
      <c r="H753" s="17"/>
      <c r="I753" s="26" t="s">
        <v>886</v>
      </c>
      <c r="J753" s="32" t="s">
        <v>57</v>
      </c>
      <c r="K753" s="17"/>
      <c r="L753" s="17"/>
      <c r="M753" s="27"/>
      <c r="N753" s="17"/>
      <c r="O753" s="17"/>
      <c r="P753" s="52" t="s">
        <v>185</v>
      </c>
      <c r="Q753" s="12"/>
      <c r="R753" s="12"/>
      <c r="S753" s="12"/>
      <c r="T753" s="12" t="s">
        <v>3255</v>
      </c>
      <c r="U753" s="12"/>
      <c r="V753" s="21"/>
      <c r="Z753" s="12"/>
      <c r="AA753" s="29" t="n">
        <v>2</v>
      </c>
      <c r="AB753" s="84"/>
      <c r="AC753" s="12"/>
      <c r="AD753" s="12"/>
      <c r="AE753" s="12"/>
    </row>
    <row r="754" customFormat="false" ht="15.75" hidden="false" customHeight="false" outlineLevel="0" collapsed="false">
      <c r="A754" s="12"/>
      <c r="B754" s="12"/>
      <c r="C754" s="23" t="s">
        <v>3256</v>
      </c>
      <c r="D754" s="24" t="s">
        <v>51</v>
      </c>
      <c r="E754" s="25" t="s">
        <v>3257</v>
      </c>
      <c r="F754" s="17" t="s">
        <v>3258</v>
      </c>
      <c r="G754" s="17" t="s">
        <v>3259</v>
      </c>
      <c r="H754" s="17"/>
      <c r="I754" s="26" t="s">
        <v>724</v>
      </c>
      <c r="J754" s="17" t="s">
        <v>3260</v>
      </c>
      <c r="K754" s="17"/>
      <c r="L754" s="17"/>
      <c r="M754" s="27"/>
      <c r="N754" s="17"/>
      <c r="O754" s="17"/>
      <c r="P754" s="28" t="s">
        <v>46</v>
      </c>
      <c r="Q754" s="12"/>
      <c r="R754" s="12"/>
      <c r="S754" s="12"/>
      <c r="T754" s="12"/>
      <c r="U754" s="12"/>
      <c r="V754" s="21"/>
      <c r="Z754" s="12"/>
      <c r="AA754" s="29" t="n">
        <v>5</v>
      </c>
      <c r="AB754" s="84"/>
      <c r="AC754" s="12"/>
      <c r="AD754" s="12"/>
      <c r="AE754" s="12"/>
    </row>
    <row r="755" customFormat="false" ht="15.75" hidden="false" customHeight="false" outlineLevel="0" collapsed="false">
      <c r="A755" s="12"/>
      <c r="B755" s="12"/>
      <c r="C755" s="23" t="s">
        <v>1511</v>
      </c>
      <c r="D755" s="24" t="s">
        <v>51</v>
      </c>
      <c r="E755" s="25" t="s">
        <v>3261</v>
      </c>
      <c r="F755" s="17" t="s">
        <v>3262</v>
      </c>
      <c r="G755" s="17" t="s">
        <v>2652</v>
      </c>
      <c r="H755" s="17"/>
      <c r="I755" s="26" t="s">
        <v>266</v>
      </c>
      <c r="J755" s="17" t="s">
        <v>3260</v>
      </c>
      <c r="K755" s="17"/>
      <c r="L755" s="17"/>
      <c r="M755" s="27"/>
      <c r="N755" s="17"/>
      <c r="O755" s="17"/>
      <c r="P755" s="28" t="s">
        <v>46</v>
      </c>
      <c r="Q755" s="20"/>
      <c r="R755" s="20"/>
      <c r="S755" s="20"/>
      <c r="T755" s="20"/>
      <c r="U755" s="20"/>
      <c r="V755" s="45"/>
      <c r="Z755" s="20"/>
      <c r="AA755" s="22"/>
      <c r="AB755" s="84"/>
      <c r="AC755" s="20"/>
      <c r="AD755" s="20"/>
      <c r="AE755" s="20"/>
    </row>
    <row r="756" customFormat="false" ht="15.75" hidden="false" customHeight="false" outlineLevel="0" collapsed="false">
      <c r="A756" s="12"/>
      <c r="B756" s="54"/>
      <c r="C756" s="55" t="s">
        <v>3263</v>
      </c>
      <c r="D756" s="24" t="s">
        <v>51</v>
      </c>
      <c r="E756" s="16" t="s">
        <v>3264</v>
      </c>
      <c r="F756" s="15" t="s">
        <v>3265</v>
      </c>
      <c r="G756" s="15"/>
      <c r="H756" s="15"/>
      <c r="I756" s="26" t="s">
        <v>1564</v>
      </c>
      <c r="J756" s="15" t="s">
        <v>1555</v>
      </c>
      <c r="K756" s="15" t="n">
        <v>2014</v>
      </c>
      <c r="L756" s="17"/>
      <c r="M756" s="18"/>
      <c r="N756" s="17"/>
      <c r="O756" s="17"/>
      <c r="P756" s="19" t="s">
        <v>39</v>
      </c>
      <c r="R756" s="0" t="s">
        <v>3266</v>
      </c>
      <c r="T756" s="0" t="s">
        <v>3267</v>
      </c>
      <c r="V756" s="21" t="s">
        <v>31</v>
      </c>
      <c r="AA756" s="63"/>
      <c r="AB756" s="18" t="s">
        <v>3268</v>
      </c>
    </row>
    <row r="757" customFormat="false" ht="15.75" hidden="false" customHeight="false" outlineLevel="0" collapsed="false">
      <c r="A757" s="12"/>
      <c r="B757" s="20"/>
      <c r="C757" s="41" t="s">
        <v>3269</v>
      </c>
      <c r="D757" s="24" t="s">
        <v>51</v>
      </c>
      <c r="E757" s="42" t="s">
        <v>3270</v>
      </c>
      <c r="F757" s="43" t="s">
        <v>3271</v>
      </c>
      <c r="G757" s="17"/>
      <c r="H757" s="17"/>
      <c r="I757" s="26" t="s">
        <v>82</v>
      </c>
      <c r="J757" s="17" t="s">
        <v>1555</v>
      </c>
      <c r="K757" s="17"/>
      <c r="L757" s="17"/>
      <c r="M757" s="27"/>
      <c r="N757" s="17"/>
      <c r="O757" s="17"/>
      <c r="P757" s="19" t="s">
        <v>84</v>
      </c>
      <c r="Q757" s="12"/>
      <c r="R757" s="12"/>
      <c r="S757" s="12"/>
      <c r="T757" s="12"/>
      <c r="U757" s="12"/>
      <c r="V757" s="21"/>
      <c r="Z757" s="12"/>
      <c r="AA757" s="29"/>
      <c r="AB757" s="12"/>
      <c r="AC757" s="12"/>
      <c r="AD757" s="12"/>
      <c r="AE757" s="12"/>
    </row>
    <row r="758" customFormat="false" ht="15.75" hidden="false" customHeight="false" outlineLevel="0" collapsed="false">
      <c r="A758" s="12"/>
      <c r="B758" s="12"/>
      <c r="C758" s="23" t="s">
        <v>3272</v>
      </c>
      <c r="D758" s="24"/>
      <c r="E758" s="25" t="s">
        <v>3273</v>
      </c>
      <c r="F758" s="17"/>
      <c r="G758" s="17" t="s">
        <v>3274</v>
      </c>
      <c r="H758" s="17"/>
      <c r="I758" s="26" t="s">
        <v>551</v>
      </c>
      <c r="J758" s="17" t="s">
        <v>1555</v>
      </c>
      <c r="K758" s="17"/>
      <c r="L758" s="17"/>
      <c r="M758" s="27"/>
      <c r="N758" s="17"/>
      <c r="O758" s="17"/>
      <c r="P758" s="28" t="s">
        <v>46</v>
      </c>
      <c r="Q758" s="12"/>
      <c r="R758" s="12"/>
      <c r="S758" s="12"/>
      <c r="T758" s="12"/>
      <c r="U758" s="12"/>
      <c r="V758" s="21"/>
      <c r="Z758" s="12"/>
      <c r="AA758" s="29"/>
      <c r="AB758" s="12"/>
      <c r="AC758" s="12"/>
      <c r="AD758" s="12"/>
      <c r="AE758" s="12"/>
    </row>
    <row r="759" customFormat="false" ht="15.75" hidden="false" customHeight="false" outlineLevel="0" collapsed="false">
      <c r="A759" s="12"/>
      <c r="B759" s="12"/>
      <c r="C759" s="64" t="s">
        <v>3275</v>
      </c>
      <c r="D759" s="24" t="s">
        <v>94</v>
      </c>
      <c r="E759" s="25" t="s">
        <v>3276</v>
      </c>
      <c r="F759" s="17" t="s">
        <v>3277</v>
      </c>
      <c r="G759" s="17" t="s">
        <v>3278</v>
      </c>
      <c r="H759" s="17"/>
      <c r="I759" s="26" t="s">
        <v>266</v>
      </c>
      <c r="J759" s="17" t="s">
        <v>1555</v>
      </c>
      <c r="K759" s="17"/>
      <c r="L759" s="17"/>
      <c r="M759" s="27"/>
      <c r="N759" s="17"/>
      <c r="O759" s="17"/>
      <c r="P759" s="28" t="s">
        <v>46</v>
      </c>
      <c r="V759" s="60"/>
      <c r="AA759" s="63"/>
    </row>
    <row r="760" customFormat="false" ht="15.75" hidden="false" customHeight="false" outlineLevel="0" collapsed="false">
      <c r="A760" s="12"/>
      <c r="B760" s="12"/>
      <c r="C760" s="23" t="s">
        <v>3279</v>
      </c>
      <c r="D760" s="24" t="s">
        <v>94</v>
      </c>
      <c r="E760" s="25" t="s">
        <v>3280</v>
      </c>
      <c r="F760" s="17" t="s">
        <v>3281</v>
      </c>
      <c r="G760" s="17"/>
      <c r="H760" s="17"/>
      <c r="I760" s="26" t="s">
        <v>166</v>
      </c>
      <c r="J760" s="17" t="s">
        <v>1555</v>
      </c>
      <c r="K760" s="17"/>
      <c r="L760" s="17"/>
      <c r="M760" s="27"/>
      <c r="N760" s="17"/>
      <c r="O760" s="17"/>
      <c r="P760" s="28" t="s">
        <v>59</v>
      </c>
      <c r="Q760" s="20"/>
      <c r="R760" s="20"/>
      <c r="S760" s="20"/>
      <c r="T760" s="20"/>
      <c r="U760" s="20"/>
      <c r="V760" s="45"/>
      <c r="Z760" s="20"/>
      <c r="AA760" s="22"/>
      <c r="AB760" s="20"/>
      <c r="AC760" s="20"/>
      <c r="AD760" s="20"/>
      <c r="AE760" s="20"/>
    </row>
    <row r="761" customFormat="false" ht="15.75" hidden="false" customHeight="false" outlineLevel="0" collapsed="false">
      <c r="A761" s="12" t="s">
        <v>193</v>
      </c>
      <c r="B761" s="12" t="s">
        <v>32</v>
      </c>
      <c r="C761" s="23" t="s">
        <v>3282</v>
      </c>
      <c r="D761" s="24" t="s">
        <v>195</v>
      </c>
      <c r="E761" s="25" t="s">
        <v>3283</v>
      </c>
      <c r="F761" s="17" t="s">
        <v>3284</v>
      </c>
      <c r="G761" s="17"/>
      <c r="H761" s="17"/>
      <c r="I761" s="26" t="s">
        <v>127</v>
      </c>
      <c r="J761" s="17" t="s">
        <v>3260</v>
      </c>
      <c r="K761" s="17"/>
      <c r="L761" s="17"/>
      <c r="M761" s="27"/>
      <c r="N761" s="17"/>
      <c r="O761" s="17"/>
      <c r="P761" s="28" t="s">
        <v>59</v>
      </c>
      <c r="Q761" s="12"/>
      <c r="R761" s="12"/>
      <c r="S761" s="12"/>
      <c r="T761" s="12"/>
      <c r="U761" s="12"/>
      <c r="V761" s="21"/>
      <c r="Z761" s="12"/>
      <c r="AA761" s="29" t="n">
        <v>2</v>
      </c>
      <c r="AB761" s="12" t="s">
        <v>3285</v>
      </c>
      <c r="AC761" s="12"/>
      <c r="AD761" s="12"/>
      <c r="AE761" s="12"/>
    </row>
    <row r="762" customFormat="false" ht="15.75" hidden="false" customHeight="false" outlineLevel="0" collapsed="false">
      <c r="A762" s="12"/>
      <c r="B762" s="12"/>
      <c r="C762" s="23" t="s">
        <v>3286</v>
      </c>
      <c r="D762" s="24" t="s">
        <v>94</v>
      </c>
      <c r="E762" s="25" t="s">
        <v>3287</v>
      </c>
      <c r="F762" s="17" t="s">
        <v>3288</v>
      </c>
      <c r="G762" s="17"/>
      <c r="H762" s="17"/>
      <c r="I762" s="26" t="s">
        <v>198</v>
      </c>
      <c r="J762" s="17" t="s">
        <v>1555</v>
      </c>
      <c r="K762" s="17"/>
      <c r="L762" s="17"/>
      <c r="M762" s="27"/>
      <c r="N762" s="17"/>
      <c r="O762" s="17"/>
      <c r="P762" s="28" t="s">
        <v>59</v>
      </c>
      <c r="Q762" s="17"/>
      <c r="R762" s="17"/>
      <c r="S762" s="17"/>
      <c r="T762" s="17"/>
      <c r="U762" s="17"/>
      <c r="V762" s="27"/>
      <c r="Z762" s="17"/>
      <c r="AA762" s="29"/>
      <c r="AB762" s="17"/>
      <c r="AC762" s="17"/>
      <c r="AD762" s="17"/>
      <c r="AE762" s="17"/>
    </row>
    <row r="763" customFormat="false" ht="15.75" hidden="false" customHeight="false" outlineLevel="0" collapsed="false">
      <c r="A763" s="12" t="s">
        <v>193</v>
      </c>
      <c r="B763" s="12" t="s">
        <v>32</v>
      </c>
      <c r="C763" s="23" t="s">
        <v>3289</v>
      </c>
      <c r="D763" s="24" t="s">
        <v>51</v>
      </c>
      <c r="E763" s="25" t="s">
        <v>3290</v>
      </c>
      <c r="F763" s="17" t="s">
        <v>3291</v>
      </c>
      <c r="G763" s="17"/>
      <c r="H763" s="17"/>
      <c r="I763" s="26" t="s">
        <v>1564</v>
      </c>
      <c r="J763" s="17" t="s">
        <v>1555</v>
      </c>
      <c r="K763" s="17"/>
      <c r="L763" s="17"/>
      <c r="M763" s="27"/>
      <c r="N763" s="17"/>
      <c r="O763" s="17"/>
      <c r="P763" s="28" t="s">
        <v>59</v>
      </c>
      <c r="Q763" s="12"/>
      <c r="R763" s="12"/>
      <c r="S763" s="12"/>
      <c r="T763" s="12"/>
      <c r="U763" s="12"/>
      <c r="V763" s="21"/>
      <c r="Z763" s="12"/>
      <c r="AA763" s="29" t="n">
        <v>2</v>
      </c>
      <c r="AB763" s="12" t="s">
        <v>3292</v>
      </c>
      <c r="AC763" s="12"/>
      <c r="AD763" s="12"/>
      <c r="AE763" s="12"/>
    </row>
    <row r="764" customFormat="false" ht="15.75" hidden="false" customHeight="false" outlineLevel="0" collapsed="false">
      <c r="A764" s="12"/>
      <c r="B764" s="54"/>
      <c r="C764" s="55" t="s">
        <v>3293</v>
      </c>
      <c r="D764" s="24" t="s">
        <v>51</v>
      </c>
      <c r="E764" s="57" t="s">
        <v>3294</v>
      </c>
      <c r="F764" s="15" t="s">
        <v>3295</v>
      </c>
      <c r="G764" s="15"/>
      <c r="H764" s="15"/>
      <c r="I764" s="26" t="s">
        <v>3128</v>
      </c>
      <c r="J764" s="15" t="s">
        <v>1555</v>
      </c>
      <c r="K764" s="17"/>
      <c r="L764" s="17"/>
      <c r="M764" s="18"/>
      <c r="N764" s="17"/>
      <c r="O764" s="17"/>
      <c r="P764" s="19" t="s">
        <v>39</v>
      </c>
      <c r="Q764" s="47"/>
      <c r="R764" s="47" t="s">
        <v>3055</v>
      </c>
      <c r="S764" s="47"/>
      <c r="T764" s="47" t="s">
        <v>3056</v>
      </c>
      <c r="V764" s="21" t="s">
        <v>31</v>
      </c>
      <c r="AA764" s="63"/>
      <c r="AB764" s="18" t="s">
        <v>3296</v>
      </c>
    </row>
    <row r="765" customFormat="false" ht="15.75" hidden="false" customHeight="false" outlineLevel="0" collapsed="false">
      <c r="A765" s="12"/>
      <c r="B765" s="54"/>
      <c r="C765" s="55" t="s">
        <v>3297</v>
      </c>
      <c r="D765" s="15" t="s">
        <v>195</v>
      </c>
      <c r="E765" s="16" t="s">
        <v>3298</v>
      </c>
      <c r="F765" s="15" t="s">
        <v>3299</v>
      </c>
      <c r="G765" s="15"/>
      <c r="H765" s="15"/>
      <c r="I765" s="17" t="s">
        <v>36</v>
      </c>
      <c r="J765" s="15" t="s">
        <v>195</v>
      </c>
      <c r="K765" s="15" t="n">
        <v>2013</v>
      </c>
      <c r="L765" s="17"/>
      <c r="M765" s="18"/>
      <c r="N765" s="17"/>
      <c r="O765" s="17"/>
      <c r="P765" s="19" t="s">
        <v>39</v>
      </c>
      <c r="Q765" s="12"/>
      <c r="R765" s="12"/>
      <c r="S765" s="12"/>
      <c r="T765" s="12"/>
      <c r="U765" s="12"/>
      <c r="V765" s="21"/>
      <c r="Z765" s="12"/>
      <c r="AA765" s="29"/>
      <c r="AB765" s="18" t="s">
        <v>3300</v>
      </c>
      <c r="AC765" s="12"/>
      <c r="AD765" s="12"/>
      <c r="AE765" s="12"/>
    </row>
    <row r="766" customFormat="false" ht="15.75" hidden="false" customHeight="false" outlineLevel="0" collapsed="false">
      <c r="A766" s="12" t="str">
        <f aca="false">IF((AA766&gt;=4), "Y", "N")</f>
        <v>Y</v>
      </c>
      <c r="B766" s="13" t="s">
        <v>32</v>
      </c>
      <c r="C766" s="31" t="s">
        <v>3301</v>
      </c>
      <c r="D766" s="16" t="s">
        <v>94</v>
      </c>
      <c r="E766" s="32" t="s">
        <v>3302</v>
      </c>
      <c r="F766" s="32" t="s">
        <v>3303</v>
      </c>
      <c r="G766" s="32" t="s">
        <v>2248</v>
      </c>
      <c r="H766" s="17" t="s">
        <v>120</v>
      </c>
      <c r="I766" s="17" t="s">
        <v>36</v>
      </c>
      <c r="J766" s="32" t="s">
        <v>1555</v>
      </c>
      <c r="K766" s="33" t="n">
        <v>2012</v>
      </c>
      <c r="L766" s="33" t="s">
        <v>109</v>
      </c>
      <c r="M766" s="27" t="s">
        <v>147</v>
      </c>
      <c r="N766" s="39" t="s">
        <v>3304</v>
      </c>
      <c r="O766" s="17" t="s">
        <v>1495</v>
      </c>
      <c r="P766" s="19" t="s">
        <v>76</v>
      </c>
      <c r="Q766" s="12"/>
      <c r="R766" s="12" t="s">
        <v>3305</v>
      </c>
      <c r="S766" s="12"/>
      <c r="T766" s="12" t="s">
        <v>3306</v>
      </c>
      <c r="U766" s="12"/>
      <c r="V766" s="21" t="s">
        <v>31</v>
      </c>
      <c r="Z766" s="12"/>
      <c r="AA766" s="22" t="str">
        <f aca="false">IF(P766="OD500 US (submitted)", "5", " ")</f>
        <v>5</v>
      </c>
      <c r="AB766" s="12"/>
      <c r="AC766" s="12"/>
      <c r="AD766" s="12"/>
      <c r="AE766" s="12"/>
    </row>
    <row r="767" customFormat="false" ht="15.75" hidden="false" customHeight="false" outlineLevel="0" collapsed="false">
      <c r="A767" s="12"/>
      <c r="B767" s="12"/>
      <c r="C767" s="23" t="s">
        <v>3307</v>
      </c>
      <c r="D767" s="24" t="s">
        <v>61</v>
      </c>
      <c r="E767" s="25" t="s">
        <v>3308</v>
      </c>
      <c r="F767" s="17" t="s">
        <v>3309</v>
      </c>
      <c r="G767" s="17"/>
      <c r="H767" s="17"/>
      <c r="I767" s="17" t="s">
        <v>260</v>
      </c>
      <c r="J767" s="32" t="s">
        <v>1555</v>
      </c>
      <c r="K767" s="17"/>
      <c r="L767" s="17"/>
      <c r="M767" s="27"/>
      <c r="N767" s="17"/>
      <c r="O767" s="17"/>
      <c r="P767" s="40" t="s">
        <v>261</v>
      </c>
      <c r="Q767" s="12"/>
      <c r="R767" s="12"/>
      <c r="S767" s="12"/>
      <c r="T767" s="12"/>
      <c r="U767" s="12"/>
      <c r="V767" s="21"/>
      <c r="Z767" s="12"/>
      <c r="AA767" s="29" t="n">
        <v>2</v>
      </c>
      <c r="AB767" s="12" t="s">
        <v>3310</v>
      </c>
      <c r="AC767" s="12"/>
      <c r="AD767" s="12"/>
      <c r="AE767" s="12"/>
    </row>
    <row r="768" customFormat="false" ht="15.75" hidden="false" customHeight="false" outlineLevel="0" collapsed="false">
      <c r="A768" s="12"/>
      <c r="B768" s="13"/>
      <c r="C768" s="14" t="s">
        <v>3311</v>
      </c>
      <c r="D768" s="24" t="s">
        <v>521</v>
      </c>
      <c r="E768" s="16" t="s">
        <v>3312</v>
      </c>
      <c r="F768" s="16" t="s">
        <v>3313</v>
      </c>
      <c r="G768" s="17"/>
      <c r="H768" s="17"/>
      <c r="I768" s="26" t="s">
        <v>166</v>
      </c>
      <c r="J768" s="32" t="s">
        <v>1555</v>
      </c>
      <c r="K768" s="17"/>
      <c r="L768" s="17"/>
      <c r="M768" s="46"/>
      <c r="N768" s="17"/>
      <c r="O768" s="17"/>
      <c r="P768" s="40" t="s">
        <v>168</v>
      </c>
      <c r="Q768" s="12"/>
      <c r="R768" s="12" t="s">
        <v>3314</v>
      </c>
      <c r="S768" s="12"/>
      <c r="T768" s="12" t="s">
        <v>3315</v>
      </c>
      <c r="U768" s="12"/>
      <c r="V768" s="21" t="s">
        <v>31</v>
      </c>
      <c r="Z768" s="12"/>
      <c r="AA768" s="29" t="n">
        <v>2</v>
      </c>
      <c r="AB768" s="12" t="s">
        <v>3316</v>
      </c>
      <c r="AC768" s="12"/>
      <c r="AD768" s="12"/>
      <c r="AE768" s="12"/>
      <c r="AF768" s="47"/>
      <c r="AG768" s="47"/>
    </row>
    <row r="769" customFormat="false" ht="15.75" hidden="false" customHeight="false" outlineLevel="0" collapsed="false">
      <c r="A769" s="12" t="str">
        <f aca="false">IF((AA769&gt;=4), "Y", "N")</f>
        <v>Y</v>
      </c>
      <c r="B769" s="13"/>
      <c r="C769" s="31" t="s">
        <v>3317</v>
      </c>
      <c r="D769" s="16" t="s">
        <v>94</v>
      </c>
      <c r="E769" s="32" t="s">
        <v>3318</v>
      </c>
      <c r="F769" s="32" t="s">
        <v>3319</v>
      </c>
      <c r="G769" s="32" t="s">
        <v>145</v>
      </c>
      <c r="H769" s="17" t="s">
        <v>146</v>
      </c>
      <c r="I769" s="17" t="s">
        <v>36</v>
      </c>
      <c r="J769" s="47" t="s">
        <v>1555</v>
      </c>
      <c r="K769" s="33" t="n">
        <v>2011</v>
      </c>
      <c r="L769" s="33" t="s">
        <v>109</v>
      </c>
      <c r="M769" s="27"/>
      <c r="N769" s="37" t="s">
        <v>3320</v>
      </c>
      <c r="O769" s="17"/>
      <c r="P769" s="19" t="s">
        <v>76</v>
      </c>
      <c r="R769" s="0" t="s">
        <v>3321</v>
      </c>
      <c r="T769" s="0" t="s">
        <v>3322</v>
      </c>
      <c r="V769" s="21" t="s">
        <v>31</v>
      </c>
      <c r="AA769" s="22" t="str">
        <f aca="false">IF(P769="OD500 US (submitted)", "5", " ")</f>
        <v>5</v>
      </c>
      <c r="AB769" s="47" t="s">
        <v>3323</v>
      </c>
    </row>
    <row r="770" customFormat="false" ht="15.75" hidden="false" customHeight="false" outlineLevel="0" collapsed="false">
      <c r="A770" s="12"/>
      <c r="B770" s="20"/>
      <c r="C770" s="48" t="s">
        <v>3324</v>
      </c>
      <c r="D770" s="24" t="s">
        <v>61</v>
      </c>
      <c r="E770" s="100" t="s">
        <v>3325</v>
      </c>
      <c r="F770" s="49" t="s">
        <v>3326</v>
      </c>
      <c r="G770" s="17"/>
      <c r="H770" s="17"/>
      <c r="I770" s="26" t="s">
        <v>166</v>
      </c>
      <c r="J770" s="32" t="s">
        <v>1555</v>
      </c>
      <c r="K770" s="17"/>
      <c r="L770" s="17"/>
      <c r="M770" s="50"/>
      <c r="N770" s="17"/>
      <c r="O770" s="17"/>
      <c r="P770" s="40" t="s">
        <v>168</v>
      </c>
      <c r="Q770" s="12"/>
      <c r="R770" s="12"/>
      <c r="S770" s="12"/>
      <c r="T770" s="12" t="s">
        <v>3327</v>
      </c>
      <c r="U770" s="12" t="s">
        <v>3328</v>
      </c>
      <c r="V770" s="21" t="s">
        <v>31</v>
      </c>
      <c r="Z770" s="12"/>
      <c r="AA770" s="29" t="n">
        <v>3</v>
      </c>
      <c r="AB770" s="12" t="s">
        <v>3329</v>
      </c>
      <c r="AC770" s="12"/>
      <c r="AD770" s="12"/>
      <c r="AE770" s="12"/>
      <c r="AG770" s="47"/>
    </row>
    <row r="771" customFormat="false" ht="15.75" hidden="false" customHeight="false" outlineLevel="0" collapsed="false">
      <c r="A771" s="12" t="str">
        <f aca="false">IF((AA771&gt;=4), "Y", "N")</f>
        <v>Y</v>
      </c>
      <c r="B771" s="13"/>
      <c r="C771" s="31" t="s">
        <v>3330</v>
      </c>
      <c r="D771" s="16" t="s">
        <v>61</v>
      </c>
      <c r="E771" s="32" t="s">
        <v>3331</v>
      </c>
      <c r="F771" s="32" t="s">
        <v>3332</v>
      </c>
      <c r="G771" s="32" t="s">
        <v>368</v>
      </c>
      <c r="H771" s="17" t="s">
        <v>369</v>
      </c>
      <c r="I771" s="17" t="s">
        <v>36</v>
      </c>
      <c r="J771" s="32" t="s">
        <v>1555</v>
      </c>
      <c r="K771" s="33" t="n">
        <v>2013</v>
      </c>
      <c r="L771" s="33" t="s">
        <v>109</v>
      </c>
      <c r="M771" s="27"/>
      <c r="N771" s="37" t="s">
        <v>663</v>
      </c>
      <c r="O771" s="17"/>
      <c r="P771" s="19" t="s">
        <v>76</v>
      </c>
      <c r="Q771" s="20"/>
      <c r="R771" s="20" t="s">
        <v>3333</v>
      </c>
      <c r="S771" s="20"/>
      <c r="T771" s="20" t="s">
        <v>3334</v>
      </c>
      <c r="U771" s="20"/>
      <c r="V771" s="21" t="s">
        <v>31</v>
      </c>
      <c r="Z771" s="20"/>
      <c r="AA771" s="22" t="str">
        <f aca="false">IF(P771="OD500 US (submitted)", "5", " ")</f>
        <v>5</v>
      </c>
      <c r="AB771" s="20" t="s">
        <v>3335</v>
      </c>
      <c r="AC771" s="51" t="s">
        <v>3336</v>
      </c>
      <c r="AD771" s="20"/>
      <c r="AE771" s="20"/>
    </row>
    <row r="772" customFormat="false" ht="15.75" hidden="false" customHeight="false" outlineLevel="0" collapsed="false">
      <c r="A772" s="12" t="str">
        <f aca="false">IF((AA772&gt;=4), "Y", "N")</f>
        <v>Y</v>
      </c>
      <c r="B772" s="13"/>
      <c r="C772" s="31" t="s">
        <v>3337</v>
      </c>
      <c r="D772" s="16" t="s">
        <v>94</v>
      </c>
      <c r="E772" s="32" t="s">
        <v>3338</v>
      </c>
      <c r="F772" s="32" t="s">
        <v>3339</v>
      </c>
      <c r="G772" s="32" t="s">
        <v>71</v>
      </c>
      <c r="H772" s="17" t="s">
        <v>72</v>
      </c>
      <c r="I772" s="17" t="s">
        <v>36</v>
      </c>
      <c r="J772" s="32" t="s">
        <v>1555</v>
      </c>
      <c r="K772" s="33" t="n">
        <v>2006</v>
      </c>
      <c r="L772" s="33" t="s">
        <v>99</v>
      </c>
      <c r="M772" s="27"/>
      <c r="N772" s="37" t="s">
        <v>663</v>
      </c>
      <c r="O772" s="17"/>
      <c r="P772" s="19" t="s">
        <v>76</v>
      </c>
      <c r="R772" s="0" t="s">
        <v>2944</v>
      </c>
      <c r="T772" s="0" t="s">
        <v>2945</v>
      </c>
      <c r="V772" s="21" t="s">
        <v>31</v>
      </c>
      <c r="AA772" s="63" t="n">
        <v>5</v>
      </c>
    </row>
    <row r="773" customFormat="false" ht="15.75" hidden="false" customHeight="false" outlineLevel="0" collapsed="false">
      <c r="A773" s="12"/>
      <c r="B773" s="12"/>
      <c r="C773" s="23" t="s">
        <v>3340</v>
      </c>
      <c r="D773" s="24"/>
      <c r="E773" s="17"/>
      <c r="F773" s="17"/>
      <c r="G773" s="17"/>
      <c r="H773" s="17"/>
      <c r="I773" s="17" t="s">
        <v>260</v>
      </c>
      <c r="J773" s="32" t="s">
        <v>1555</v>
      </c>
      <c r="K773" s="17"/>
      <c r="L773" s="17"/>
      <c r="M773" s="27"/>
      <c r="N773" s="17"/>
      <c r="O773" s="17"/>
      <c r="P773" s="40" t="s">
        <v>261</v>
      </c>
      <c r="Q773" s="12"/>
      <c r="R773" s="12"/>
      <c r="S773" s="12"/>
      <c r="T773" s="12"/>
      <c r="U773" s="12"/>
      <c r="V773" s="21"/>
      <c r="Z773" s="12"/>
      <c r="AA773" s="29"/>
      <c r="AB773" s="12"/>
      <c r="AC773" s="12"/>
      <c r="AD773" s="12"/>
      <c r="AE773" s="12"/>
    </row>
    <row r="774" customFormat="false" ht="15.75" hidden="false" customHeight="false" outlineLevel="0" collapsed="false">
      <c r="A774" s="12"/>
      <c r="B774" s="12"/>
      <c r="C774" s="23" t="s">
        <v>3341</v>
      </c>
      <c r="D774" s="24"/>
      <c r="E774" s="17"/>
      <c r="F774" s="17"/>
      <c r="G774" s="17"/>
      <c r="H774" s="17"/>
      <c r="I774" s="17" t="s">
        <v>260</v>
      </c>
      <c r="J774" s="32" t="s">
        <v>1555</v>
      </c>
      <c r="K774" s="17"/>
      <c r="L774" s="17"/>
      <c r="M774" s="27"/>
      <c r="N774" s="17"/>
      <c r="O774" s="17"/>
      <c r="P774" s="40" t="s">
        <v>261</v>
      </c>
      <c r="Q774" s="12"/>
      <c r="R774" s="12"/>
      <c r="S774" s="12"/>
      <c r="T774" s="12"/>
      <c r="U774" s="12"/>
      <c r="V774" s="21"/>
      <c r="Z774" s="12"/>
      <c r="AA774" s="29"/>
      <c r="AB774" s="12"/>
      <c r="AC774" s="12"/>
      <c r="AD774" s="12"/>
      <c r="AE774" s="12"/>
    </row>
    <row r="775" customFormat="false" ht="15.75" hidden="false" customHeight="false" outlineLevel="0" collapsed="false">
      <c r="A775" s="12"/>
      <c r="B775" s="12"/>
      <c r="C775" s="23" t="s">
        <v>3342</v>
      </c>
      <c r="D775" s="24"/>
      <c r="E775" s="17"/>
      <c r="F775" s="17"/>
      <c r="G775" s="17"/>
      <c r="H775" s="17"/>
      <c r="I775" s="17" t="s">
        <v>260</v>
      </c>
      <c r="J775" s="32" t="s">
        <v>1555</v>
      </c>
      <c r="K775" s="17"/>
      <c r="L775" s="17"/>
      <c r="M775" s="27"/>
      <c r="N775" s="17"/>
      <c r="O775" s="17"/>
      <c r="P775" s="40" t="s">
        <v>261</v>
      </c>
      <c r="V775" s="60"/>
      <c r="AA775" s="63"/>
    </row>
    <row r="776" customFormat="false" ht="15.75" hidden="false" customHeight="false" outlineLevel="0" collapsed="false">
      <c r="A776" s="12" t="str">
        <f aca="false">IF((AA776&gt;=4), "Y", "N")</f>
        <v>Y</v>
      </c>
      <c r="B776" s="12"/>
      <c r="C776" s="23" t="s">
        <v>3343</v>
      </c>
      <c r="D776" s="16" t="s">
        <v>94</v>
      </c>
      <c r="E776" s="25" t="s">
        <v>3344</v>
      </c>
      <c r="F776" s="17" t="s">
        <v>3345</v>
      </c>
      <c r="G776" s="17" t="s">
        <v>3346</v>
      </c>
      <c r="H776" s="17" t="s">
        <v>1093</v>
      </c>
      <c r="I776" s="17" t="s">
        <v>36</v>
      </c>
      <c r="J776" s="17" t="s">
        <v>1555</v>
      </c>
      <c r="K776" s="17" t="n">
        <v>1979</v>
      </c>
      <c r="L776" s="33" t="s">
        <v>275</v>
      </c>
      <c r="M776" s="27"/>
      <c r="N776" s="37" t="s">
        <v>663</v>
      </c>
      <c r="O776" s="17"/>
      <c r="P776" s="40" t="s">
        <v>111</v>
      </c>
      <c r="V776" s="60"/>
      <c r="AA776" s="63" t="n">
        <v>5</v>
      </c>
    </row>
    <row r="777" customFormat="false" ht="15.75" hidden="false" customHeight="false" outlineLevel="0" collapsed="false">
      <c r="A777" s="12"/>
      <c r="B777" s="12"/>
      <c r="C777" s="23" t="s">
        <v>3347</v>
      </c>
      <c r="D777" s="24"/>
      <c r="E777" s="17"/>
      <c r="F777" s="17"/>
      <c r="G777" s="17"/>
      <c r="H777" s="17"/>
      <c r="I777" s="17" t="s">
        <v>260</v>
      </c>
      <c r="J777" s="32" t="s">
        <v>1555</v>
      </c>
      <c r="K777" s="17"/>
      <c r="L777" s="17"/>
      <c r="M777" s="27"/>
      <c r="N777" s="17"/>
      <c r="O777" s="17"/>
      <c r="P777" s="40" t="s">
        <v>261</v>
      </c>
      <c r="Q777" s="12"/>
      <c r="R777" s="12"/>
      <c r="S777" s="12"/>
      <c r="T777" s="12"/>
      <c r="U777" s="12"/>
      <c r="V777" s="21"/>
      <c r="Z777" s="12"/>
      <c r="AA777" s="29"/>
      <c r="AB777" s="12"/>
      <c r="AC777" s="12"/>
      <c r="AD777" s="12"/>
      <c r="AE777" s="12"/>
    </row>
    <row r="778" customFormat="false" ht="15.75" hidden="false" customHeight="false" outlineLevel="0" collapsed="false">
      <c r="A778" s="12" t="str">
        <f aca="false">IF((AA778&gt;=4), "Y", "N")</f>
        <v>Y</v>
      </c>
      <c r="B778" s="13"/>
      <c r="C778" s="31" t="s">
        <v>3348</v>
      </c>
      <c r="D778" s="16" t="s">
        <v>94</v>
      </c>
      <c r="E778" s="32" t="s">
        <v>3349</v>
      </c>
      <c r="F778" s="32" t="s">
        <v>3350</v>
      </c>
      <c r="G778" s="32" t="s">
        <v>3351</v>
      </c>
      <c r="H778" s="17" t="s">
        <v>72</v>
      </c>
      <c r="I778" s="17" t="s">
        <v>36</v>
      </c>
      <c r="J778" s="32" t="s">
        <v>1555</v>
      </c>
      <c r="K778" s="33" t="n">
        <v>2011</v>
      </c>
      <c r="L778" s="33" t="s">
        <v>109</v>
      </c>
      <c r="M778" s="27"/>
      <c r="N778" s="37" t="s">
        <v>663</v>
      </c>
      <c r="O778" s="17"/>
      <c r="P778" s="19" t="s">
        <v>76</v>
      </c>
      <c r="Q778" s="20"/>
      <c r="R778" s="20" t="s">
        <v>3352</v>
      </c>
      <c r="S778" s="20"/>
      <c r="T778" s="20" t="s">
        <v>3353</v>
      </c>
      <c r="U778" s="20"/>
      <c r="V778" s="21" t="s">
        <v>31</v>
      </c>
      <c r="Z778" s="20"/>
      <c r="AA778" s="63" t="n">
        <v>5</v>
      </c>
      <c r="AB778" s="20"/>
      <c r="AC778" s="20"/>
      <c r="AD778" s="20"/>
      <c r="AE778" s="20"/>
    </row>
    <row r="779" customFormat="false" ht="15.75" hidden="false" customHeight="false" outlineLevel="0" collapsed="false">
      <c r="A779" s="12"/>
      <c r="B779" s="12"/>
      <c r="C779" s="23" t="s">
        <v>3354</v>
      </c>
      <c r="D779" s="24"/>
      <c r="E779" s="17"/>
      <c r="F779" s="17"/>
      <c r="G779" s="17"/>
      <c r="H779" s="17"/>
      <c r="I779" s="17" t="s">
        <v>260</v>
      </c>
      <c r="J779" s="32" t="s">
        <v>1555</v>
      </c>
      <c r="K779" s="17"/>
      <c r="L779" s="17"/>
      <c r="M779" s="27"/>
      <c r="N779" s="17"/>
      <c r="O779" s="17"/>
      <c r="P779" s="40" t="s">
        <v>261</v>
      </c>
      <c r="Q779" s="20"/>
      <c r="R779" s="20"/>
      <c r="S779" s="20"/>
      <c r="T779" s="20"/>
      <c r="U779" s="20"/>
      <c r="V779" s="45"/>
      <c r="Z779" s="20"/>
      <c r="AA779" s="22"/>
      <c r="AB779" s="20"/>
      <c r="AC779" s="20"/>
      <c r="AD779" s="20"/>
      <c r="AE779" s="20"/>
    </row>
    <row r="780" customFormat="false" ht="15.75" hidden="false" customHeight="false" outlineLevel="0" collapsed="false">
      <c r="A780" s="12"/>
      <c r="B780" s="12"/>
      <c r="C780" s="23" t="s">
        <v>3355</v>
      </c>
      <c r="D780" s="24"/>
      <c r="E780" s="17"/>
      <c r="F780" s="17"/>
      <c r="G780" s="17"/>
      <c r="H780" s="17"/>
      <c r="I780" s="17" t="s">
        <v>260</v>
      </c>
      <c r="J780" s="32" t="s">
        <v>1555</v>
      </c>
      <c r="K780" s="17"/>
      <c r="L780" s="17"/>
      <c r="M780" s="27"/>
      <c r="N780" s="17"/>
      <c r="O780" s="17"/>
      <c r="P780" s="40" t="s">
        <v>261</v>
      </c>
      <c r="Q780" s="12"/>
      <c r="R780" s="12"/>
      <c r="S780" s="12"/>
      <c r="T780" s="12"/>
      <c r="U780" s="12"/>
      <c r="V780" s="21"/>
      <c r="Z780" s="12"/>
      <c r="AA780" s="29"/>
      <c r="AB780" s="12"/>
      <c r="AC780" s="12"/>
      <c r="AD780" s="12"/>
      <c r="AE780" s="12"/>
    </row>
    <row r="781" customFormat="false" ht="15.75" hidden="false" customHeight="false" outlineLevel="0" collapsed="false">
      <c r="A781" s="12" t="str">
        <f aca="false">IF((AA781&gt;=4), "Y", "N")</f>
        <v>Y</v>
      </c>
      <c r="B781" s="13"/>
      <c r="C781" s="31" t="s">
        <v>3356</v>
      </c>
      <c r="D781" s="16" t="s">
        <v>94</v>
      </c>
      <c r="E781" s="32" t="s">
        <v>3357</v>
      </c>
      <c r="F781" s="32" t="s">
        <v>3358</v>
      </c>
      <c r="G781" s="32" t="s">
        <v>963</v>
      </c>
      <c r="H781" s="17" t="s">
        <v>72</v>
      </c>
      <c r="I781" s="17" t="s">
        <v>36</v>
      </c>
      <c r="J781" s="32" t="s">
        <v>1555</v>
      </c>
      <c r="K781" s="33" t="n">
        <v>2011</v>
      </c>
      <c r="L781" s="33" t="s">
        <v>99</v>
      </c>
      <c r="M781" s="27"/>
      <c r="N781" s="37" t="s">
        <v>663</v>
      </c>
      <c r="O781" s="17"/>
      <c r="P781" s="19" t="s">
        <v>76</v>
      </c>
      <c r="R781" s="0" t="s">
        <v>3359</v>
      </c>
      <c r="T781" s="0" t="s">
        <v>3360</v>
      </c>
      <c r="V781" s="21" t="s">
        <v>31</v>
      </c>
      <c r="AA781" s="22" t="str">
        <f aca="false">IF(P781="OD500 US (submitted)", "5", " ")</f>
        <v>5</v>
      </c>
    </row>
    <row r="782" customFormat="false" ht="15.75" hidden="false" customHeight="false" outlineLevel="0" collapsed="false">
      <c r="A782" s="12"/>
      <c r="B782" s="12"/>
      <c r="C782" s="23" t="s">
        <v>3361</v>
      </c>
      <c r="D782" s="24"/>
      <c r="E782" s="25" t="s">
        <v>3362</v>
      </c>
      <c r="F782" s="17" t="s">
        <v>3363</v>
      </c>
      <c r="G782" s="17" t="s">
        <v>2629</v>
      </c>
      <c r="H782" s="17"/>
      <c r="I782" s="26" t="s">
        <v>82</v>
      </c>
      <c r="J782" s="32" t="s">
        <v>1555</v>
      </c>
      <c r="K782" s="17"/>
      <c r="L782" s="17"/>
      <c r="M782" s="27"/>
      <c r="N782" s="17"/>
      <c r="O782" s="17"/>
      <c r="P782" s="40" t="s">
        <v>638</v>
      </c>
      <c r="Q782" s="47"/>
      <c r="R782" s="47" t="s">
        <v>3364</v>
      </c>
      <c r="S782" s="47"/>
      <c r="T782" s="47" t="s">
        <v>3365</v>
      </c>
      <c r="V782" s="21" t="s">
        <v>31</v>
      </c>
      <c r="AA782" s="63"/>
    </row>
    <row r="783" customFormat="false" ht="15.75" hidden="false" customHeight="false" outlineLevel="0" collapsed="false">
      <c r="A783" s="12" t="str">
        <f aca="false">IF((AA783&gt;=4), "Y", "N")</f>
        <v>Y</v>
      </c>
      <c r="B783" s="13"/>
      <c r="C783" s="31" t="s">
        <v>3366</v>
      </c>
      <c r="D783" s="16" t="s">
        <v>51</v>
      </c>
      <c r="E783" s="32" t="s">
        <v>3367</v>
      </c>
      <c r="F783" s="17"/>
      <c r="G783" s="17"/>
      <c r="H783" s="17"/>
      <c r="I783" s="26" t="s">
        <v>266</v>
      </c>
      <c r="J783" s="32" t="s">
        <v>1555</v>
      </c>
      <c r="K783" s="33" t="n">
        <v>2004</v>
      </c>
      <c r="L783" s="33" t="s">
        <v>109</v>
      </c>
      <c r="M783" s="27"/>
      <c r="N783" s="17" t="s">
        <v>3368</v>
      </c>
      <c r="O783" s="17"/>
      <c r="P783" s="40" t="s">
        <v>268</v>
      </c>
      <c r="Q783" s="12"/>
      <c r="R783" s="12"/>
      <c r="S783" s="12"/>
      <c r="T783" s="12"/>
      <c r="U783" s="12"/>
      <c r="V783" s="21"/>
      <c r="Z783" s="12"/>
      <c r="AA783" s="29" t="str">
        <f aca="false">IF(P783="OD500 MX", "5", " ")</f>
        <v>5</v>
      </c>
      <c r="AB783" s="12"/>
      <c r="AC783" s="12"/>
      <c r="AD783" s="12"/>
      <c r="AE783" s="12"/>
    </row>
    <row r="784" customFormat="false" ht="15.75" hidden="false" customHeight="false" outlineLevel="0" collapsed="false">
      <c r="A784" s="12"/>
      <c r="B784" s="12"/>
      <c r="C784" s="23" t="s">
        <v>3369</v>
      </c>
      <c r="D784" s="24"/>
      <c r="E784" s="25" t="s">
        <v>3370</v>
      </c>
      <c r="F784" s="17"/>
      <c r="G784" s="17" t="s">
        <v>2637</v>
      </c>
      <c r="H784" s="17"/>
      <c r="I784" s="26" t="s">
        <v>82</v>
      </c>
      <c r="J784" s="17" t="s">
        <v>1555</v>
      </c>
      <c r="K784" s="17"/>
      <c r="L784" s="17"/>
      <c r="M784" s="27"/>
      <c r="N784" s="17"/>
      <c r="O784" s="17"/>
      <c r="P784" s="28" t="s">
        <v>46</v>
      </c>
      <c r="Q784" s="12"/>
      <c r="R784" s="12"/>
      <c r="S784" s="12"/>
      <c r="T784" s="12"/>
      <c r="U784" s="12"/>
      <c r="V784" s="21"/>
      <c r="Z784" s="12"/>
      <c r="AA784" s="29"/>
      <c r="AB784" s="12"/>
      <c r="AC784" s="12"/>
      <c r="AD784" s="12"/>
      <c r="AE784" s="12"/>
    </row>
    <row r="785" customFormat="false" ht="15.75" hidden="false" customHeight="false" outlineLevel="0" collapsed="false">
      <c r="A785" s="12" t="str">
        <f aca="false">IF((AA785&gt;=4), "Y", "N")</f>
        <v>Y</v>
      </c>
      <c r="B785" s="12"/>
      <c r="C785" s="23" t="s">
        <v>3371</v>
      </c>
      <c r="D785" s="24" t="s">
        <v>94</v>
      </c>
      <c r="E785" s="25" t="s">
        <v>3372</v>
      </c>
      <c r="F785" s="17" t="s">
        <v>3373</v>
      </c>
      <c r="G785" s="17" t="s">
        <v>1209</v>
      </c>
      <c r="H785" s="17" t="s">
        <v>120</v>
      </c>
      <c r="I785" s="17" t="s">
        <v>36</v>
      </c>
      <c r="J785" s="17" t="s">
        <v>1555</v>
      </c>
      <c r="K785" s="17" t="n">
        <v>2013</v>
      </c>
      <c r="L785" s="38" t="s">
        <v>330</v>
      </c>
      <c r="M785" s="27"/>
      <c r="N785" s="37" t="s">
        <v>663</v>
      </c>
      <c r="O785" s="17"/>
      <c r="P785" s="40" t="s">
        <v>111</v>
      </c>
      <c r="Q785" s="20"/>
      <c r="R785" s="20"/>
      <c r="S785" s="20"/>
      <c r="T785" s="20"/>
      <c r="U785" s="20"/>
      <c r="V785" s="45"/>
      <c r="Z785" s="20"/>
      <c r="AA785" s="22" t="n">
        <v>5</v>
      </c>
      <c r="AB785" s="20"/>
      <c r="AC785" s="20"/>
      <c r="AD785" s="20"/>
      <c r="AE785" s="20"/>
    </row>
    <row r="786" customFormat="false" ht="15.75" hidden="false" customHeight="false" outlineLevel="0" collapsed="false">
      <c r="A786" s="12" t="str">
        <f aca="false">IF((AA786&gt;=4), "Y", "N")</f>
        <v>Y</v>
      </c>
      <c r="B786" s="13"/>
      <c r="C786" s="31" t="s">
        <v>3374</v>
      </c>
      <c r="D786" s="16" t="s">
        <v>94</v>
      </c>
      <c r="E786" s="32" t="s">
        <v>3375</v>
      </c>
      <c r="F786" s="32" t="s">
        <v>3376</v>
      </c>
      <c r="G786" s="32" t="s">
        <v>397</v>
      </c>
      <c r="H786" s="17" t="s">
        <v>303</v>
      </c>
      <c r="I786" s="17" t="s">
        <v>36</v>
      </c>
      <c r="J786" s="32" t="s">
        <v>1555</v>
      </c>
      <c r="K786" s="33" t="n">
        <v>1997</v>
      </c>
      <c r="L786" s="33" t="s">
        <v>109</v>
      </c>
      <c r="M786" s="27"/>
      <c r="N786" s="37" t="s">
        <v>3377</v>
      </c>
      <c r="O786" s="17"/>
      <c r="P786" s="19" t="s">
        <v>76</v>
      </c>
      <c r="R786" s="0" t="s">
        <v>3378</v>
      </c>
      <c r="T786" s="0" t="s">
        <v>3379</v>
      </c>
      <c r="V786" s="21" t="s">
        <v>31</v>
      </c>
      <c r="AA786" s="22" t="str">
        <f aca="false">IF(P786="OD500 US (submitted)", "5", " ")</f>
        <v>5</v>
      </c>
    </row>
    <row r="787" customFormat="false" ht="15.75" hidden="false" customHeight="false" outlineLevel="0" collapsed="false">
      <c r="A787" s="12"/>
      <c r="B787" s="12"/>
      <c r="C787" s="23" t="s">
        <v>3380</v>
      </c>
      <c r="D787" s="24"/>
      <c r="E787" s="17"/>
      <c r="F787" s="17"/>
      <c r="G787" s="17"/>
      <c r="H787" s="17"/>
      <c r="I787" s="17" t="s">
        <v>260</v>
      </c>
      <c r="J787" s="32" t="s">
        <v>1555</v>
      </c>
      <c r="K787" s="17"/>
      <c r="L787" s="17"/>
      <c r="M787" s="27"/>
      <c r="N787" s="17"/>
      <c r="O787" s="17"/>
      <c r="P787" s="40" t="s">
        <v>261</v>
      </c>
      <c r="V787" s="60"/>
      <c r="AA787" s="63"/>
    </row>
    <row r="788" customFormat="false" ht="15.75" hidden="false" customHeight="false" outlineLevel="0" collapsed="false">
      <c r="A788" s="12" t="str">
        <f aca="false">IF((AA788&gt;=4), "Y", "N")</f>
        <v>Y</v>
      </c>
      <c r="B788" s="12"/>
      <c r="C788" s="23" t="s">
        <v>3381</v>
      </c>
      <c r="D788" s="24" t="s">
        <v>94</v>
      </c>
      <c r="E788" s="25" t="s">
        <v>3382</v>
      </c>
      <c r="F788" s="17" t="s">
        <v>3383</v>
      </c>
      <c r="G788" s="17" t="s">
        <v>1611</v>
      </c>
      <c r="H788" s="17" t="s">
        <v>297</v>
      </c>
      <c r="I788" s="17" t="s">
        <v>36</v>
      </c>
      <c r="J788" s="17" t="s">
        <v>1555</v>
      </c>
      <c r="K788" s="17" t="n">
        <v>2011</v>
      </c>
      <c r="L788" s="38" t="s">
        <v>99</v>
      </c>
      <c r="M788" s="27"/>
      <c r="N788" s="37" t="s">
        <v>663</v>
      </c>
      <c r="O788" s="17"/>
      <c r="P788" s="40" t="s">
        <v>111</v>
      </c>
      <c r="V788" s="60"/>
      <c r="AA788" s="63" t="n">
        <v>5</v>
      </c>
    </row>
    <row r="789" customFormat="false" ht="15.75" hidden="false" customHeight="false" outlineLevel="0" collapsed="false">
      <c r="A789" s="12" t="str">
        <f aca="false">IF((AA789&gt;=4), "Y", "N")</f>
        <v>Y</v>
      </c>
      <c r="B789" s="13"/>
      <c r="C789" s="31" t="s">
        <v>3384</v>
      </c>
      <c r="D789" s="16" t="s">
        <v>94</v>
      </c>
      <c r="E789" s="32" t="s">
        <v>3385</v>
      </c>
      <c r="F789" s="32" t="s">
        <v>3386</v>
      </c>
      <c r="G789" s="32" t="s">
        <v>2475</v>
      </c>
      <c r="H789" s="17" t="s">
        <v>1030</v>
      </c>
      <c r="I789" s="17" t="s">
        <v>36</v>
      </c>
      <c r="J789" s="32" t="s">
        <v>1555</v>
      </c>
      <c r="K789" s="33" t="n">
        <v>1998</v>
      </c>
      <c r="L789" s="38" t="s">
        <v>482</v>
      </c>
      <c r="M789" s="27"/>
      <c r="N789" s="39" t="s">
        <v>663</v>
      </c>
      <c r="O789" s="17"/>
      <c r="P789" s="19" t="s">
        <v>76</v>
      </c>
      <c r="Q789" s="20"/>
      <c r="R789" s="20" t="s">
        <v>3387</v>
      </c>
      <c r="S789" s="20"/>
      <c r="T789" s="20" t="s">
        <v>3388</v>
      </c>
      <c r="U789" s="20"/>
      <c r="V789" s="21" t="s">
        <v>31</v>
      </c>
      <c r="Z789" s="20"/>
      <c r="AA789" s="22" t="str">
        <f aca="false">IF(P789="OD500 US (submitted)", "5", " ")</f>
        <v>5</v>
      </c>
      <c r="AB789" s="20"/>
      <c r="AC789" s="20"/>
      <c r="AD789" s="20"/>
      <c r="AE789" s="20"/>
    </row>
    <row r="790" customFormat="false" ht="15.75" hidden="false" customHeight="false" outlineLevel="0" collapsed="false">
      <c r="A790" s="12" t="str">
        <f aca="false">IF((AA790&gt;=4), "Y", "N")</f>
        <v>Y</v>
      </c>
      <c r="B790" s="12"/>
      <c r="C790" s="23" t="s">
        <v>3389</v>
      </c>
      <c r="D790" s="24" t="s">
        <v>94</v>
      </c>
      <c r="E790" s="25" t="s">
        <v>3390</v>
      </c>
      <c r="F790" s="17" t="s">
        <v>3391</v>
      </c>
      <c r="G790" s="17" t="s">
        <v>71</v>
      </c>
      <c r="H790" s="17" t="s">
        <v>72</v>
      </c>
      <c r="I790" s="17" t="s">
        <v>36</v>
      </c>
      <c r="J790" s="17" t="s">
        <v>1555</v>
      </c>
      <c r="K790" s="17" t="n">
        <v>2005</v>
      </c>
      <c r="L790" s="38" t="s">
        <v>73</v>
      </c>
      <c r="M790" s="27"/>
      <c r="N790" s="37" t="s">
        <v>663</v>
      </c>
      <c r="O790" s="17"/>
      <c r="P790" s="40" t="s">
        <v>111</v>
      </c>
      <c r="Q790" s="12"/>
      <c r="R790" s="12"/>
      <c r="S790" s="12"/>
      <c r="T790" s="12"/>
      <c r="U790" s="12"/>
      <c r="V790" s="21"/>
      <c r="Z790" s="12"/>
      <c r="AA790" s="29" t="n">
        <v>5</v>
      </c>
      <c r="AB790" s="12"/>
      <c r="AC790" s="12"/>
      <c r="AD790" s="12"/>
      <c r="AE790" s="12"/>
    </row>
    <row r="791" customFormat="false" ht="15.75" hidden="false" customHeight="false" outlineLevel="0" collapsed="false">
      <c r="A791" s="12" t="str">
        <f aca="false">IF((AA791&gt;=4), "Y", "N")</f>
        <v>Y</v>
      </c>
      <c r="B791" s="13"/>
      <c r="C791" s="31" t="s">
        <v>3392</v>
      </c>
      <c r="D791" s="24" t="s">
        <v>667</v>
      </c>
      <c r="E791" s="32" t="s">
        <v>3393</v>
      </c>
      <c r="F791" s="32" t="s">
        <v>3394</v>
      </c>
      <c r="G791" s="32" t="s">
        <v>296</v>
      </c>
      <c r="H791" s="17" t="s">
        <v>297</v>
      </c>
      <c r="I791" s="17" t="s">
        <v>36</v>
      </c>
      <c r="J791" s="32" t="s">
        <v>1555</v>
      </c>
      <c r="K791" s="33" t="n">
        <v>2006</v>
      </c>
      <c r="L791" s="33" t="s">
        <v>99</v>
      </c>
      <c r="M791" s="27"/>
      <c r="N791" s="39" t="s">
        <v>3395</v>
      </c>
      <c r="O791" s="17"/>
      <c r="P791" s="19" t="s">
        <v>76</v>
      </c>
      <c r="Q791" s="12"/>
      <c r="R791" s="12" t="s">
        <v>3396</v>
      </c>
      <c r="S791" s="12"/>
      <c r="T791" s="12" t="s">
        <v>3397</v>
      </c>
      <c r="U791" s="12"/>
      <c r="V791" s="21" t="s">
        <v>31</v>
      </c>
      <c r="Z791" s="12"/>
      <c r="AA791" s="22" t="str">
        <f aca="false">IF(P791="OD500 US (submitted)", "5", " ")</f>
        <v>5</v>
      </c>
      <c r="AB791" s="12"/>
      <c r="AC791" s="12"/>
      <c r="AD791" s="12"/>
      <c r="AE791" s="12"/>
    </row>
    <row r="792" customFormat="false" ht="15.75" hidden="false" customHeight="false" outlineLevel="0" collapsed="false">
      <c r="A792" s="12" t="str">
        <f aca="false">IF((AA792&gt;=4), "Y", "N")</f>
        <v>Y</v>
      </c>
      <c r="B792" s="13"/>
      <c r="C792" s="31" t="s">
        <v>3398</v>
      </c>
      <c r="D792" s="16" t="s">
        <v>94</v>
      </c>
      <c r="E792" s="32" t="s">
        <v>3399</v>
      </c>
      <c r="F792" s="32" t="s">
        <v>3400</v>
      </c>
      <c r="G792" s="32" t="s">
        <v>1076</v>
      </c>
      <c r="H792" s="17" t="s">
        <v>72</v>
      </c>
      <c r="I792" s="17" t="s">
        <v>36</v>
      </c>
      <c r="J792" s="32" t="s">
        <v>1555</v>
      </c>
      <c r="K792" s="33" t="n">
        <v>2012</v>
      </c>
      <c r="L792" s="33" t="s">
        <v>109</v>
      </c>
      <c r="M792" s="27"/>
      <c r="N792" s="39" t="s">
        <v>663</v>
      </c>
      <c r="O792" s="17"/>
      <c r="P792" s="19" t="s">
        <v>76</v>
      </c>
      <c r="Q792" s="20"/>
      <c r="R792" s="20" t="s">
        <v>3401</v>
      </c>
      <c r="S792" s="20"/>
      <c r="T792" s="20" t="s">
        <v>3402</v>
      </c>
      <c r="U792" s="20"/>
      <c r="V792" s="21" t="s">
        <v>31</v>
      </c>
      <c r="Z792" s="20"/>
      <c r="AA792" s="22" t="str">
        <f aca="false">IF(P792="OD500 US (submitted)", "5", " ")</f>
        <v>5</v>
      </c>
      <c r="AB792" s="20"/>
      <c r="AC792" s="20"/>
      <c r="AD792" s="20"/>
      <c r="AE792" s="20"/>
    </row>
    <row r="793" customFormat="false" ht="15.75" hidden="false" customHeight="false" outlineLevel="0" collapsed="false">
      <c r="A793" s="12"/>
      <c r="B793" s="12"/>
      <c r="C793" s="23" t="s">
        <v>3403</v>
      </c>
      <c r="D793" s="24"/>
      <c r="E793" s="17"/>
      <c r="F793" s="17"/>
      <c r="G793" s="17"/>
      <c r="H793" s="17"/>
      <c r="I793" s="17" t="s">
        <v>260</v>
      </c>
      <c r="J793" s="32" t="s">
        <v>1555</v>
      </c>
      <c r="K793" s="17"/>
      <c r="L793" s="17"/>
      <c r="M793" s="27"/>
      <c r="N793" s="17"/>
      <c r="O793" s="17"/>
      <c r="P793" s="40" t="s">
        <v>261</v>
      </c>
      <c r="Q793" s="12"/>
      <c r="R793" s="12"/>
      <c r="S793" s="12"/>
      <c r="T793" s="12"/>
      <c r="U793" s="12"/>
      <c r="V793" s="21"/>
      <c r="Z793" s="12"/>
      <c r="AA793" s="29"/>
      <c r="AB793" s="12"/>
      <c r="AC793" s="12"/>
      <c r="AD793" s="12"/>
      <c r="AE793" s="12"/>
    </row>
    <row r="794" customFormat="false" ht="15.75" hidden="false" customHeight="false" outlineLevel="0" collapsed="false">
      <c r="A794" s="12" t="str">
        <f aca="false">IF((AA794&gt;=4), "Y", "N")</f>
        <v>Y</v>
      </c>
      <c r="B794" s="13"/>
      <c r="C794" s="31" t="s">
        <v>3404</v>
      </c>
      <c r="D794" s="16" t="s">
        <v>94</v>
      </c>
      <c r="E794" s="32" t="s">
        <v>3405</v>
      </c>
      <c r="F794" s="32" t="s">
        <v>3406</v>
      </c>
      <c r="G794" s="32" t="s">
        <v>145</v>
      </c>
      <c r="H794" s="17" t="s">
        <v>146</v>
      </c>
      <c r="I794" s="17" t="s">
        <v>36</v>
      </c>
      <c r="J794" s="32" t="s">
        <v>1555</v>
      </c>
      <c r="K794" s="33" t="n">
        <v>2012</v>
      </c>
      <c r="L794" s="33" t="s">
        <v>109</v>
      </c>
      <c r="M794" s="27"/>
      <c r="N794" s="39" t="s">
        <v>663</v>
      </c>
      <c r="O794" s="17"/>
      <c r="P794" s="19" t="s">
        <v>76</v>
      </c>
      <c r="Q794" s="20"/>
      <c r="R794" s="20" t="s">
        <v>3407</v>
      </c>
      <c r="S794" s="20"/>
      <c r="T794" s="20" t="s">
        <v>3408</v>
      </c>
      <c r="U794" s="20"/>
      <c r="V794" s="21" t="s">
        <v>31</v>
      </c>
      <c r="Z794" s="20"/>
      <c r="AA794" s="22" t="str">
        <f aca="false">IF(P794="OD500 US (submitted)", "5", " ")</f>
        <v>5</v>
      </c>
      <c r="AB794" s="20"/>
      <c r="AC794" s="20"/>
      <c r="AD794" s="20"/>
      <c r="AE794" s="20"/>
    </row>
    <row r="795" customFormat="false" ht="15.75" hidden="false" customHeight="false" outlineLevel="0" collapsed="false">
      <c r="A795" s="12" t="str">
        <f aca="false">IF((AA795&gt;=4), "Y", "N")</f>
        <v>Y</v>
      </c>
      <c r="B795" s="12"/>
      <c r="C795" s="23" t="s">
        <v>3409</v>
      </c>
      <c r="D795" s="24" t="s">
        <v>94</v>
      </c>
      <c r="E795" s="25" t="s">
        <v>3410</v>
      </c>
      <c r="F795" s="17" t="s">
        <v>3411</v>
      </c>
      <c r="G795" s="17" t="s">
        <v>3412</v>
      </c>
      <c r="H795" s="17" t="s">
        <v>1172</v>
      </c>
      <c r="I795" s="17" t="s">
        <v>36</v>
      </c>
      <c r="J795" s="17" t="s">
        <v>1555</v>
      </c>
      <c r="K795" s="17" t="n">
        <v>1954</v>
      </c>
      <c r="L795" s="33" t="s">
        <v>275</v>
      </c>
      <c r="M795" s="27"/>
      <c r="N795" s="37" t="s">
        <v>663</v>
      </c>
      <c r="O795" s="17"/>
      <c r="P795" s="40" t="s">
        <v>111</v>
      </c>
      <c r="Q795" s="12"/>
      <c r="R795" s="12"/>
      <c r="S795" s="12"/>
      <c r="T795" s="12"/>
      <c r="U795" s="12"/>
      <c r="V795" s="21"/>
      <c r="Z795" s="12"/>
      <c r="AA795" s="29" t="n">
        <v>5</v>
      </c>
      <c r="AB795" s="12"/>
      <c r="AC795" s="12"/>
      <c r="AD795" s="12"/>
      <c r="AE795" s="12"/>
    </row>
    <row r="796" customFormat="false" ht="15.75" hidden="false" customHeight="false" outlineLevel="0" collapsed="false">
      <c r="A796" s="12" t="str">
        <f aca="false">IF((AA796&gt;=4), "Y", "N")</f>
        <v>Y</v>
      </c>
      <c r="B796" s="12"/>
      <c r="C796" s="23" t="s">
        <v>3413</v>
      </c>
      <c r="D796" s="24" t="s">
        <v>94</v>
      </c>
      <c r="E796" s="25" t="s">
        <v>3414</v>
      </c>
      <c r="F796" s="17" t="s">
        <v>3415</v>
      </c>
      <c r="G796" s="17" t="s">
        <v>3416</v>
      </c>
      <c r="H796" s="26" t="s">
        <v>120</v>
      </c>
      <c r="I796" s="17" t="s">
        <v>36</v>
      </c>
      <c r="J796" s="17" t="s">
        <v>1555</v>
      </c>
      <c r="K796" s="17" t="n">
        <v>1998</v>
      </c>
      <c r="L796" s="33" t="s">
        <v>275</v>
      </c>
      <c r="M796" s="27"/>
      <c r="N796" s="37" t="s">
        <v>663</v>
      </c>
      <c r="O796" s="17"/>
      <c r="P796" s="40" t="s">
        <v>111</v>
      </c>
      <c r="Q796" s="17"/>
      <c r="R796" s="17"/>
      <c r="S796" s="17"/>
      <c r="T796" s="17"/>
      <c r="U796" s="17"/>
      <c r="V796" s="27"/>
      <c r="Z796" s="17"/>
      <c r="AA796" s="29" t="n">
        <v>5</v>
      </c>
      <c r="AB796" s="17"/>
      <c r="AC796" s="17"/>
      <c r="AD796" s="17"/>
      <c r="AE796" s="17"/>
    </row>
    <row r="797" customFormat="false" ht="15.75" hidden="false" customHeight="false" outlineLevel="0" collapsed="false">
      <c r="A797" s="12" t="str">
        <f aca="false">IF((AA797&gt;=4), "Y", "N")</f>
        <v>Y</v>
      </c>
      <c r="B797" s="13"/>
      <c r="C797" s="31" t="s">
        <v>3417</v>
      </c>
      <c r="D797" s="16" t="s">
        <v>94</v>
      </c>
      <c r="E797" s="32" t="s">
        <v>3418</v>
      </c>
      <c r="F797" s="32" t="s">
        <v>3419</v>
      </c>
      <c r="G797" s="32" t="s">
        <v>71</v>
      </c>
      <c r="H797" s="26" t="s">
        <v>72</v>
      </c>
      <c r="I797" s="17" t="s">
        <v>36</v>
      </c>
      <c r="J797" s="32" t="s">
        <v>1555</v>
      </c>
      <c r="K797" s="33" t="n">
        <v>2013</v>
      </c>
      <c r="L797" s="33" t="s">
        <v>109</v>
      </c>
      <c r="M797" s="27"/>
      <c r="N797" s="44" t="s">
        <v>3420</v>
      </c>
      <c r="O797" s="17"/>
      <c r="P797" s="19" t="s">
        <v>76</v>
      </c>
      <c r="Q797" s="12"/>
      <c r="R797" s="12" t="s">
        <v>3421</v>
      </c>
      <c r="S797" s="12"/>
      <c r="T797" s="12" t="s">
        <v>3422</v>
      </c>
      <c r="U797" s="12"/>
      <c r="V797" s="21" t="s">
        <v>31</v>
      </c>
      <c r="Z797" s="12"/>
      <c r="AA797" s="22" t="str">
        <f aca="false">IF(P797="OD500 US (submitted)", "5", " ")</f>
        <v>5</v>
      </c>
      <c r="AB797" s="12"/>
      <c r="AC797" s="12"/>
      <c r="AD797" s="12"/>
      <c r="AE797" s="12"/>
    </row>
    <row r="798" customFormat="false" ht="15.75" hidden="false" customHeight="false" outlineLevel="0" collapsed="false">
      <c r="A798" s="12"/>
      <c r="B798" s="12"/>
      <c r="C798" s="23" t="s">
        <v>3423</v>
      </c>
      <c r="D798" s="24"/>
      <c r="E798" s="17"/>
      <c r="F798" s="17"/>
      <c r="G798" s="17"/>
      <c r="H798" s="17"/>
      <c r="I798" s="17" t="s">
        <v>260</v>
      </c>
      <c r="J798" s="32" t="s">
        <v>1555</v>
      </c>
      <c r="K798" s="17"/>
      <c r="L798" s="17"/>
      <c r="M798" s="27"/>
      <c r="N798" s="17"/>
      <c r="O798" s="17"/>
      <c r="P798" s="40" t="s">
        <v>261</v>
      </c>
      <c r="Q798" s="12"/>
      <c r="R798" s="12"/>
      <c r="S798" s="12"/>
      <c r="T798" s="12"/>
      <c r="U798" s="12"/>
      <c r="V798" s="21"/>
      <c r="Z798" s="12"/>
      <c r="AA798" s="29"/>
      <c r="AB798" s="12"/>
      <c r="AC798" s="12"/>
      <c r="AD798" s="12"/>
      <c r="AE798" s="12"/>
    </row>
    <row r="799" customFormat="false" ht="15.75" hidden="false" customHeight="false" outlineLevel="0" collapsed="false">
      <c r="A799" s="12" t="str">
        <f aca="false">IF((AA799&gt;=4), "Y", "N")</f>
        <v>Y</v>
      </c>
      <c r="B799" s="13"/>
      <c r="C799" s="31" t="s">
        <v>3424</v>
      </c>
      <c r="D799" s="16" t="s">
        <v>94</v>
      </c>
      <c r="E799" s="32" t="s">
        <v>3425</v>
      </c>
      <c r="F799" s="32" t="s">
        <v>3426</v>
      </c>
      <c r="G799" s="32" t="s">
        <v>2475</v>
      </c>
      <c r="H799" s="26" t="s">
        <v>1030</v>
      </c>
      <c r="I799" s="17" t="s">
        <v>36</v>
      </c>
      <c r="J799" s="32" t="s">
        <v>1555</v>
      </c>
      <c r="K799" s="33" t="n">
        <v>2008</v>
      </c>
      <c r="L799" s="33" t="s">
        <v>73</v>
      </c>
      <c r="M799" s="27"/>
      <c r="N799" s="44" t="s">
        <v>663</v>
      </c>
      <c r="O799" s="17"/>
      <c r="P799" s="19" t="s">
        <v>76</v>
      </c>
      <c r="Q799" s="12"/>
      <c r="R799" s="12" t="s">
        <v>3427</v>
      </c>
      <c r="S799" s="12"/>
      <c r="T799" s="12" t="s">
        <v>3428</v>
      </c>
      <c r="U799" s="12"/>
      <c r="V799" s="21" t="s">
        <v>31</v>
      </c>
      <c r="Z799" s="12"/>
      <c r="AA799" s="22" t="str">
        <f aca="false">IF(P799="OD500 US (submitted)", "5", " ")</f>
        <v>5</v>
      </c>
      <c r="AB799" s="12"/>
      <c r="AC799" s="12"/>
      <c r="AD799" s="12"/>
      <c r="AE799" s="12"/>
    </row>
    <row r="800" customFormat="false" ht="15.75" hidden="false" customHeight="false" outlineLevel="0" collapsed="false">
      <c r="A800" s="12" t="str">
        <f aca="false">IF((AA800&gt;=4), "Y", "N")</f>
        <v>Y</v>
      </c>
      <c r="B800" s="12"/>
      <c r="C800" s="23" t="s">
        <v>3429</v>
      </c>
      <c r="D800" s="24" t="s">
        <v>51</v>
      </c>
      <c r="E800" s="25" t="s">
        <v>3430</v>
      </c>
      <c r="F800" s="17" t="s">
        <v>3431</v>
      </c>
      <c r="G800" s="17" t="s">
        <v>1937</v>
      </c>
      <c r="H800" s="26" t="s">
        <v>72</v>
      </c>
      <c r="I800" s="17" t="s">
        <v>36</v>
      </c>
      <c r="J800" s="17" t="s">
        <v>1555</v>
      </c>
      <c r="K800" s="17" t="n">
        <v>1945</v>
      </c>
      <c r="L800" s="33" t="s">
        <v>275</v>
      </c>
      <c r="M800" s="27"/>
      <c r="N800" s="39" t="s">
        <v>110</v>
      </c>
      <c r="O800" s="17"/>
      <c r="P800" s="40" t="s">
        <v>111</v>
      </c>
      <c r="Q800" s="17"/>
      <c r="R800" s="17"/>
      <c r="S800" s="17"/>
      <c r="T800" s="17"/>
      <c r="U800" s="17"/>
      <c r="V800" s="27"/>
      <c r="Z800" s="17"/>
      <c r="AA800" s="29" t="n">
        <v>5</v>
      </c>
      <c r="AB800" s="17"/>
      <c r="AC800" s="17"/>
      <c r="AD800" s="17"/>
      <c r="AE800" s="17"/>
    </row>
    <row r="801" customFormat="false" ht="15.75" hidden="false" customHeight="false" outlineLevel="0" collapsed="false">
      <c r="A801" s="12" t="str">
        <f aca="false">IF((AA801&gt;=4), "Y", "N")</f>
        <v>Y</v>
      </c>
      <c r="B801" s="13"/>
      <c r="C801" s="31" t="s">
        <v>3432</v>
      </c>
      <c r="D801" s="16" t="s">
        <v>94</v>
      </c>
      <c r="E801" s="32" t="s">
        <v>3433</v>
      </c>
      <c r="F801" s="32" t="s">
        <v>3434</v>
      </c>
      <c r="G801" s="32" t="s">
        <v>3435</v>
      </c>
      <c r="H801" s="26" t="s">
        <v>297</v>
      </c>
      <c r="I801" s="17" t="s">
        <v>36</v>
      </c>
      <c r="J801" s="32" t="s">
        <v>1555</v>
      </c>
      <c r="K801" s="33" t="n">
        <v>2011</v>
      </c>
      <c r="L801" s="33" t="s">
        <v>109</v>
      </c>
      <c r="M801" s="27"/>
      <c r="N801" s="39" t="s">
        <v>3436</v>
      </c>
      <c r="O801" s="17"/>
      <c r="P801" s="19" t="s">
        <v>76</v>
      </c>
      <c r="Q801" s="12"/>
      <c r="R801" s="12" t="s">
        <v>3437</v>
      </c>
      <c r="S801" s="12"/>
      <c r="T801" s="12" t="s">
        <v>3438</v>
      </c>
      <c r="U801" s="12"/>
      <c r="V801" s="21" t="s">
        <v>31</v>
      </c>
      <c r="Z801" s="12"/>
      <c r="AA801" s="22" t="str">
        <f aca="false">IF(P801="OD500 US (submitted)", "5", " ")</f>
        <v>5</v>
      </c>
      <c r="AB801" s="12"/>
      <c r="AC801" s="12"/>
      <c r="AD801" s="12"/>
      <c r="AE801" s="12"/>
    </row>
    <row r="802" customFormat="false" ht="15.75" hidden="false" customHeight="false" outlineLevel="0" collapsed="false">
      <c r="A802" s="12" t="str">
        <f aca="false">IF((AA802&gt;=4), "Y", "N")</f>
        <v>Y</v>
      </c>
      <c r="B802" s="12"/>
      <c r="C802" s="23" t="s">
        <v>3439</v>
      </c>
      <c r="D802" s="24" t="s">
        <v>94</v>
      </c>
      <c r="E802" s="25" t="s">
        <v>3440</v>
      </c>
      <c r="F802" s="17" t="s">
        <v>3441</v>
      </c>
      <c r="G802" s="17" t="s">
        <v>296</v>
      </c>
      <c r="H802" s="26" t="s">
        <v>297</v>
      </c>
      <c r="I802" s="17" t="s">
        <v>36</v>
      </c>
      <c r="J802" s="17" t="s">
        <v>1555</v>
      </c>
      <c r="K802" s="17" t="n">
        <v>2010</v>
      </c>
      <c r="L802" s="38" t="s">
        <v>73</v>
      </c>
      <c r="M802" s="27"/>
      <c r="N802" s="37" t="s">
        <v>663</v>
      </c>
      <c r="O802" s="17"/>
      <c r="P802" s="40" t="s">
        <v>111</v>
      </c>
      <c r="Q802" s="12"/>
      <c r="R802" s="12"/>
      <c r="S802" s="12"/>
      <c r="T802" s="12"/>
      <c r="U802" s="12"/>
      <c r="V802" s="21"/>
      <c r="Z802" s="12"/>
      <c r="AA802" s="29" t="n">
        <v>5</v>
      </c>
      <c r="AB802" s="12"/>
      <c r="AC802" s="12"/>
      <c r="AD802" s="12"/>
      <c r="AE802" s="12"/>
    </row>
    <row r="803" customFormat="false" ht="15.75" hidden="false" customHeight="false" outlineLevel="0" collapsed="false">
      <c r="A803" s="12" t="str">
        <f aca="false">IF((AA803&gt;=4), "Y", "N")</f>
        <v>Y</v>
      </c>
      <c r="B803" s="13"/>
      <c r="C803" s="31" t="s">
        <v>3442</v>
      </c>
      <c r="D803" s="16" t="s">
        <v>94</v>
      </c>
      <c r="E803" s="32" t="s">
        <v>3443</v>
      </c>
      <c r="F803" s="32" t="s">
        <v>3444</v>
      </c>
      <c r="G803" s="32" t="s">
        <v>296</v>
      </c>
      <c r="H803" s="26" t="s">
        <v>297</v>
      </c>
      <c r="I803" s="17" t="s">
        <v>36</v>
      </c>
      <c r="J803" s="32" t="s">
        <v>1555</v>
      </c>
      <c r="K803" s="33" t="n">
        <v>2010</v>
      </c>
      <c r="L803" s="33"/>
      <c r="M803" s="27"/>
      <c r="N803" s="44" t="s">
        <v>663</v>
      </c>
      <c r="O803" s="17"/>
      <c r="P803" s="19" t="s">
        <v>76</v>
      </c>
      <c r="Q803" s="12"/>
      <c r="R803" s="12" t="s">
        <v>3445</v>
      </c>
      <c r="S803" s="12"/>
      <c r="T803" s="12" t="s">
        <v>3446</v>
      </c>
      <c r="U803" s="12"/>
      <c r="V803" s="21" t="s">
        <v>31</v>
      </c>
      <c r="Z803" s="12"/>
      <c r="AA803" s="22" t="str">
        <f aca="false">IF(P803="OD500 US (submitted)", "5", " ")</f>
        <v>5</v>
      </c>
      <c r="AB803" s="12"/>
      <c r="AC803" s="12"/>
      <c r="AD803" s="12"/>
      <c r="AE803" s="12"/>
    </row>
    <row r="804" customFormat="false" ht="15.75" hidden="false" customHeight="false" outlineLevel="0" collapsed="false">
      <c r="A804" s="12" t="str">
        <f aca="false">IF((AA804&gt;=4), "Y", "N")</f>
        <v>Y</v>
      </c>
      <c r="B804" s="12"/>
      <c r="C804" s="23" t="s">
        <v>3447</v>
      </c>
      <c r="D804" s="24" t="s">
        <v>94</v>
      </c>
      <c r="E804" s="25" t="s">
        <v>3448</v>
      </c>
      <c r="F804" s="17" t="s">
        <v>3449</v>
      </c>
      <c r="G804" s="17" t="s">
        <v>476</v>
      </c>
      <c r="H804" s="26" t="s">
        <v>477</v>
      </c>
      <c r="I804" s="17" t="s">
        <v>36</v>
      </c>
      <c r="J804" s="17" t="s">
        <v>1555</v>
      </c>
      <c r="K804" s="17" t="n">
        <v>2010</v>
      </c>
      <c r="L804" s="38" t="s">
        <v>109</v>
      </c>
      <c r="M804" s="27"/>
      <c r="N804" s="37" t="s">
        <v>663</v>
      </c>
      <c r="O804" s="17"/>
      <c r="P804" s="40" t="s">
        <v>111</v>
      </c>
      <c r="Q804" s="12"/>
      <c r="R804" s="12"/>
      <c r="S804" s="12"/>
      <c r="T804" s="12"/>
      <c r="U804" s="12"/>
      <c r="V804" s="21"/>
      <c r="Z804" s="12"/>
      <c r="AA804" s="29" t="n">
        <v>5</v>
      </c>
      <c r="AB804" s="12"/>
      <c r="AC804" s="12"/>
      <c r="AD804" s="12"/>
      <c r="AE804" s="12"/>
    </row>
    <row r="805" customFormat="false" ht="15.75" hidden="false" customHeight="false" outlineLevel="0" collapsed="false">
      <c r="A805" s="12" t="str">
        <f aca="false">IF((AA805&gt;=4), "Y", "N")</f>
        <v>Y</v>
      </c>
      <c r="B805" s="12"/>
      <c r="C805" s="23" t="s">
        <v>3450</v>
      </c>
      <c r="D805" s="24" t="s">
        <v>94</v>
      </c>
      <c r="E805" s="25" t="s">
        <v>3451</v>
      </c>
      <c r="F805" s="17" t="s">
        <v>3452</v>
      </c>
      <c r="G805" s="17" t="s">
        <v>3453</v>
      </c>
      <c r="H805" s="26" t="s">
        <v>516</v>
      </c>
      <c r="I805" s="17" t="s">
        <v>36</v>
      </c>
      <c r="J805" s="17" t="s">
        <v>1555</v>
      </c>
      <c r="K805" s="17" t="n">
        <v>1993</v>
      </c>
      <c r="L805" s="33" t="s">
        <v>275</v>
      </c>
      <c r="M805" s="27"/>
      <c r="N805" s="17" t="s">
        <v>3454</v>
      </c>
      <c r="O805" s="17"/>
      <c r="P805" s="40" t="s">
        <v>111</v>
      </c>
      <c r="Q805" s="12"/>
      <c r="R805" s="12"/>
      <c r="S805" s="12"/>
      <c r="T805" s="12"/>
      <c r="U805" s="12"/>
      <c r="V805" s="21"/>
      <c r="Z805" s="12"/>
      <c r="AA805" s="29" t="n">
        <v>5</v>
      </c>
      <c r="AB805" s="12"/>
      <c r="AC805" s="12"/>
      <c r="AD805" s="12"/>
      <c r="AE805" s="12"/>
    </row>
    <row r="806" customFormat="false" ht="15.75" hidden="false" customHeight="false" outlineLevel="0" collapsed="false">
      <c r="A806" s="12" t="str">
        <f aca="false">IF((AA806&gt;=4), "Y", "N")</f>
        <v>Y</v>
      </c>
      <c r="B806" s="13"/>
      <c r="C806" s="31" t="s">
        <v>3455</v>
      </c>
      <c r="D806" s="16" t="s">
        <v>94</v>
      </c>
      <c r="E806" s="32" t="s">
        <v>3456</v>
      </c>
      <c r="F806" s="32" t="s">
        <v>3457</v>
      </c>
      <c r="G806" s="32" t="s">
        <v>1611</v>
      </c>
      <c r="H806" s="26" t="s">
        <v>297</v>
      </c>
      <c r="I806" s="17" t="s">
        <v>36</v>
      </c>
      <c r="J806" s="32" t="s">
        <v>1555</v>
      </c>
      <c r="K806" s="33" t="n">
        <v>2004</v>
      </c>
      <c r="L806" s="33" t="s">
        <v>73</v>
      </c>
      <c r="M806" s="27"/>
      <c r="N806" s="44" t="s">
        <v>663</v>
      </c>
      <c r="O806" s="17"/>
      <c r="P806" s="19" t="s">
        <v>76</v>
      </c>
      <c r="Q806" s="20"/>
      <c r="R806" s="20" t="s">
        <v>3458</v>
      </c>
      <c r="S806" s="20"/>
      <c r="T806" s="20" t="s">
        <v>3459</v>
      </c>
      <c r="U806" s="20"/>
      <c r="V806" s="21" t="s">
        <v>31</v>
      </c>
      <c r="Z806" s="20"/>
      <c r="AA806" s="22" t="str">
        <f aca="false">IF(P806="OD500 US (submitted)", "5", " ")</f>
        <v>5</v>
      </c>
      <c r="AB806" s="20"/>
      <c r="AC806" s="20"/>
      <c r="AD806" s="20"/>
      <c r="AE806" s="20"/>
    </row>
    <row r="807" customFormat="false" ht="15.75" hidden="false" customHeight="false" outlineLevel="0" collapsed="false">
      <c r="A807" s="12" t="str">
        <f aca="false">IF((AA807&gt;=4), "Y", "N")</f>
        <v>Y</v>
      </c>
      <c r="B807" s="13"/>
      <c r="C807" s="31" t="s">
        <v>3460</v>
      </c>
      <c r="D807" s="24" t="s">
        <v>94</v>
      </c>
      <c r="E807" s="32" t="s">
        <v>3461</v>
      </c>
      <c r="F807" s="17"/>
      <c r="G807" s="17"/>
      <c r="H807" s="17"/>
      <c r="I807" s="26" t="s">
        <v>266</v>
      </c>
      <c r="J807" s="32" t="s">
        <v>1555</v>
      </c>
      <c r="K807" s="33" t="n">
        <v>1942</v>
      </c>
      <c r="L807" s="33" t="s">
        <v>73</v>
      </c>
      <c r="M807" s="27"/>
      <c r="N807" s="17" t="s">
        <v>3462</v>
      </c>
      <c r="O807" s="17"/>
      <c r="P807" s="40" t="s">
        <v>268</v>
      </c>
      <c r="Q807" s="12"/>
      <c r="R807" s="12"/>
      <c r="S807" s="12"/>
      <c r="T807" s="12"/>
      <c r="U807" s="12"/>
      <c r="V807" s="21"/>
      <c r="Z807" s="12"/>
      <c r="AA807" s="29" t="str">
        <f aca="false">IF(P807="OD500 MX", "5", " ")</f>
        <v>5</v>
      </c>
      <c r="AB807" s="12"/>
      <c r="AC807" s="12"/>
      <c r="AD807" s="12"/>
      <c r="AE807" s="12"/>
    </row>
    <row r="808" customFormat="false" ht="15.75" hidden="false" customHeight="false" outlineLevel="0" collapsed="false">
      <c r="A808" s="12" t="str">
        <f aca="false">IF((AA808&gt;=4), "Y", "N")</f>
        <v>Y</v>
      </c>
      <c r="B808" s="12"/>
      <c r="C808" s="23" t="s">
        <v>3463</v>
      </c>
      <c r="D808" s="24" t="s">
        <v>94</v>
      </c>
      <c r="E808" s="25" t="s">
        <v>3464</v>
      </c>
      <c r="F808" s="17" t="s">
        <v>3465</v>
      </c>
      <c r="G808" s="17" t="s">
        <v>71</v>
      </c>
      <c r="H808" s="26" t="s">
        <v>72</v>
      </c>
      <c r="I808" s="17" t="s">
        <v>36</v>
      </c>
      <c r="J808" s="17" t="s">
        <v>1555</v>
      </c>
      <c r="K808" s="17" t="n">
        <v>2005</v>
      </c>
      <c r="L808" s="38" t="s">
        <v>330</v>
      </c>
      <c r="M808" s="27"/>
      <c r="N808" s="39" t="s">
        <v>663</v>
      </c>
      <c r="O808" s="17"/>
      <c r="P808" s="40" t="s">
        <v>111</v>
      </c>
      <c r="Q808" s="20"/>
      <c r="R808" s="20"/>
      <c r="S808" s="20"/>
      <c r="T808" s="20"/>
      <c r="U808" s="20"/>
      <c r="V808" s="45"/>
      <c r="Z808" s="20"/>
      <c r="AA808" s="22" t="n">
        <v>5</v>
      </c>
      <c r="AB808" s="20"/>
      <c r="AC808" s="20"/>
      <c r="AD808" s="20"/>
      <c r="AE808" s="20"/>
    </row>
    <row r="809" customFormat="false" ht="15.75" hidden="false" customHeight="false" outlineLevel="0" collapsed="false">
      <c r="A809" s="12" t="str">
        <f aca="false">IF((AA809&gt;=4), "Y", "N")</f>
        <v>Y</v>
      </c>
      <c r="B809" s="12"/>
      <c r="C809" s="23" t="s">
        <v>3466</v>
      </c>
      <c r="D809" s="24" t="s">
        <v>94</v>
      </c>
      <c r="E809" s="25" t="s">
        <v>3467</v>
      </c>
      <c r="F809" s="17" t="s">
        <v>3468</v>
      </c>
      <c r="G809" s="17" t="s">
        <v>3469</v>
      </c>
      <c r="H809" s="26" t="s">
        <v>2761</v>
      </c>
      <c r="I809" s="17" t="s">
        <v>36</v>
      </c>
      <c r="J809" s="17" t="s">
        <v>1555</v>
      </c>
      <c r="K809" s="17" t="n">
        <v>2012</v>
      </c>
      <c r="L809" s="38" t="s">
        <v>99</v>
      </c>
      <c r="M809" s="27"/>
      <c r="N809" s="39" t="s">
        <v>663</v>
      </c>
      <c r="O809" s="17"/>
      <c r="P809" s="40" t="s">
        <v>111</v>
      </c>
      <c r="Q809" s="17"/>
      <c r="R809" s="17"/>
      <c r="S809" s="17"/>
      <c r="T809" s="17"/>
      <c r="U809" s="17"/>
      <c r="V809" s="27"/>
      <c r="Z809" s="17"/>
      <c r="AA809" s="29" t="n">
        <v>5</v>
      </c>
      <c r="AB809" s="17"/>
      <c r="AC809" s="17"/>
      <c r="AD809" s="17"/>
      <c r="AE809" s="17"/>
    </row>
    <row r="810" customFormat="false" ht="15.75" hidden="false" customHeight="false" outlineLevel="0" collapsed="false">
      <c r="A810" s="12" t="str">
        <f aca="false">IF((AA810&gt;=4), "Y", "N")</f>
        <v>Y</v>
      </c>
      <c r="B810" s="13"/>
      <c r="C810" s="31" t="s">
        <v>3470</v>
      </c>
      <c r="D810" s="24" t="s">
        <v>94</v>
      </c>
      <c r="E810" s="32" t="s">
        <v>3471</v>
      </c>
      <c r="F810" s="17"/>
      <c r="G810" s="17"/>
      <c r="H810" s="17"/>
      <c r="I810" s="26" t="s">
        <v>266</v>
      </c>
      <c r="J810" s="32" t="s">
        <v>1555</v>
      </c>
      <c r="K810" s="33" t="n">
        <v>2004</v>
      </c>
      <c r="L810" s="33" t="s">
        <v>330</v>
      </c>
      <c r="M810" s="27"/>
      <c r="N810" s="17" t="s">
        <v>3472</v>
      </c>
      <c r="O810" s="17"/>
      <c r="P810" s="40" t="s">
        <v>268</v>
      </c>
      <c r="Q810" s="12"/>
      <c r="R810" s="12"/>
      <c r="S810" s="12"/>
      <c r="T810" s="12"/>
      <c r="U810" s="12"/>
      <c r="V810" s="21"/>
      <c r="Z810" s="12"/>
      <c r="AA810" s="29" t="str">
        <f aca="false">IF(P810="OD500 MX", "5", " ")</f>
        <v>5</v>
      </c>
      <c r="AB810" s="12"/>
      <c r="AC810" s="12"/>
      <c r="AD810" s="12"/>
      <c r="AE810" s="12"/>
    </row>
    <row r="811" customFormat="false" ht="15.75" hidden="false" customHeight="false" outlineLevel="0" collapsed="false">
      <c r="A811" s="12" t="str">
        <f aca="false">IF((AA811&gt;=4), "Y", "N")</f>
        <v>Y</v>
      </c>
      <c r="B811" s="12"/>
      <c r="C811" s="23" t="s">
        <v>3473</v>
      </c>
      <c r="D811" s="24" t="s">
        <v>94</v>
      </c>
      <c r="E811" s="25" t="s">
        <v>3474</v>
      </c>
      <c r="F811" s="17" t="s">
        <v>3475</v>
      </c>
      <c r="G811" s="17" t="s">
        <v>107</v>
      </c>
      <c r="H811" s="26" t="s">
        <v>108</v>
      </c>
      <c r="I811" s="17" t="s">
        <v>36</v>
      </c>
      <c r="J811" s="17" t="s">
        <v>1555</v>
      </c>
      <c r="K811" s="17" t="n">
        <v>2010</v>
      </c>
      <c r="L811" s="38" t="s">
        <v>99</v>
      </c>
      <c r="M811" s="27"/>
      <c r="N811" s="39" t="s">
        <v>3476</v>
      </c>
      <c r="O811" s="17"/>
      <c r="P811" s="40" t="s">
        <v>111</v>
      </c>
      <c r="Q811" s="12"/>
      <c r="R811" s="12"/>
      <c r="S811" s="12"/>
      <c r="T811" s="12"/>
      <c r="U811" s="12"/>
      <c r="V811" s="21"/>
      <c r="Z811" s="12"/>
      <c r="AA811" s="29" t="n">
        <v>5</v>
      </c>
      <c r="AB811" s="12"/>
      <c r="AC811" s="12"/>
      <c r="AD811" s="12"/>
      <c r="AE811" s="12"/>
    </row>
    <row r="812" customFormat="false" ht="15.75" hidden="false" customHeight="false" outlineLevel="0" collapsed="false">
      <c r="A812" s="12"/>
      <c r="B812" s="12"/>
      <c r="C812" s="23" t="s">
        <v>3477</v>
      </c>
      <c r="D812" s="24"/>
      <c r="E812" s="17"/>
      <c r="F812" s="17"/>
      <c r="G812" s="17"/>
      <c r="H812" s="17"/>
      <c r="I812" s="17" t="s">
        <v>260</v>
      </c>
      <c r="J812" s="32" t="s">
        <v>1555</v>
      </c>
      <c r="K812" s="17"/>
      <c r="L812" s="17"/>
      <c r="M812" s="27"/>
      <c r="N812" s="17"/>
      <c r="O812" s="17"/>
      <c r="P812" s="40" t="s">
        <v>261</v>
      </c>
      <c r="Q812" s="12"/>
      <c r="R812" s="12"/>
      <c r="S812" s="12"/>
      <c r="T812" s="12"/>
      <c r="U812" s="12"/>
      <c r="V812" s="21"/>
      <c r="Z812" s="12"/>
      <c r="AA812" s="29"/>
      <c r="AB812" s="12"/>
      <c r="AC812" s="12"/>
      <c r="AD812" s="12"/>
      <c r="AE812" s="12"/>
    </row>
    <row r="813" customFormat="false" ht="15.75" hidden="false" customHeight="false" outlineLevel="0" collapsed="false">
      <c r="A813" s="12" t="str">
        <f aca="false">IF((AA813&gt;=4), "Y", "N")</f>
        <v>Y</v>
      </c>
      <c r="B813" s="13"/>
      <c r="C813" s="31" t="s">
        <v>3478</v>
      </c>
      <c r="D813" s="16" t="s">
        <v>94</v>
      </c>
      <c r="E813" s="32" t="s">
        <v>3479</v>
      </c>
      <c r="F813" s="32" t="s">
        <v>3480</v>
      </c>
      <c r="G813" s="32" t="s">
        <v>3481</v>
      </c>
      <c r="H813" s="26" t="s">
        <v>3482</v>
      </c>
      <c r="I813" s="17" t="s">
        <v>36</v>
      </c>
      <c r="J813" s="32" t="s">
        <v>1555</v>
      </c>
      <c r="K813" s="33" t="n">
        <v>2012</v>
      </c>
      <c r="L813" s="33" t="s">
        <v>109</v>
      </c>
      <c r="M813" s="27"/>
      <c r="N813" s="39" t="s">
        <v>3483</v>
      </c>
      <c r="O813" s="17"/>
      <c r="P813" s="19" t="s">
        <v>76</v>
      </c>
      <c r="Q813" s="12"/>
      <c r="R813" s="12" t="s">
        <v>3484</v>
      </c>
      <c r="S813" s="12"/>
      <c r="T813" s="12" t="s">
        <v>3485</v>
      </c>
      <c r="U813" s="12"/>
      <c r="V813" s="21" t="s">
        <v>31</v>
      </c>
      <c r="Z813" s="12"/>
      <c r="AA813" s="22" t="str">
        <f aca="false">IF(P813="OD500 US (submitted)", "5", " ")</f>
        <v>5</v>
      </c>
      <c r="AB813" s="12"/>
      <c r="AC813" s="12"/>
      <c r="AD813" s="12"/>
      <c r="AE813" s="12"/>
    </row>
    <row r="814" customFormat="false" ht="15.75" hidden="false" customHeight="false" outlineLevel="0" collapsed="false">
      <c r="A814" s="12" t="str">
        <f aca="false">IF((AA814&gt;=4), "Y", "N")</f>
        <v>Y</v>
      </c>
      <c r="B814" s="12"/>
      <c r="C814" s="23" t="s">
        <v>3486</v>
      </c>
      <c r="D814" s="24" t="s">
        <v>94</v>
      </c>
      <c r="E814" s="25" t="s">
        <v>3487</v>
      </c>
      <c r="F814" s="17" t="s">
        <v>3488</v>
      </c>
      <c r="G814" s="17" t="s">
        <v>2544</v>
      </c>
      <c r="H814" s="26" t="s">
        <v>423</v>
      </c>
      <c r="I814" s="17" t="s">
        <v>36</v>
      </c>
      <c r="J814" s="17" t="s">
        <v>1555</v>
      </c>
      <c r="K814" s="17" t="n">
        <v>2013</v>
      </c>
      <c r="L814" s="38" t="s">
        <v>109</v>
      </c>
      <c r="M814" s="27"/>
      <c r="N814" s="39" t="s">
        <v>663</v>
      </c>
      <c r="O814" s="17"/>
      <c r="P814" s="40" t="s">
        <v>111</v>
      </c>
      <c r="Q814" s="20"/>
      <c r="R814" s="20"/>
      <c r="S814" s="20"/>
      <c r="T814" s="20"/>
      <c r="U814" s="20"/>
      <c r="V814" s="45"/>
      <c r="Z814" s="20"/>
      <c r="AA814" s="22" t="n">
        <v>5</v>
      </c>
      <c r="AB814" s="20"/>
      <c r="AC814" s="20"/>
      <c r="AD814" s="20"/>
      <c r="AE814" s="20"/>
    </row>
    <row r="815" customFormat="false" ht="15.75" hidden="false" customHeight="false" outlineLevel="0" collapsed="false">
      <c r="A815" s="12" t="str">
        <f aca="false">IF((AA815&gt;=4), "Y", "N")</f>
        <v>Y</v>
      </c>
      <c r="B815" s="13"/>
      <c r="C815" s="31" t="s">
        <v>3489</v>
      </c>
      <c r="D815" s="16" t="s">
        <v>94</v>
      </c>
      <c r="E815" s="32" t="s">
        <v>3490</v>
      </c>
      <c r="F815" s="32" t="s">
        <v>3491</v>
      </c>
      <c r="G815" s="32" t="s">
        <v>2248</v>
      </c>
      <c r="H815" s="26" t="s">
        <v>120</v>
      </c>
      <c r="I815" s="17" t="s">
        <v>36</v>
      </c>
      <c r="J815" s="32" t="s">
        <v>1555</v>
      </c>
      <c r="K815" s="33" t="n">
        <v>2011</v>
      </c>
      <c r="L815" s="33" t="s">
        <v>109</v>
      </c>
      <c r="M815" s="27"/>
      <c r="N815" s="44" t="s">
        <v>663</v>
      </c>
      <c r="O815" s="17"/>
      <c r="P815" s="19" t="s">
        <v>76</v>
      </c>
      <c r="Q815" s="20"/>
      <c r="R815" s="20" t="s">
        <v>3492</v>
      </c>
      <c r="S815" s="20"/>
      <c r="T815" s="20" t="s">
        <v>3493</v>
      </c>
      <c r="U815" s="20"/>
      <c r="V815" s="21" t="s">
        <v>31</v>
      </c>
      <c r="Z815" s="20"/>
      <c r="AA815" s="22" t="str">
        <f aca="false">IF(P815="OD500 US (submitted)", "5", " ")</f>
        <v>5</v>
      </c>
      <c r="AB815" s="20"/>
      <c r="AC815" s="20"/>
      <c r="AD815" s="20"/>
      <c r="AE815" s="20"/>
    </row>
    <row r="816" customFormat="false" ht="15.75" hidden="false" customHeight="false" outlineLevel="0" collapsed="false">
      <c r="A816" s="12" t="str">
        <f aca="false">IF((AA816&gt;=4), "Y", "N")</f>
        <v>Y</v>
      </c>
      <c r="B816" s="13"/>
      <c r="C816" s="31" t="s">
        <v>3494</v>
      </c>
      <c r="D816" s="16" t="s">
        <v>94</v>
      </c>
      <c r="E816" s="32" t="s">
        <v>3495</v>
      </c>
      <c r="F816" s="32" t="s">
        <v>3496</v>
      </c>
      <c r="G816" s="32" t="s">
        <v>3497</v>
      </c>
      <c r="H816" s="26" t="s">
        <v>423</v>
      </c>
      <c r="I816" s="17" t="s">
        <v>36</v>
      </c>
      <c r="J816" s="32" t="s">
        <v>1555</v>
      </c>
      <c r="K816" s="33" t="n">
        <v>2013</v>
      </c>
      <c r="L816" s="33" t="s">
        <v>109</v>
      </c>
      <c r="M816" s="27"/>
      <c r="N816" s="44" t="s">
        <v>663</v>
      </c>
      <c r="O816" s="17"/>
      <c r="P816" s="19" t="s">
        <v>76</v>
      </c>
      <c r="Q816" s="12"/>
      <c r="R816" s="12" t="s">
        <v>3498</v>
      </c>
      <c r="S816" s="12"/>
      <c r="T816" s="12" t="s">
        <v>3499</v>
      </c>
      <c r="U816" s="12"/>
      <c r="V816" s="21" t="s">
        <v>31</v>
      </c>
      <c r="Z816" s="12"/>
      <c r="AA816" s="22" t="str">
        <f aca="false">IF(P816="OD500 US (submitted)", "5", " ")</f>
        <v>5</v>
      </c>
      <c r="AB816" s="12"/>
      <c r="AC816" s="12"/>
      <c r="AD816" s="12"/>
      <c r="AE816" s="12"/>
    </row>
    <row r="817" customFormat="false" ht="15.75" hidden="false" customHeight="false" outlineLevel="0" collapsed="false">
      <c r="A817" s="12" t="str">
        <f aca="false">IF((AA817&gt;=4), "Y", "N")</f>
        <v>Y</v>
      </c>
      <c r="B817" s="12"/>
      <c r="C817" s="23" t="s">
        <v>3500</v>
      </c>
      <c r="D817" s="24"/>
      <c r="E817" s="25" t="s">
        <v>3501</v>
      </c>
      <c r="F817" s="17" t="s">
        <v>3502</v>
      </c>
      <c r="G817" s="17" t="s">
        <v>145</v>
      </c>
      <c r="H817" s="26" t="s">
        <v>146</v>
      </c>
      <c r="I817" s="17" t="s">
        <v>36</v>
      </c>
      <c r="J817" s="17" t="s">
        <v>1555</v>
      </c>
      <c r="K817" s="17" t="n">
        <v>2002</v>
      </c>
      <c r="L817" s="33"/>
      <c r="M817" s="27"/>
      <c r="N817" s="39" t="s">
        <v>663</v>
      </c>
      <c r="O817" s="17"/>
      <c r="P817" s="40" t="s">
        <v>111</v>
      </c>
      <c r="Q817" s="12"/>
      <c r="R817" s="12"/>
      <c r="S817" s="12"/>
      <c r="T817" s="12"/>
      <c r="U817" s="12"/>
      <c r="V817" s="21"/>
      <c r="Z817" s="12"/>
      <c r="AA817" s="29" t="n">
        <v>5</v>
      </c>
      <c r="AB817" s="12"/>
      <c r="AC817" s="12"/>
      <c r="AD817" s="12"/>
      <c r="AE817" s="12"/>
    </row>
    <row r="818" customFormat="false" ht="15.75" hidden="false" customHeight="false" outlineLevel="0" collapsed="false">
      <c r="A818" s="12" t="str">
        <f aca="false">IF((AA818&gt;=4), "Y", "N")</f>
        <v>Y</v>
      </c>
      <c r="B818" s="13"/>
      <c r="C818" s="31" t="s">
        <v>3503</v>
      </c>
      <c r="D818" s="16" t="s">
        <v>94</v>
      </c>
      <c r="E818" s="32" t="s">
        <v>3504</v>
      </c>
      <c r="F818" s="32" t="s">
        <v>3505</v>
      </c>
      <c r="G818" s="32" t="s">
        <v>145</v>
      </c>
      <c r="H818" s="26" t="s">
        <v>146</v>
      </c>
      <c r="I818" s="17" t="s">
        <v>36</v>
      </c>
      <c r="J818" s="32" t="s">
        <v>1555</v>
      </c>
      <c r="K818" s="33" t="n">
        <v>2007</v>
      </c>
      <c r="L818" s="33" t="s">
        <v>109</v>
      </c>
      <c r="M818" s="27"/>
      <c r="N818" s="44" t="s">
        <v>663</v>
      </c>
      <c r="O818" s="17"/>
      <c r="P818" s="19" t="s">
        <v>76</v>
      </c>
      <c r="Q818" s="12"/>
      <c r="R818" s="12" t="s">
        <v>3506</v>
      </c>
      <c r="S818" s="12"/>
      <c r="T818" s="12" t="s">
        <v>3507</v>
      </c>
      <c r="U818" s="12"/>
      <c r="V818" s="21" t="s">
        <v>31</v>
      </c>
      <c r="Z818" s="12"/>
      <c r="AA818" s="22" t="str">
        <f aca="false">IF(P818="OD500 US (submitted)", "5", " ")</f>
        <v>5</v>
      </c>
      <c r="AB818" s="12"/>
      <c r="AC818" s="12"/>
      <c r="AD818" s="12"/>
      <c r="AE818" s="12"/>
    </row>
    <row r="819" customFormat="false" ht="15.75" hidden="false" customHeight="false" outlineLevel="0" collapsed="false">
      <c r="A819" s="12"/>
      <c r="B819" s="12"/>
      <c r="C819" s="23" t="s">
        <v>3508</v>
      </c>
      <c r="D819" s="24" t="s">
        <v>94</v>
      </c>
      <c r="E819" s="25" t="s">
        <v>3509</v>
      </c>
      <c r="F819" s="17" t="s">
        <v>3510</v>
      </c>
      <c r="G819" s="17" t="s">
        <v>3511</v>
      </c>
      <c r="H819" s="26" t="s">
        <v>341</v>
      </c>
      <c r="I819" s="17" t="s">
        <v>36</v>
      </c>
      <c r="J819" s="17" t="s">
        <v>1555</v>
      </c>
      <c r="K819" s="17" t="n">
        <v>2007</v>
      </c>
      <c r="L819" s="38" t="s">
        <v>73</v>
      </c>
      <c r="M819" s="27"/>
      <c r="N819" s="39" t="s">
        <v>663</v>
      </c>
      <c r="O819" s="17"/>
      <c r="P819" s="40" t="s">
        <v>111</v>
      </c>
      <c r="Q819" s="12"/>
      <c r="R819" s="12"/>
      <c r="S819" s="12"/>
      <c r="T819" s="12"/>
      <c r="U819" s="12"/>
      <c r="V819" s="21"/>
      <c r="Z819" s="12"/>
      <c r="AA819" s="29" t="n">
        <v>5</v>
      </c>
      <c r="AB819" s="12"/>
      <c r="AC819" s="12"/>
      <c r="AD819" s="12"/>
      <c r="AE819" s="12"/>
    </row>
    <row r="820" customFormat="false" ht="15.75" hidden="false" customHeight="false" outlineLevel="0" collapsed="false">
      <c r="A820" s="12"/>
      <c r="B820" s="12"/>
      <c r="C820" s="23" t="s">
        <v>3512</v>
      </c>
      <c r="D820" s="24" t="s">
        <v>94</v>
      </c>
      <c r="E820" s="25" t="s">
        <v>3513</v>
      </c>
      <c r="F820" s="17" t="s">
        <v>3514</v>
      </c>
      <c r="G820" s="17" t="s">
        <v>145</v>
      </c>
      <c r="H820" s="26" t="s">
        <v>146</v>
      </c>
      <c r="I820" s="17" t="s">
        <v>36</v>
      </c>
      <c r="J820" s="17" t="s">
        <v>1555</v>
      </c>
      <c r="K820" s="17" t="n">
        <v>1996</v>
      </c>
      <c r="L820" s="33" t="s">
        <v>275</v>
      </c>
      <c r="M820" s="27"/>
      <c r="N820" s="39" t="s">
        <v>663</v>
      </c>
      <c r="O820" s="17"/>
      <c r="P820" s="40" t="s">
        <v>111</v>
      </c>
      <c r="Q820" s="12"/>
      <c r="R820" s="12"/>
      <c r="S820" s="12"/>
      <c r="T820" s="12"/>
      <c r="U820" s="12"/>
      <c r="V820" s="21"/>
      <c r="Z820" s="12"/>
      <c r="AA820" s="29" t="n">
        <v>5</v>
      </c>
      <c r="AB820" s="12"/>
      <c r="AC820" s="12"/>
      <c r="AD820" s="12"/>
      <c r="AE820" s="12"/>
    </row>
    <row r="821" customFormat="false" ht="15.75" hidden="false" customHeight="false" outlineLevel="0" collapsed="false">
      <c r="A821" s="12" t="str">
        <f aca="false">IF((AA821&gt;=4), "Y", "N")</f>
        <v>Y</v>
      </c>
      <c r="B821" s="13"/>
      <c r="C821" s="31" t="s">
        <v>3515</v>
      </c>
      <c r="D821" s="16" t="s">
        <v>94</v>
      </c>
      <c r="E821" s="32" t="s">
        <v>3516</v>
      </c>
      <c r="F821" s="32" t="s">
        <v>3517</v>
      </c>
      <c r="G821" s="32" t="s">
        <v>3518</v>
      </c>
      <c r="H821" s="26" t="s">
        <v>336</v>
      </c>
      <c r="I821" s="17" t="s">
        <v>36</v>
      </c>
      <c r="J821" s="32" t="s">
        <v>1555</v>
      </c>
      <c r="K821" s="33" t="n">
        <v>1999</v>
      </c>
      <c r="L821" s="33" t="s">
        <v>99</v>
      </c>
      <c r="M821" s="27"/>
      <c r="N821" s="44" t="s">
        <v>663</v>
      </c>
      <c r="O821" s="17"/>
      <c r="P821" s="19" t="s">
        <v>76</v>
      </c>
      <c r="Q821" s="12"/>
      <c r="R821" s="12" t="s">
        <v>3519</v>
      </c>
      <c r="S821" s="12"/>
      <c r="T821" s="12" t="s">
        <v>3520</v>
      </c>
      <c r="U821" s="12"/>
      <c r="V821" s="21" t="s">
        <v>31</v>
      </c>
      <c r="Z821" s="12"/>
      <c r="AA821" s="22" t="str">
        <f aca="false">IF(P821="OD500 US (submitted)", "5", " ")</f>
        <v>5</v>
      </c>
      <c r="AB821" s="12"/>
      <c r="AC821" s="12"/>
      <c r="AD821" s="12"/>
      <c r="AE821" s="12"/>
    </row>
    <row r="822" customFormat="false" ht="15.75" hidden="false" customHeight="false" outlineLevel="0" collapsed="false">
      <c r="A822" s="12"/>
      <c r="B822" s="12"/>
      <c r="C822" s="23" t="s">
        <v>3521</v>
      </c>
      <c r="D822" s="24" t="s">
        <v>94</v>
      </c>
      <c r="E822" s="25" t="s">
        <v>3522</v>
      </c>
      <c r="F822" s="17" t="s">
        <v>3523</v>
      </c>
      <c r="G822" s="17" t="s">
        <v>145</v>
      </c>
      <c r="H822" s="26" t="s">
        <v>146</v>
      </c>
      <c r="I822" s="17" t="s">
        <v>36</v>
      </c>
      <c r="J822" s="17" t="s">
        <v>1555</v>
      </c>
      <c r="K822" s="17" t="n">
        <v>2007</v>
      </c>
      <c r="L822" s="38" t="s">
        <v>482</v>
      </c>
      <c r="M822" s="27"/>
      <c r="N822" s="39" t="s">
        <v>315</v>
      </c>
      <c r="O822" s="17"/>
      <c r="P822" s="40" t="s">
        <v>111</v>
      </c>
      <c r="Q822" s="12"/>
      <c r="R822" s="12"/>
      <c r="S822" s="12"/>
      <c r="T822" s="12"/>
      <c r="U822" s="12"/>
      <c r="V822" s="21"/>
      <c r="Z822" s="12"/>
      <c r="AA822" s="29" t="n">
        <v>5</v>
      </c>
      <c r="AB822" s="12"/>
      <c r="AC822" s="12"/>
      <c r="AD822" s="12"/>
      <c r="AE822" s="12"/>
    </row>
    <row r="823" customFormat="false" ht="15.75" hidden="false" customHeight="false" outlineLevel="0" collapsed="false">
      <c r="A823" s="12"/>
      <c r="B823" s="12"/>
      <c r="C823" s="23" t="s">
        <v>3524</v>
      </c>
      <c r="D823" s="24"/>
      <c r="E823" s="25" t="s">
        <v>3525</v>
      </c>
      <c r="F823" s="17"/>
      <c r="G823" s="17" t="s">
        <v>134</v>
      </c>
      <c r="H823" s="17"/>
      <c r="I823" s="26" t="s">
        <v>65</v>
      </c>
      <c r="J823" s="17" t="s">
        <v>3526</v>
      </c>
      <c r="K823" s="17"/>
      <c r="L823" s="17"/>
      <c r="M823" s="27"/>
      <c r="N823" s="17"/>
      <c r="O823" s="17"/>
      <c r="P823" s="28" t="s">
        <v>46</v>
      </c>
      <c r="Q823" s="17"/>
      <c r="R823" s="17"/>
      <c r="S823" s="17"/>
      <c r="T823" s="17"/>
      <c r="U823" s="17"/>
      <c r="V823" s="27"/>
      <c r="Z823" s="17"/>
      <c r="AA823" s="29"/>
      <c r="AB823" s="17"/>
      <c r="AC823" s="17"/>
      <c r="AD823" s="17"/>
      <c r="AE823" s="17"/>
    </row>
    <row r="824" customFormat="false" ht="15.75" hidden="false" customHeight="false" outlineLevel="0" collapsed="false">
      <c r="A824" s="12"/>
      <c r="B824" s="54"/>
      <c r="C824" s="55" t="s">
        <v>3527</v>
      </c>
      <c r="D824" s="24"/>
      <c r="E824" s="16" t="s">
        <v>3528</v>
      </c>
      <c r="F824" s="15" t="s">
        <v>3529</v>
      </c>
      <c r="G824" s="15"/>
      <c r="H824" s="15"/>
      <c r="I824" s="17" t="s">
        <v>36</v>
      </c>
      <c r="J824" s="15" t="s">
        <v>763</v>
      </c>
      <c r="K824" s="15" t="n">
        <v>2015</v>
      </c>
      <c r="L824" s="17"/>
      <c r="M824" s="18"/>
      <c r="N824" s="17"/>
      <c r="O824" s="17"/>
      <c r="P824" s="19" t="s">
        <v>39</v>
      </c>
      <c r="Q824" s="12"/>
      <c r="R824" s="12" t="s">
        <v>2815</v>
      </c>
      <c r="S824" s="12"/>
      <c r="T824" s="12" t="s">
        <v>3530</v>
      </c>
      <c r="U824" s="12"/>
      <c r="V824" s="21" t="s">
        <v>31</v>
      </c>
      <c r="Z824" s="12"/>
      <c r="AA824" s="29"/>
      <c r="AB824" s="18" t="s">
        <v>3531</v>
      </c>
      <c r="AC824" s="12"/>
      <c r="AD824" s="12"/>
      <c r="AE824" s="12"/>
    </row>
    <row r="825" customFormat="false" ht="15.75" hidden="false" customHeight="false" outlineLevel="0" collapsed="false">
      <c r="A825" s="12"/>
      <c r="B825" s="12"/>
      <c r="C825" s="23" t="s">
        <v>3532</v>
      </c>
      <c r="D825" s="24"/>
      <c r="E825" s="25" t="s">
        <v>3533</v>
      </c>
      <c r="F825" s="17"/>
      <c r="G825" s="17" t="s">
        <v>3534</v>
      </c>
      <c r="H825" s="17"/>
      <c r="I825" s="26" t="s">
        <v>543</v>
      </c>
      <c r="J825" s="17" t="s">
        <v>48</v>
      </c>
      <c r="K825" s="17"/>
      <c r="L825" s="17"/>
      <c r="M825" s="27"/>
      <c r="N825" s="17"/>
      <c r="O825" s="17"/>
      <c r="P825" s="28" t="s">
        <v>46</v>
      </c>
      <c r="Q825" s="17"/>
      <c r="R825" s="17"/>
      <c r="S825" s="17"/>
      <c r="T825" s="17"/>
      <c r="U825" s="17"/>
      <c r="V825" s="27"/>
      <c r="Z825" s="17"/>
      <c r="AA825" s="29"/>
      <c r="AB825" s="17"/>
      <c r="AC825" s="17"/>
      <c r="AD825" s="17"/>
      <c r="AE825" s="17"/>
    </row>
    <row r="826" customFormat="false" ht="15.75" hidden="false" customHeight="false" outlineLevel="0" collapsed="false">
      <c r="A826" s="12"/>
      <c r="B826" s="12"/>
      <c r="C826" s="23" t="s">
        <v>3535</v>
      </c>
      <c r="D826" s="24"/>
      <c r="E826" s="25" t="s">
        <v>3536</v>
      </c>
      <c r="F826" s="36" t="s">
        <v>3537</v>
      </c>
      <c r="G826" s="17" t="s">
        <v>550</v>
      </c>
      <c r="H826" s="17" t="s">
        <v>3538</v>
      </c>
      <c r="I826" s="26" t="s">
        <v>551</v>
      </c>
      <c r="J826" s="17" t="s">
        <v>48</v>
      </c>
      <c r="K826" s="17"/>
      <c r="L826" s="17"/>
      <c r="M826" s="27"/>
      <c r="N826" s="17"/>
      <c r="O826" s="17"/>
      <c r="P826" s="19" t="s">
        <v>3539</v>
      </c>
      <c r="Q826" s="12"/>
      <c r="R826" s="12"/>
      <c r="S826" s="12"/>
      <c r="T826" s="12"/>
      <c r="U826" s="12"/>
      <c r="V826" s="21"/>
      <c r="Z826" s="12"/>
      <c r="AA826" s="29"/>
      <c r="AB826" s="12"/>
      <c r="AC826" s="12"/>
      <c r="AD826" s="12"/>
      <c r="AE826" s="12"/>
    </row>
    <row r="827" customFormat="false" ht="15.75" hidden="false" customHeight="false" outlineLevel="0" collapsed="false">
      <c r="A827" s="12"/>
      <c r="B827" s="12"/>
      <c r="C827" s="23" t="s">
        <v>3540</v>
      </c>
      <c r="D827" s="24" t="s">
        <v>94</v>
      </c>
      <c r="E827" s="25" t="s">
        <v>3541</v>
      </c>
      <c r="F827" s="17" t="s">
        <v>3542</v>
      </c>
      <c r="G827" s="17" t="s">
        <v>368</v>
      </c>
      <c r="H827" s="17" t="s">
        <v>369</v>
      </c>
      <c r="I827" s="17" t="s">
        <v>36</v>
      </c>
      <c r="J827" s="32" t="s">
        <v>48</v>
      </c>
      <c r="K827" s="17" t="n">
        <v>1993</v>
      </c>
      <c r="L827" s="38" t="s">
        <v>73</v>
      </c>
      <c r="M827" s="27"/>
      <c r="N827" s="17"/>
      <c r="O827" s="17"/>
      <c r="P827" s="40" t="s">
        <v>111</v>
      </c>
      <c r="V827" s="60"/>
      <c r="AA827" s="63" t="n">
        <v>3</v>
      </c>
    </row>
    <row r="828" customFormat="false" ht="15.75" hidden="false" customHeight="false" outlineLevel="0" collapsed="false">
      <c r="A828" s="12" t="str">
        <f aca="false">IF((AA828&gt;=4), "Y", "N")</f>
        <v>Y</v>
      </c>
      <c r="B828" s="12"/>
      <c r="C828" s="23" t="s">
        <v>3543</v>
      </c>
      <c r="D828" s="24" t="s">
        <v>94</v>
      </c>
      <c r="E828" s="25" t="s">
        <v>3544</v>
      </c>
      <c r="F828" s="17" t="s">
        <v>3545</v>
      </c>
      <c r="G828" s="17" t="s">
        <v>3546</v>
      </c>
      <c r="H828" s="26" t="s">
        <v>376</v>
      </c>
      <c r="I828" s="17" t="s">
        <v>36</v>
      </c>
      <c r="J828" s="47" t="s">
        <v>48</v>
      </c>
      <c r="K828" s="17" t="n">
        <v>2008</v>
      </c>
      <c r="L828" s="38" t="s">
        <v>99</v>
      </c>
      <c r="M828" s="27"/>
      <c r="N828" s="17" t="s">
        <v>315</v>
      </c>
      <c r="O828" s="17"/>
      <c r="P828" s="40" t="s">
        <v>111</v>
      </c>
      <c r="Q828" s="12"/>
      <c r="R828" s="12"/>
      <c r="S828" s="12"/>
      <c r="T828" s="12"/>
      <c r="U828" s="12"/>
      <c r="V828" s="21"/>
      <c r="Z828" s="12"/>
      <c r="AA828" s="29" t="n">
        <v>5</v>
      </c>
      <c r="AB828" s="12"/>
      <c r="AC828" s="12"/>
      <c r="AD828" s="12"/>
      <c r="AE828" s="12"/>
    </row>
    <row r="829" customFormat="false" ht="15.75" hidden="false" customHeight="false" outlineLevel="0" collapsed="false">
      <c r="A829" s="12" t="str">
        <f aca="false">IF((AA829&gt;=4), "Y", "N")</f>
        <v>Y</v>
      </c>
      <c r="B829" s="12"/>
      <c r="C829" s="23" t="s">
        <v>3547</v>
      </c>
      <c r="D829" s="16" t="s">
        <v>94</v>
      </c>
      <c r="E829" s="25" t="s">
        <v>3548</v>
      </c>
      <c r="F829" s="17" t="s">
        <v>3549</v>
      </c>
      <c r="G829" s="17" t="s">
        <v>495</v>
      </c>
      <c r="H829" s="26" t="s">
        <v>72</v>
      </c>
      <c r="I829" s="17" t="s">
        <v>36</v>
      </c>
      <c r="J829" s="47" t="s">
        <v>48</v>
      </c>
      <c r="K829" s="17" t="n">
        <v>2011</v>
      </c>
      <c r="L829" s="38" t="s">
        <v>109</v>
      </c>
      <c r="M829" s="27"/>
      <c r="N829" s="17" t="s">
        <v>377</v>
      </c>
      <c r="O829" s="17"/>
      <c r="P829" s="40" t="s">
        <v>111</v>
      </c>
      <c r="V829" s="60"/>
      <c r="AA829" s="63" t="n">
        <v>5</v>
      </c>
    </row>
    <row r="830" customFormat="false" ht="15.75" hidden="false" customHeight="false" outlineLevel="0" collapsed="false">
      <c r="A830" s="12" t="str">
        <f aca="false">IF((AA830&gt;=4), "Y", "N")</f>
        <v>Y</v>
      </c>
      <c r="B830" s="13"/>
      <c r="C830" s="31" t="s">
        <v>3550</v>
      </c>
      <c r="D830" s="16" t="s">
        <v>94</v>
      </c>
      <c r="E830" s="32" t="s">
        <v>3551</v>
      </c>
      <c r="F830" s="32" t="s">
        <v>3552</v>
      </c>
      <c r="G830" s="32" t="s">
        <v>71</v>
      </c>
      <c r="H830" s="26" t="s">
        <v>72</v>
      </c>
      <c r="I830" s="17" t="s">
        <v>36</v>
      </c>
      <c r="J830" s="47" t="s">
        <v>48</v>
      </c>
      <c r="K830" s="33" t="n">
        <v>2010</v>
      </c>
      <c r="L830" s="33" t="s">
        <v>99</v>
      </c>
      <c r="M830" s="27"/>
      <c r="N830" s="37" t="s">
        <v>3553</v>
      </c>
      <c r="O830" s="17"/>
      <c r="P830" s="19" t="s">
        <v>76</v>
      </c>
      <c r="Q830" s="17"/>
      <c r="R830" s="17" t="s">
        <v>3554</v>
      </c>
      <c r="S830" s="17"/>
      <c r="T830" s="17" t="s">
        <v>3555</v>
      </c>
      <c r="U830" s="17"/>
      <c r="V830" s="21" t="s">
        <v>31</v>
      </c>
      <c r="Z830" s="17"/>
      <c r="AA830" s="22" t="str">
        <f aca="false">IF(P830="OD500 US (submitted)", "5", " ")</f>
        <v>5</v>
      </c>
      <c r="AB830" s="17"/>
      <c r="AC830" s="17"/>
      <c r="AD830" s="17"/>
      <c r="AE830" s="17"/>
    </row>
    <row r="831" customFormat="false" ht="15.75" hidden="false" customHeight="false" outlineLevel="0" collapsed="false">
      <c r="A831" s="12" t="str">
        <f aca="false">IF((AA831&gt;=4), "Y", "N")</f>
        <v>Y</v>
      </c>
      <c r="B831" s="13"/>
      <c r="C831" s="31" t="s">
        <v>3556</v>
      </c>
      <c r="D831" s="16" t="s">
        <v>94</v>
      </c>
      <c r="E831" s="32" t="s">
        <v>3557</v>
      </c>
      <c r="F831" s="32" t="s">
        <v>3558</v>
      </c>
      <c r="G831" s="32" t="s">
        <v>71</v>
      </c>
      <c r="H831" s="17" t="s">
        <v>72</v>
      </c>
      <c r="I831" s="17" t="s">
        <v>36</v>
      </c>
      <c r="J831" s="47" t="s">
        <v>48</v>
      </c>
      <c r="K831" s="33" t="n">
        <v>2012</v>
      </c>
      <c r="L831" s="33" t="s">
        <v>109</v>
      </c>
      <c r="M831" s="27"/>
      <c r="N831" s="39" t="s">
        <v>377</v>
      </c>
      <c r="O831" s="17"/>
      <c r="P831" s="19" t="s">
        <v>76</v>
      </c>
      <c r="Q831" s="12"/>
      <c r="R831" s="12" t="s">
        <v>3559</v>
      </c>
      <c r="S831" s="12"/>
      <c r="T831" s="12" t="s">
        <v>3560</v>
      </c>
      <c r="U831" s="12"/>
      <c r="V831" s="21" t="s">
        <v>31</v>
      </c>
      <c r="Z831" s="12"/>
      <c r="AA831" s="22" t="str">
        <f aca="false">IF(P831="OD500 US (submitted)", "5", " ")</f>
        <v>5</v>
      </c>
      <c r="AB831" s="12"/>
      <c r="AC831" s="12"/>
      <c r="AD831" s="12"/>
      <c r="AE831" s="12"/>
    </row>
    <row r="832" customFormat="false" ht="15.75" hidden="false" customHeight="false" outlineLevel="0" collapsed="false">
      <c r="A832" s="12" t="str">
        <f aca="false">IF((AA832&gt;=4), "Y", "N")</f>
        <v>Y</v>
      </c>
      <c r="B832" s="13"/>
      <c r="C832" s="31" t="s">
        <v>3561</v>
      </c>
      <c r="D832" s="16" t="s">
        <v>94</v>
      </c>
      <c r="E832" s="32" t="s">
        <v>3562</v>
      </c>
      <c r="F832" s="32" t="s">
        <v>3563</v>
      </c>
      <c r="G832" s="32" t="s">
        <v>3564</v>
      </c>
      <c r="H832" s="17" t="s">
        <v>3033</v>
      </c>
      <c r="I832" s="17" t="s">
        <v>36</v>
      </c>
      <c r="J832" s="47" t="s">
        <v>48</v>
      </c>
      <c r="K832" s="33" t="n">
        <v>1989</v>
      </c>
      <c r="L832" s="33" t="s">
        <v>99</v>
      </c>
      <c r="M832" s="27"/>
      <c r="N832" s="37" t="s">
        <v>3565</v>
      </c>
      <c r="O832" s="17"/>
      <c r="P832" s="19" t="s">
        <v>76</v>
      </c>
      <c r="Q832" s="12"/>
      <c r="R832" s="12" t="s">
        <v>3566</v>
      </c>
      <c r="S832" s="12"/>
      <c r="T832" s="12" t="s">
        <v>3567</v>
      </c>
      <c r="U832" s="12"/>
      <c r="V832" s="21" t="s">
        <v>31</v>
      </c>
      <c r="Z832" s="12"/>
      <c r="AA832" s="22" t="str">
        <f aca="false">IF(P832="OD500 US (submitted)", "5", " ")</f>
        <v>5</v>
      </c>
      <c r="AB832" s="12"/>
      <c r="AC832" s="12"/>
      <c r="AD832" s="12"/>
      <c r="AE832" s="12"/>
    </row>
    <row r="833" customFormat="false" ht="15.75" hidden="false" customHeight="false" outlineLevel="0" collapsed="false">
      <c r="A833" s="12" t="str">
        <f aca="false">IF((AA833&gt;=4), "Y", "N")</f>
        <v>Y</v>
      </c>
      <c r="B833" s="13"/>
      <c r="C833" s="31" t="s">
        <v>3568</v>
      </c>
      <c r="D833" s="16" t="s">
        <v>94</v>
      </c>
      <c r="E833" s="32" t="s">
        <v>3569</v>
      </c>
      <c r="F833" s="32" t="s">
        <v>3570</v>
      </c>
      <c r="G833" s="32" t="s">
        <v>291</v>
      </c>
      <c r="H833" s="17" t="s">
        <v>72</v>
      </c>
      <c r="I833" s="17" t="s">
        <v>36</v>
      </c>
      <c r="J833" s="47" t="s">
        <v>48</v>
      </c>
      <c r="K833" s="33" t="n">
        <v>2010</v>
      </c>
      <c r="L833" s="33" t="s">
        <v>275</v>
      </c>
      <c r="M833" s="27"/>
      <c r="N833" s="17"/>
      <c r="O833" s="17"/>
      <c r="P833" s="19" t="s">
        <v>76</v>
      </c>
      <c r="Q833" s="12"/>
      <c r="R833" s="12" t="s">
        <v>3571</v>
      </c>
      <c r="S833" s="12"/>
      <c r="T833" s="12" t="s">
        <v>3572</v>
      </c>
      <c r="U833" s="12"/>
      <c r="V833" s="21" t="s">
        <v>31</v>
      </c>
      <c r="Z833" s="12"/>
      <c r="AA833" s="22" t="str">
        <f aca="false">IF(P833="OD500 US (submitted)", "5", " ")</f>
        <v>5</v>
      </c>
      <c r="AB833" s="12"/>
      <c r="AC833" s="12"/>
      <c r="AD833" s="12"/>
      <c r="AE833" s="12"/>
    </row>
    <row r="834" customFormat="false" ht="15.75" hidden="false" customHeight="false" outlineLevel="0" collapsed="false">
      <c r="A834" s="12" t="s">
        <v>31</v>
      </c>
      <c r="B834" s="20" t="s">
        <v>32</v>
      </c>
      <c r="C834" s="48" t="s">
        <v>3573</v>
      </c>
      <c r="D834" s="24" t="s">
        <v>94</v>
      </c>
      <c r="E834" s="49" t="s">
        <v>3574</v>
      </c>
      <c r="F834" s="49" t="s">
        <v>3575</v>
      </c>
      <c r="G834" s="17" t="s">
        <v>754</v>
      </c>
      <c r="H834" s="17"/>
      <c r="I834" s="26" t="s">
        <v>166</v>
      </c>
      <c r="J834" s="47" t="s">
        <v>48</v>
      </c>
      <c r="K834" s="17"/>
      <c r="L834" s="17"/>
      <c r="M834" s="50" t="s">
        <v>74</v>
      </c>
      <c r="N834" s="17" t="s">
        <v>3576</v>
      </c>
      <c r="O834" s="17" t="s">
        <v>1495</v>
      </c>
      <c r="P834" s="40" t="s">
        <v>168</v>
      </c>
      <c r="Q834" s="12"/>
      <c r="R834" s="12" t="s">
        <v>3577</v>
      </c>
      <c r="S834" s="12"/>
      <c r="T834" s="12" t="s">
        <v>3578</v>
      </c>
      <c r="U834" s="12" t="s">
        <v>3579</v>
      </c>
      <c r="V834" s="21" t="s">
        <v>31</v>
      </c>
      <c r="Z834" s="12"/>
      <c r="AA834" s="29" t="n">
        <v>4</v>
      </c>
      <c r="AB834" s="12" t="s">
        <v>3580</v>
      </c>
      <c r="AC834" s="12"/>
      <c r="AD834" s="12"/>
      <c r="AE834" s="12"/>
      <c r="AF834" s="47"/>
      <c r="AG834" s="47"/>
    </row>
    <row r="835" customFormat="false" ht="15.75" hidden="false" customHeight="false" outlineLevel="0" collapsed="false">
      <c r="A835" s="12" t="str">
        <f aca="false">IF((AA835&gt;=4), "Y", "N")</f>
        <v>Y</v>
      </c>
      <c r="B835" s="13"/>
      <c r="C835" s="31" t="s">
        <v>3581</v>
      </c>
      <c r="D835" s="16" t="s">
        <v>94</v>
      </c>
      <c r="E835" s="32" t="s">
        <v>3582</v>
      </c>
      <c r="F835" s="32" t="s">
        <v>3583</v>
      </c>
      <c r="G835" s="32" t="s">
        <v>302</v>
      </c>
      <c r="H835" s="17" t="s">
        <v>303</v>
      </c>
      <c r="I835" s="17" t="s">
        <v>36</v>
      </c>
      <c r="J835" s="47" t="s">
        <v>48</v>
      </c>
      <c r="K835" s="33" t="n">
        <v>2007</v>
      </c>
      <c r="L835" s="33" t="s">
        <v>109</v>
      </c>
      <c r="M835" s="27"/>
      <c r="N835" s="17"/>
      <c r="O835" s="17"/>
      <c r="P835" s="19" t="s">
        <v>76</v>
      </c>
      <c r="Q835" s="12"/>
      <c r="R835" s="12" t="s">
        <v>3584</v>
      </c>
      <c r="S835" s="12"/>
      <c r="T835" s="12" t="s">
        <v>3585</v>
      </c>
      <c r="U835" s="12"/>
      <c r="V835" s="21" t="s">
        <v>31</v>
      </c>
      <c r="Z835" s="12"/>
      <c r="AA835" s="22" t="str">
        <f aca="false">IF(P835="OD500 US (submitted)", "5", " ")</f>
        <v>5</v>
      </c>
      <c r="AB835" s="12"/>
      <c r="AC835" s="12"/>
      <c r="AD835" s="12"/>
      <c r="AE835" s="12"/>
    </row>
    <row r="836" customFormat="false" ht="15.75" hidden="false" customHeight="false" outlineLevel="0" collapsed="false">
      <c r="A836" s="12" t="str">
        <f aca="false">IF((AA836&gt;=4), "Y", "N")</f>
        <v>Y</v>
      </c>
      <c r="B836" s="12"/>
      <c r="C836" s="23" t="s">
        <v>3586</v>
      </c>
      <c r="D836" s="24" t="s">
        <v>94</v>
      </c>
      <c r="E836" s="25" t="s">
        <v>3587</v>
      </c>
      <c r="F836" s="17" t="s">
        <v>3588</v>
      </c>
      <c r="G836" s="17" t="s">
        <v>145</v>
      </c>
      <c r="H836" s="17" t="s">
        <v>146</v>
      </c>
      <c r="I836" s="17" t="s">
        <v>36</v>
      </c>
      <c r="J836" s="47" t="s">
        <v>48</v>
      </c>
      <c r="K836" s="17" t="n">
        <v>2011</v>
      </c>
      <c r="L836" s="38" t="s">
        <v>99</v>
      </c>
      <c r="M836" s="27"/>
      <c r="N836" s="37" t="s">
        <v>348</v>
      </c>
      <c r="O836" s="17"/>
      <c r="P836" s="40" t="s">
        <v>111</v>
      </c>
      <c r="Q836" s="12"/>
      <c r="R836" s="12"/>
      <c r="S836" s="12"/>
      <c r="T836" s="12"/>
      <c r="U836" s="12"/>
      <c r="V836" s="21"/>
      <c r="Z836" s="12"/>
      <c r="AA836" s="29" t="n">
        <v>5</v>
      </c>
      <c r="AB836" s="12"/>
      <c r="AC836" s="12"/>
      <c r="AD836" s="12"/>
      <c r="AE836" s="12"/>
    </row>
    <row r="837" customFormat="false" ht="15.75" hidden="false" customHeight="false" outlineLevel="0" collapsed="false">
      <c r="A837" s="12" t="str">
        <f aca="false">IF((AA837&gt;=4), "Y", "N")</f>
        <v>Y</v>
      </c>
      <c r="B837" s="13"/>
      <c r="C837" s="31" t="s">
        <v>3589</v>
      </c>
      <c r="D837" s="16" t="s">
        <v>94</v>
      </c>
      <c r="E837" s="32" t="s">
        <v>3590</v>
      </c>
      <c r="F837" s="32" t="s">
        <v>3591</v>
      </c>
      <c r="G837" s="32" t="s">
        <v>3592</v>
      </c>
      <c r="H837" s="17" t="s">
        <v>353</v>
      </c>
      <c r="I837" s="17" t="s">
        <v>36</v>
      </c>
      <c r="J837" s="47" t="s">
        <v>48</v>
      </c>
      <c r="K837" s="33" t="n">
        <v>2002</v>
      </c>
      <c r="L837" s="33" t="s">
        <v>109</v>
      </c>
      <c r="M837" s="27"/>
      <c r="N837" s="39" t="s">
        <v>377</v>
      </c>
      <c r="O837" s="17"/>
      <c r="P837" s="19" t="s">
        <v>76</v>
      </c>
      <c r="Q837" s="20"/>
      <c r="R837" s="20" t="s">
        <v>3593</v>
      </c>
      <c r="S837" s="20"/>
      <c r="T837" s="20" t="s">
        <v>3594</v>
      </c>
      <c r="U837" s="20"/>
      <c r="V837" s="21" t="s">
        <v>31</v>
      </c>
      <c r="Z837" s="20"/>
      <c r="AA837" s="63" t="s">
        <v>478</v>
      </c>
      <c r="AB837" s="20"/>
      <c r="AC837" s="20"/>
      <c r="AD837" s="20"/>
      <c r="AE837" s="20"/>
    </row>
    <row r="838" customFormat="false" ht="15.75" hidden="false" customHeight="false" outlineLevel="0" collapsed="false">
      <c r="A838" s="12" t="str">
        <f aca="false">IF((AA838&gt;=4), "Y", "N")</f>
        <v>Y</v>
      </c>
      <c r="B838" s="13"/>
      <c r="C838" s="31" t="s">
        <v>3595</v>
      </c>
      <c r="D838" s="16" t="s">
        <v>94</v>
      </c>
      <c r="E838" s="32" t="s">
        <v>3596</v>
      </c>
      <c r="F838" s="32" t="s">
        <v>3597</v>
      </c>
      <c r="G838" s="32" t="s">
        <v>296</v>
      </c>
      <c r="H838" s="26" t="s">
        <v>297</v>
      </c>
      <c r="I838" s="17" t="s">
        <v>36</v>
      </c>
      <c r="J838" s="47" t="s">
        <v>48</v>
      </c>
      <c r="K838" s="33" t="n">
        <v>2013</v>
      </c>
      <c r="L838" s="33" t="s">
        <v>109</v>
      </c>
      <c r="M838" s="27"/>
      <c r="N838" s="39" t="s">
        <v>3598</v>
      </c>
      <c r="O838" s="17"/>
      <c r="P838" s="19" t="s">
        <v>76</v>
      </c>
      <c r="Q838" s="20"/>
      <c r="R838" s="20" t="s">
        <v>3599</v>
      </c>
      <c r="S838" s="20"/>
      <c r="T838" s="20" t="s">
        <v>3600</v>
      </c>
      <c r="U838" s="20"/>
      <c r="V838" s="21" t="s">
        <v>31</v>
      </c>
      <c r="Z838" s="20"/>
      <c r="AA838" s="22" t="str">
        <f aca="false">IF(P838="OD500 US (submitted)", "5", " ")</f>
        <v>5</v>
      </c>
      <c r="AB838" s="20"/>
      <c r="AC838" s="20"/>
      <c r="AD838" s="20"/>
      <c r="AE838" s="20"/>
    </row>
    <row r="839" customFormat="false" ht="15.75" hidden="false" customHeight="false" outlineLevel="0" collapsed="false">
      <c r="A839" s="12" t="str">
        <f aca="false">IF((AA839&gt;=4), "Y", "N")</f>
        <v>Y</v>
      </c>
      <c r="B839" s="13"/>
      <c r="C839" s="31" t="s">
        <v>3601</v>
      </c>
      <c r="D839" s="16" t="s">
        <v>94</v>
      </c>
      <c r="E839" s="32" t="s">
        <v>3602</v>
      </c>
      <c r="F839" s="32" t="s">
        <v>3603</v>
      </c>
      <c r="G839" s="32" t="s">
        <v>302</v>
      </c>
      <c r="H839" s="26" t="s">
        <v>303</v>
      </c>
      <c r="I839" s="17" t="s">
        <v>36</v>
      </c>
      <c r="J839" s="47" t="s">
        <v>48</v>
      </c>
      <c r="K839" s="33" t="n">
        <v>2012</v>
      </c>
      <c r="L839" s="33" t="s">
        <v>73</v>
      </c>
      <c r="M839" s="27"/>
      <c r="N839" s="39" t="s">
        <v>3553</v>
      </c>
      <c r="O839" s="17"/>
      <c r="P839" s="19" t="s">
        <v>76</v>
      </c>
      <c r="Q839" s="12"/>
      <c r="R839" s="12" t="s">
        <v>3604</v>
      </c>
      <c r="S839" s="12"/>
      <c r="T839" s="12" t="s">
        <v>3605</v>
      </c>
      <c r="U839" s="12"/>
      <c r="V839" s="21" t="s">
        <v>31</v>
      </c>
      <c r="Z839" s="12"/>
      <c r="AA839" s="22" t="str">
        <f aca="false">IF(P839="OD500 US (submitted)", "5", " ")</f>
        <v>5</v>
      </c>
      <c r="AB839" s="12"/>
      <c r="AC839" s="12"/>
      <c r="AD839" s="12"/>
      <c r="AE839" s="12"/>
    </row>
    <row r="840" customFormat="false" ht="15.75" hidden="false" customHeight="false" outlineLevel="0" collapsed="false">
      <c r="A840" s="12" t="str">
        <f aca="false">IF((AA840&gt;=4), "Y", "N")</f>
        <v>Y</v>
      </c>
      <c r="B840" s="12"/>
      <c r="C840" s="23" t="s">
        <v>3606</v>
      </c>
      <c r="D840" s="24" t="s">
        <v>94</v>
      </c>
      <c r="E840" s="25" t="s">
        <v>3607</v>
      </c>
      <c r="F840" s="17" t="s">
        <v>3608</v>
      </c>
      <c r="G840" s="17" t="s">
        <v>731</v>
      </c>
      <c r="H840" s="26" t="s">
        <v>72</v>
      </c>
      <c r="I840" s="17" t="s">
        <v>36</v>
      </c>
      <c r="J840" s="47" t="s">
        <v>48</v>
      </c>
      <c r="K840" s="17" t="n">
        <v>1996</v>
      </c>
      <c r="L840" s="33" t="s">
        <v>275</v>
      </c>
      <c r="M840" s="27"/>
      <c r="N840" s="39" t="s">
        <v>2673</v>
      </c>
      <c r="O840" s="17"/>
      <c r="P840" s="40" t="s">
        <v>111</v>
      </c>
      <c r="Q840" s="12"/>
      <c r="R840" s="12"/>
      <c r="S840" s="12"/>
      <c r="T840" s="12"/>
      <c r="U840" s="12"/>
      <c r="V840" s="21"/>
      <c r="Z840" s="12"/>
      <c r="AA840" s="29" t="n">
        <v>5</v>
      </c>
      <c r="AB840" s="12"/>
      <c r="AC840" s="12"/>
      <c r="AD840" s="12"/>
      <c r="AE840" s="12"/>
    </row>
    <row r="841" customFormat="false" ht="15.75" hidden="false" customHeight="false" outlineLevel="0" collapsed="false">
      <c r="A841" s="12" t="str">
        <f aca="false">IF((AA841&gt;=4), "Y", "N")</f>
        <v>Y</v>
      </c>
      <c r="B841" s="13"/>
      <c r="C841" s="31" t="s">
        <v>3609</v>
      </c>
      <c r="D841" s="16" t="s">
        <v>94</v>
      </c>
      <c r="E841" s="32" t="s">
        <v>3610</v>
      </c>
      <c r="F841" s="32" t="s">
        <v>3611</v>
      </c>
      <c r="G841" s="32" t="s">
        <v>302</v>
      </c>
      <c r="H841" s="26" t="s">
        <v>146</v>
      </c>
      <c r="I841" s="17" t="s">
        <v>36</v>
      </c>
      <c r="J841" s="47" t="s">
        <v>48</v>
      </c>
      <c r="K841" s="33" t="n">
        <v>2004</v>
      </c>
      <c r="L841" s="33" t="s">
        <v>330</v>
      </c>
      <c r="M841" s="27"/>
      <c r="N841" s="44" t="s">
        <v>3612</v>
      </c>
      <c r="O841" s="17"/>
      <c r="P841" s="19" t="s">
        <v>76</v>
      </c>
      <c r="Q841" s="12"/>
      <c r="R841" s="12" t="s">
        <v>3613</v>
      </c>
      <c r="S841" s="12"/>
      <c r="T841" s="12" t="s">
        <v>3614</v>
      </c>
      <c r="U841" s="12"/>
      <c r="V841" s="21" t="s">
        <v>31</v>
      </c>
      <c r="Z841" s="12"/>
      <c r="AA841" s="22" t="str">
        <f aca="false">IF(P841="OD500 US (submitted)", "5", " ")</f>
        <v>5</v>
      </c>
      <c r="AB841" s="12"/>
      <c r="AC841" s="12"/>
      <c r="AD841" s="12"/>
      <c r="AE841" s="12"/>
    </row>
    <row r="842" customFormat="false" ht="15.75" hidden="false" customHeight="false" outlineLevel="0" collapsed="false">
      <c r="A842" s="12" t="str">
        <f aca="false">IF((AA842&gt;=4), "Y", "N")</f>
        <v>Y</v>
      </c>
      <c r="B842" s="12"/>
      <c r="C842" s="23" t="s">
        <v>3615</v>
      </c>
      <c r="D842" s="24" t="s">
        <v>94</v>
      </c>
      <c r="E842" s="25" t="s">
        <v>3616</v>
      </c>
      <c r="F842" s="17" t="s">
        <v>3617</v>
      </c>
      <c r="G842" s="17" t="s">
        <v>145</v>
      </c>
      <c r="H842" s="26" t="s">
        <v>146</v>
      </c>
      <c r="I842" s="17" t="s">
        <v>36</v>
      </c>
      <c r="J842" s="47" t="s">
        <v>48</v>
      </c>
      <c r="K842" s="17" t="n">
        <v>2005</v>
      </c>
      <c r="L842" s="38" t="s">
        <v>99</v>
      </c>
      <c r="M842" s="27"/>
      <c r="N842" s="39" t="s">
        <v>2801</v>
      </c>
      <c r="O842" s="17"/>
      <c r="P842" s="40" t="s">
        <v>111</v>
      </c>
      <c r="Q842" s="20"/>
      <c r="R842" s="20"/>
      <c r="S842" s="20"/>
      <c r="T842" s="20"/>
      <c r="U842" s="20"/>
      <c r="V842" s="45"/>
      <c r="Z842" s="20"/>
      <c r="AA842" s="22" t="n">
        <v>5</v>
      </c>
      <c r="AB842" s="20"/>
      <c r="AC842" s="20"/>
      <c r="AD842" s="20"/>
      <c r="AE842" s="20"/>
    </row>
    <row r="843" customFormat="false" ht="15.75" hidden="false" customHeight="false" outlineLevel="0" collapsed="false">
      <c r="A843" s="12" t="str">
        <f aca="false">IF((AA843&gt;=4), "Y", "N")</f>
        <v>Y</v>
      </c>
      <c r="B843" s="13"/>
      <c r="C843" s="31" t="s">
        <v>3618</v>
      </c>
      <c r="D843" s="16" t="s">
        <v>94</v>
      </c>
      <c r="E843" s="32" t="s">
        <v>3619</v>
      </c>
      <c r="F843" s="32" t="s">
        <v>3620</v>
      </c>
      <c r="G843" s="32" t="s">
        <v>3621</v>
      </c>
      <c r="H843" s="26" t="s">
        <v>72</v>
      </c>
      <c r="I843" s="17" t="s">
        <v>36</v>
      </c>
      <c r="J843" s="47" t="s">
        <v>48</v>
      </c>
      <c r="K843" s="33" t="n">
        <v>2012</v>
      </c>
      <c r="L843" s="33" t="s">
        <v>109</v>
      </c>
      <c r="M843" s="27"/>
      <c r="N843" s="39" t="s">
        <v>2801</v>
      </c>
      <c r="O843" s="17"/>
      <c r="P843" s="19" t="s">
        <v>76</v>
      </c>
      <c r="Q843" s="17"/>
      <c r="R843" s="17" t="s">
        <v>3622</v>
      </c>
      <c r="S843" s="17"/>
      <c r="T843" s="17" t="s">
        <v>3623</v>
      </c>
      <c r="U843" s="17"/>
      <c r="V843" s="21" t="s">
        <v>31</v>
      </c>
      <c r="Z843" s="17"/>
      <c r="AA843" s="22" t="str">
        <f aca="false">IF(P843="OD500 US (submitted)", "5", " ")</f>
        <v>5</v>
      </c>
      <c r="AB843" s="17"/>
      <c r="AC843" s="17"/>
      <c r="AD843" s="17"/>
      <c r="AE843" s="17"/>
    </row>
    <row r="844" customFormat="false" ht="15.75" hidden="false" customHeight="false" outlineLevel="0" collapsed="false">
      <c r="A844" s="12" t="str">
        <f aca="false">IF((AA844&gt;=4), "Y", "N")</f>
        <v>Y</v>
      </c>
      <c r="B844" s="13"/>
      <c r="C844" s="31" t="s">
        <v>3624</v>
      </c>
      <c r="D844" s="16" t="s">
        <v>94</v>
      </c>
      <c r="E844" s="32" t="s">
        <v>3625</v>
      </c>
      <c r="F844" s="32" t="s">
        <v>3626</v>
      </c>
      <c r="G844" s="32" t="s">
        <v>71</v>
      </c>
      <c r="H844" s="26" t="s">
        <v>72</v>
      </c>
      <c r="I844" s="17" t="s">
        <v>36</v>
      </c>
      <c r="J844" s="47" t="s">
        <v>48</v>
      </c>
      <c r="K844" s="33" t="n">
        <v>2005</v>
      </c>
      <c r="L844" s="33" t="s">
        <v>330</v>
      </c>
      <c r="M844" s="27"/>
      <c r="N844" s="44" t="s">
        <v>3627</v>
      </c>
      <c r="O844" s="17"/>
      <c r="P844" s="19" t="s">
        <v>76</v>
      </c>
      <c r="Q844" s="17"/>
      <c r="R844" s="17" t="s">
        <v>3628</v>
      </c>
      <c r="S844" s="17"/>
      <c r="T844" s="17" t="s">
        <v>3629</v>
      </c>
      <c r="U844" s="17"/>
      <c r="V844" s="21" t="s">
        <v>31</v>
      </c>
      <c r="Z844" s="17"/>
      <c r="AA844" s="22" t="str">
        <f aca="false">IF(P844="OD500 US (submitted)", "5", " ")</f>
        <v>5</v>
      </c>
      <c r="AB844" s="17"/>
      <c r="AC844" s="17"/>
      <c r="AD844" s="17"/>
      <c r="AE844" s="17"/>
    </row>
    <row r="845" customFormat="false" ht="15.75" hidden="false" customHeight="false" outlineLevel="0" collapsed="false">
      <c r="A845" s="12"/>
      <c r="B845" s="12"/>
      <c r="C845" s="23" t="s">
        <v>3630</v>
      </c>
      <c r="D845" s="24" t="s">
        <v>94</v>
      </c>
      <c r="E845" s="25" t="s">
        <v>3631</v>
      </c>
      <c r="F845" s="17" t="s">
        <v>3632</v>
      </c>
      <c r="G845" s="17" t="s">
        <v>302</v>
      </c>
      <c r="H845" s="26" t="s">
        <v>303</v>
      </c>
      <c r="I845" s="17" t="s">
        <v>36</v>
      </c>
      <c r="J845" s="47" t="s">
        <v>48</v>
      </c>
      <c r="K845" s="17" t="n">
        <v>2006</v>
      </c>
      <c r="L845" s="33" t="s">
        <v>275</v>
      </c>
      <c r="M845" s="27"/>
      <c r="N845" s="39" t="s">
        <v>3633</v>
      </c>
      <c r="O845" s="17"/>
      <c r="P845" s="40" t="s">
        <v>111</v>
      </c>
      <c r="Q845" s="20"/>
      <c r="R845" s="20"/>
      <c r="S845" s="20"/>
      <c r="T845" s="20"/>
      <c r="U845" s="20"/>
      <c r="V845" s="45"/>
      <c r="Z845" s="20"/>
      <c r="AA845" s="22" t="n">
        <v>5</v>
      </c>
      <c r="AB845" s="20"/>
      <c r="AC845" s="20"/>
      <c r="AD845" s="20"/>
      <c r="AE845" s="20"/>
    </row>
    <row r="846" customFormat="false" ht="15.75" hidden="false" customHeight="false" outlineLevel="0" collapsed="false">
      <c r="A846" s="12"/>
      <c r="B846" s="12"/>
      <c r="C846" s="23" t="s">
        <v>3634</v>
      </c>
      <c r="D846" s="24" t="s">
        <v>94</v>
      </c>
      <c r="E846" s="25" t="s">
        <v>3635</v>
      </c>
      <c r="F846" s="17" t="s">
        <v>3636</v>
      </c>
      <c r="G846" s="17" t="s">
        <v>389</v>
      </c>
      <c r="H846" s="26" t="s">
        <v>390</v>
      </c>
      <c r="I846" s="17" t="s">
        <v>36</v>
      </c>
      <c r="J846" s="47" t="s">
        <v>48</v>
      </c>
      <c r="K846" s="17" t="n">
        <v>2003</v>
      </c>
      <c r="L846" s="38" t="s">
        <v>99</v>
      </c>
      <c r="M846" s="27"/>
      <c r="N846" s="39" t="s">
        <v>454</v>
      </c>
      <c r="O846" s="17"/>
      <c r="P846" s="40" t="s">
        <v>111</v>
      </c>
      <c r="Q846" s="12"/>
      <c r="R846" s="12"/>
      <c r="S846" s="12"/>
      <c r="T846" s="12"/>
      <c r="U846" s="12"/>
      <c r="V846" s="21"/>
      <c r="Z846" s="12"/>
      <c r="AA846" s="29" t="n">
        <v>5</v>
      </c>
      <c r="AB846" s="12"/>
      <c r="AC846" s="12"/>
      <c r="AD846" s="12"/>
      <c r="AE846" s="12"/>
    </row>
    <row r="847" customFormat="false" ht="15.75" hidden="false" customHeight="false" outlineLevel="0" collapsed="false">
      <c r="A847" s="12" t="str">
        <f aca="false">IF((AA847&gt;=4), "Y", "N")</f>
        <v>Y</v>
      </c>
      <c r="B847" s="13"/>
      <c r="C847" s="31" t="s">
        <v>3637</v>
      </c>
      <c r="D847" s="16" t="s">
        <v>94</v>
      </c>
      <c r="E847" s="32" t="s">
        <v>3638</v>
      </c>
      <c r="F847" s="32" t="s">
        <v>3639</v>
      </c>
      <c r="G847" s="32" t="s">
        <v>145</v>
      </c>
      <c r="H847" s="26" t="s">
        <v>146</v>
      </c>
      <c r="I847" s="17" t="s">
        <v>36</v>
      </c>
      <c r="J847" s="47" t="s">
        <v>48</v>
      </c>
      <c r="K847" s="33" t="n">
        <v>2011</v>
      </c>
      <c r="L847" s="33" t="s">
        <v>109</v>
      </c>
      <c r="M847" s="27"/>
      <c r="N847" s="39" t="s">
        <v>3640</v>
      </c>
      <c r="O847" s="17"/>
      <c r="P847" s="19" t="s">
        <v>76</v>
      </c>
      <c r="Q847" s="12"/>
      <c r="R847" s="12" t="s">
        <v>3641</v>
      </c>
      <c r="S847" s="12"/>
      <c r="T847" s="12" t="s">
        <v>3642</v>
      </c>
      <c r="U847" s="12"/>
      <c r="V847" s="21" t="s">
        <v>31</v>
      </c>
      <c r="Z847" s="12"/>
      <c r="AA847" s="22" t="str">
        <f aca="false">IF(P847="OD500 US (submitted)", "5", " ")</f>
        <v>5</v>
      </c>
      <c r="AB847" s="12"/>
      <c r="AC847" s="12"/>
      <c r="AD847" s="12"/>
      <c r="AE847" s="12"/>
    </row>
    <row r="848" customFormat="false" ht="15.75" hidden="false" customHeight="false" outlineLevel="0" collapsed="false">
      <c r="A848" s="12" t="str">
        <f aca="false">IF((AA848&gt;=4), "Y", "N")</f>
        <v>Y</v>
      </c>
      <c r="B848" s="13"/>
      <c r="C848" s="14" t="s">
        <v>3643</v>
      </c>
      <c r="D848" s="24" t="s">
        <v>51</v>
      </c>
      <c r="E848" s="25" t="s">
        <v>3644</v>
      </c>
      <c r="F848" s="17" t="s">
        <v>3645</v>
      </c>
      <c r="G848" s="17" t="s">
        <v>476</v>
      </c>
      <c r="H848" s="17" t="s">
        <v>477</v>
      </c>
      <c r="I848" s="17" t="s">
        <v>36</v>
      </c>
      <c r="J848" s="32" t="s">
        <v>3646</v>
      </c>
      <c r="K848" s="17" t="n">
        <v>2013</v>
      </c>
      <c r="L848" s="17"/>
      <c r="M848" s="27"/>
      <c r="N848" s="17"/>
      <c r="O848" s="17"/>
      <c r="P848" s="52" t="s">
        <v>185</v>
      </c>
      <c r="Q848" s="12"/>
      <c r="R848" s="12"/>
      <c r="S848" s="12"/>
      <c r="T848" s="12"/>
      <c r="U848" s="12"/>
      <c r="V848" s="21"/>
      <c r="Z848" s="12"/>
      <c r="AA848" s="29" t="n">
        <v>5</v>
      </c>
      <c r="AB848" s="12"/>
      <c r="AC848" s="12"/>
      <c r="AD848" s="12"/>
      <c r="AE848" s="12"/>
    </row>
    <row r="849" customFormat="false" ht="15.75" hidden="false" customHeight="false" outlineLevel="0" collapsed="false">
      <c r="A849" s="12" t="str">
        <f aca="false">IF((AA849&gt;=4), "Y", "N")</f>
        <v>Y</v>
      </c>
      <c r="B849" s="13"/>
      <c r="C849" s="31" t="s">
        <v>3647</v>
      </c>
      <c r="D849" s="16" t="s">
        <v>94</v>
      </c>
      <c r="E849" s="32" t="s">
        <v>3648</v>
      </c>
      <c r="F849" s="17"/>
      <c r="G849" s="17"/>
      <c r="H849" s="17"/>
      <c r="I849" s="26" t="s">
        <v>266</v>
      </c>
      <c r="J849" s="32" t="s">
        <v>48</v>
      </c>
      <c r="K849" s="33" t="n">
        <v>2014</v>
      </c>
      <c r="L849" s="33" t="s">
        <v>99</v>
      </c>
      <c r="M849" s="27"/>
      <c r="N849" s="17" t="s">
        <v>3649</v>
      </c>
      <c r="O849" s="17"/>
      <c r="P849" s="40" t="s">
        <v>268</v>
      </c>
      <c r="Q849" s="12"/>
      <c r="R849" s="12"/>
      <c r="S849" s="12"/>
      <c r="T849" s="12"/>
      <c r="U849" s="12"/>
      <c r="V849" s="21"/>
      <c r="Z849" s="12"/>
      <c r="AA849" s="29" t="str">
        <f aca="false">IF(P849="OD500 MX", "5", " ")</f>
        <v>5</v>
      </c>
      <c r="AB849" s="12" t="s">
        <v>3650</v>
      </c>
      <c r="AC849" s="12"/>
      <c r="AD849" s="12"/>
      <c r="AE849" s="12"/>
    </row>
    <row r="850" customFormat="false" ht="15.75" hidden="false" customHeight="false" outlineLevel="0" collapsed="false">
      <c r="A850" s="12" t="str">
        <f aca="false">IF((AA850&gt;=4), "Y", "N")</f>
        <v>Y</v>
      </c>
      <c r="B850" s="13"/>
      <c r="C850" s="31" t="s">
        <v>3651</v>
      </c>
      <c r="D850" s="16" t="s">
        <v>521</v>
      </c>
      <c r="E850" s="32" t="s">
        <v>3652</v>
      </c>
      <c r="F850" s="17"/>
      <c r="G850" s="17"/>
      <c r="H850" s="17"/>
      <c r="I850" s="26" t="s">
        <v>266</v>
      </c>
      <c r="J850" s="32" t="s">
        <v>48</v>
      </c>
      <c r="K850" s="33" t="n">
        <v>1956</v>
      </c>
      <c r="L850" s="33" t="s">
        <v>109</v>
      </c>
      <c r="M850" s="27"/>
      <c r="N850" s="17" t="s">
        <v>3653</v>
      </c>
      <c r="O850" s="17"/>
      <c r="P850" s="40" t="s">
        <v>268</v>
      </c>
      <c r="Q850" s="12"/>
      <c r="R850" s="12"/>
      <c r="S850" s="12"/>
      <c r="T850" s="12"/>
      <c r="U850" s="12"/>
      <c r="V850" s="21"/>
      <c r="Z850" s="12"/>
      <c r="AA850" s="29" t="str">
        <f aca="false">IF(P850="OD500 MX", "5", " ")</f>
        <v>5</v>
      </c>
      <c r="AB850" s="70"/>
      <c r="AC850" s="12"/>
      <c r="AD850" s="12"/>
      <c r="AE850" s="12"/>
    </row>
    <row r="851" customFormat="false" ht="15.75" hidden="false" customHeight="false" outlineLevel="0" collapsed="false">
      <c r="A851" s="12"/>
      <c r="B851" s="12"/>
      <c r="C851" s="23" t="s">
        <v>3654</v>
      </c>
      <c r="D851" s="24"/>
      <c r="E851" s="17"/>
      <c r="F851" s="17"/>
      <c r="G851" s="17"/>
      <c r="H851" s="17"/>
      <c r="I851" s="17" t="s">
        <v>260</v>
      </c>
      <c r="J851" s="32" t="s">
        <v>48</v>
      </c>
      <c r="K851" s="17"/>
      <c r="L851" s="17"/>
      <c r="M851" s="27"/>
      <c r="N851" s="17"/>
      <c r="O851" s="17"/>
      <c r="P851" s="40" t="s">
        <v>261</v>
      </c>
      <c r="Q851" s="12"/>
      <c r="R851" s="12"/>
      <c r="S851" s="12"/>
      <c r="T851" s="12"/>
      <c r="U851" s="12"/>
      <c r="V851" s="21"/>
      <c r="Z851" s="12"/>
      <c r="AA851" s="29"/>
      <c r="AB851" s="84"/>
      <c r="AC851" s="12"/>
      <c r="AD851" s="12"/>
      <c r="AE851" s="12"/>
    </row>
    <row r="852" customFormat="false" ht="15.75" hidden="false" customHeight="false" outlineLevel="0" collapsed="false">
      <c r="A852" s="12"/>
      <c r="B852" s="12"/>
      <c r="C852" s="23" t="s">
        <v>3655</v>
      </c>
      <c r="D852" s="24"/>
      <c r="E852" s="17"/>
      <c r="F852" s="17"/>
      <c r="G852" s="17"/>
      <c r="H852" s="17"/>
      <c r="I852" s="17" t="s">
        <v>260</v>
      </c>
      <c r="J852" s="32" t="s">
        <v>48</v>
      </c>
      <c r="K852" s="17"/>
      <c r="L852" s="17"/>
      <c r="M852" s="27"/>
      <c r="N852" s="17"/>
      <c r="O852" s="17"/>
      <c r="P852" s="40" t="s">
        <v>261</v>
      </c>
      <c r="Q852" s="20"/>
      <c r="R852" s="20"/>
      <c r="S852" s="20"/>
      <c r="T852" s="20"/>
      <c r="U852" s="20"/>
      <c r="V852" s="45"/>
      <c r="Z852" s="20"/>
      <c r="AA852" s="22"/>
      <c r="AB852" s="84"/>
      <c r="AC852" s="20"/>
      <c r="AD852" s="20"/>
      <c r="AE852" s="20"/>
    </row>
    <row r="853" customFormat="false" ht="15.75" hidden="false" customHeight="false" outlineLevel="0" collapsed="false">
      <c r="A853" s="12"/>
      <c r="B853" s="12"/>
      <c r="C853" s="23" t="s">
        <v>3656</v>
      </c>
      <c r="D853" s="24"/>
      <c r="E853" s="17"/>
      <c r="F853" s="17"/>
      <c r="G853" s="17"/>
      <c r="H853" s="17"/>
      <c r="I853" s="17" t="s">
        <v>260</v>
      </c>
      <c r="J853" s="32" t="s">
        <v>48</v>
      </c>
      <c r="K853" s="17"/>
      <c r="L853" s="17"/>
      <c r="M853" s="27"/>
      <c r="N853" s="17"/>
      <c r="O853" s="17"/>
      <c r="P853" s="40" t="s">
        <v>261</v>
      </c>
      <c r="Q853" s="12"/>
      <c r="R853" s="12"/>
      <c r="S853" s="12"/>
      <c r="T853" s="12"/>
      <c r="U853" s="12"/>
      <c r="V853" s="21"/>
      <c r="Z853" s="12"/>
      <c r="AA853" s="29"/>
      <c r="AB853" s="84"/>
      <c r="AC853" s="12"/>
      <c r="AD853" s="12"/>
      <c r="AE853" s="12"/>
    </row>
    <row r="854" customFormat="false" ht="15.75" hidden="false" customHeight="false" outlineLevel="0" collapsed="false">
      <c r="A854" s="12"/>
      <c r="B854" s="12"/>
      <c r="C854" s="23" t="s">
        <v>3657</v>
      </c>
      <c r="D854" s="24"/>
      <c r="E854" s="17"/>
      <c r="F854" s="17"/>
      <c r="G854" s="17"/>
      <c r="H854" s="17"/>
      <c r="I854" s="17" t="s">
        <v>260</v>
      </c>
      <c r="J854" s="32" t="s">
        <v>48</v>
      </c>
      <c r="K854" s="17"/>
      <c r="L854" s="17"/>
      <c r="M854" s="27"/>
      <c r="N854" s="17"/>
      <c r="O854" s="17"/>
      <c r="P854" s="40" t="s">
        <v>261</v>
      </c>
      <c r="V854" s="60"/>
      <c r="AA854" s="63"/>
      <c r="AB854" s="84"/>
    </row>
    <row r="855" customFormat="false" ht="15.75" hidden="false" customHeight="false" outlineLevel="0" collapsed="false">
      <c r="A855" s="12"/>
      <c r="B855" s="12"/>
      <c r="C855" s="23" t="s">
        <v>3658</v>
      </c>
      <c r="D855" s="24"/>
      <c r="E855" s="17"/>
      <c r="F855" s="17"/>
      <c r="G855" s="17"/>
      <c r="H855" s="17"/>
      <c r="I855" s="17" t="s">
        <v>260</v>
      </c>
      <c r="J855" s="32" t="s">
        <v>48</v>
      </c>
      <c r="K855" s="17"/>
      <c r="L855" s="17"/>
      <c r="M855" s="27"/>
      <c r="N855" s="17"/>
      <c r="O855" s="17"/>
      <c r="P855" s="40" t="s">
        <v>261</v>
      </c>
      <c r="Q855" s="20"/>
      <c r="R855" s="20"/>
      <c r="S855" s="20"/>
      <c r="T855" s="20"/>
      <c r="U855" s="20"/>
      <c r="V855" s="45"/>
      <c r="Z855" s="20"/>
      <c r="AA855" s="22"/>
      <c r="AB855" s="84"/>
      <c r="AC855" s="20"/>
      <c r="AD855" s="20"/>
      <c r="AE855" s="20"/>
    </row>
    <row r="856" customFormat="false" ht="15.75" hidden="false" customHeight="false" outlineLevel="0" collapsed="false">
      <c r="A856" s="12"/>
      <c r="B856" s="12"/>
      <c r="C856" s="23" t="s">
        <v>3659</v>
      </c>
      <c r="D856" s="24"/>
      <c r="E856" s="17"/>
      <c r="F856" s="17"/>
      <c r="G856" s="17"/>
      <c r="H856" s="17"/>
      <c r="I856" s="17" t="s">
        <v>260</v>
      </c>
      <c r="J856" s="32" t="s">
        <v>48</v>
      </c>
      <c r="K856" s="17"/>
      <c r="L856" s="17"/>
      <c r="M856" s="27"/>
      <c r="N856" s="17"/>
      <c r="O856" s="17"/>
      <c r="P856" s="40" t="s">
        <v>261</v>
      </c>
      <c r="Q856" s="17"/>
      <c r="R856" s="17"/>
      <c r="S856" s="17"/>
      <c r="T856" s="17"/>
      <c r="U856" s="17"/>
      <c r="V856" s="27"/>
      <c r="Z856" s="17"/>
      <c r="AA856" s="29"/>
      <c r="AB856" s="84"/>
      <c r="AC856" s="17"/>
      <c r="AD856" s="17"/>
      <c r="AE856" s="17"/>
    </row>
    <row r="857" customFormat="false" ht="15.75" hidden="false" customHeight="false" outlineLevel="0" collapsed="false">
      <c r="A857" s="12"/>
      <c r="B857" s="12"/>
      <c r="C857" s="23" t="s">
        <v>3660</v>
      </c>
      <c r="D857" s="24"/>
      <c r="E857" s="17"/>
      <c r="F857" s="17"/>
      <c r="G857" s="17"/>
      <c r="H857" s="17"/>
      <c r="I857" s="17" t="s">
        <v>260</v>
      </c>
      <c r="J857" s="32" t="s">
        <v>48</v>
      </c>
      <c r="K857" s="17"/>
      <c r="L857" s="17"/>
      <c r="M857" s="27"/>
      <c r="N857" s="17"/>
      <c r="O857" s="17"/>
      <c r="P857" s="40" t="s">
        <v>261</v>
      </c>
      <c r="Q857" s="12"/>
      <c r="R857" s="12"/>
      <c r="S857" s="12"/>
      <c r="T857" s="12"/>
      <c r="U857" s="12"/>
      <c r="V857" s="21"/>
      <c r="Z857" s="12"/>
      <c r="AA857" s="29"/>
      <c r="AB857" s="84"/>
      <c r="AC857" s="12"/>
      <c r="AD857" s="12"/>
      <c r="AE857" s="12"/>
    </row>
    <row r="858" customFormat="false" ht="15.75" hidden="false" customHeight="false" outlineLevel="0" collapsed="false">
      <c r="A858" s="12"/>
      <c r="B858" s="12"/>
      <c r="C858" s="23" t="s">
        <v>3661</v>
      </c>
      <c r="D858" s="24" t="s">
        <v>94</v>
      </c>
      <c r="E858" s="25" t="s">
        <v>3662</v>
      </c>
      <c r="F858" s="17" t="s">
        <v>3663</v>
      </c>
      <c r="G858" s="17" t="s">
        <v>71</v>
      </c>
      <c r="H858" s="26" t="s">
        <v>72</v>
      </c>
      <c r="I858" s="17" t="s">
        <v>36</v>
      </c>
      <c r="J858" s="32" t="s">
        <v>48</v>
      </c>
      <c r="K858" s="17" t="n">
        <v>1995</v>
      </c>
      <c r="L858" s="38" t="s">
        <v>330</v>
      </c>
      <c r="M858" s="27"/>
      <c r="N858" s="17"/>
      <c r="O858" s="17"/>
      <c r="P858" s="40" t="s">
        <v>111</v>
      </c>
      <c r="Q858" s="12"/>
      <c r="R858" s="12"/>
      <c r="S858" s="12"/>
      <c r="T858" s="12"/>
      <c r="U858" s="12"/>
      <c r="V858" s="21"/>
      <c r="Z858" s="12"/>
      <c r="AA858" s="29" t="n">
        <v>3</v>
      </c>
      <c r="AB858" s="84"/>
      <c r="AC858" s="12"/>
      <c r="AD858" s="12"/>
      <c r="AE858" s="12"/>
    </row>
    <row r="859" customFormat="false" ht="15.75" hidden="false" customHeight="false" outlineLevel="0" collapsed="false">
      <c r="A859" s="12"/>
      <c r="B859" s="12"/>
      <c r="C859" s="23" t="s">
        <v>3664</v>
      </c>
      <c r="D859" s="24"/>
      <c r="E859" s="17"/>
      <c r="F859" s="17"/>
      <c r="G859" s="17"/>
      <c r="H859" s="17"/>
      <c r="I859" s="17" t="s">
        <v>260</v>
      </c>
      <c r="J859" s="32" t="s">
        <v>48</v>
      </c>
      <c r="K859" s="17"/>
      <c r="L859" s="17"/>
      <c r="M859" s="27"/>
      <c r="N859" s="17"/>
      <c r="O859" s="17"/>
      <c r="P859" s="40" t="s">
        <v>261</v>
      </c>
      <c r="Q859" s="12"/>
      <c r="R859" s="12"/>
      <c r="S859" s="12"/>
      <c r="T859" s="12"/>
      <c r="U859" s="12"/>
      <c r="V859" s="21"/>
      <c r="Z859" s="12"/>
      <c r="AA859" s="29"/>
      <c r="AB859" s="84"/>
      <c r="AC859" s="12"/>
      <c r="AD859" s="12"/>
      <c r="AE859" s="12"/>
    </row>
    <row r="860" customFormat="false" ht="15.75" hidden="false" customHeight="false" outlineLevel="0" collapsed="false">
      <c r="A860" s="12"/>
      <c r="B860" s="12"/>
      <c r="C860" s="23" t="s">
        <v>3665</v>
      </c>
      <c r="D860" s="24"/>
      <c r="E860" s="17"/>
      <c r="F860" s="17"/>
      <c r="G860" s="17"/>
      <c r="H860" s="17"/>
      <c r="I860" s="17" t="s">
        <v>260</v>
      </c>
      <c r="J860" s="32" t="s">
        <v>48</v>
      </c>
      <c r="K860" s="17"/>
      <c r="L860" s="17"/>
      <c r="M860" s="27"/>
      <c r="N860" s="17"/>
      <c r="O860" s="17"/>
      <c r="P860" s="40" t="s">
        <v>261</v>
      </c>
      <c r="Q860" s="20"/>
      <c r="R860" s="20"/>
      <c r="S860" s="20"/>
      <c r="T860" s="20"/>
      <c r="U860" s="20"/>
      <c r="V860" s="45"/>
      <c r="Z860" s="20"/>
      <c r="AA860" s="22"/>
      <c r="AB860" s="84"/>
      <c r="AC860" s="20"/>
      <c r="AD860" s="20"/>
      <c r="AE860" s="20"/>
    </row>
    <row r="861" customFormat="false" ht="15.75" hidden="false" customHeight="false" outlineLevel="0" collapsed="false">
      <c r="A861" s="12"/>
      <c r="B861" s="12"/>
      <c r="C861" s="23" t="s">
        <v>3666</v>
      </c>
      <c r="D861" s="24"/>
      <c r="E861" s="17"/>
      <c r="F861" s="17"/>
      <c r="G861" s="17"/>
      <c r="H861" s="17"/>
      <c r="I861" s="17" t="s">
        <v>260</v>
      </c>
      <c r="J861" s="32" t="s">
        <v>48</v>
      </c>
      <c r="K861" s="17"/>
      <c r="L861" s="17"/>
      <c r="M861" s="27"/>
      <c r="N861" s="17"/>
      <c r="O861" s="17"/>
      <c r="P861" s="40" t="s">
        <v>261</v>
      </c>
      <c r="Q861" s="12"/>
      <c r="R861" s="12"/>
      <c r="S861" s="12"/>
      <c r="T861" s="12"/>
      <c r="U861" s="12"/>
      <c r="V861" s="21"/>
      <c r="Z861" s="12"/>
      <c r="AA861" s="29"/>
      <c r="AB861" s="84"/>
      <c r="AC861" s="12"/>
      <c r="AD861" s="12"/>
      <c r="AE861" s="12"/>
    </row>
    <row r="862" customFormat="false" ht="15.75" hidden="false" customHeight="false" outlineLevel="0" collapsed="false">
      <c r="A862" s="12" t="str">
        <f aca="false">IF((AA862&gt;=4), "Y", "N")</f>
        <v>Y</v>
      </c>
      <c r="B862" s="13"/>
      <c r="C862" s="31" t="s">
        <v>3667</v>
      </c>
      <c r="D862" s="24" t="s">
        <v>94</v>
      </c>
      <c r="E862" s="32" t="s">
        <v>3668</v>
      </c>
      <c r="F862" s="17"/>
      <c r="G862" s="17"/>
      <c r="H862" s="17"/>
      <c r="I862" s="26" t="s">
        <v>266</v>
      </c>
      <c r="J862" s="32" t="s">
        <v>48</v>
      </c>
      <c r="K862" s="33" t="n">
        <v>2012</v>
      </c>
      <c r="L862" s="33" t="s">
        <v>99</v>
      </c>
      <c r="M862" s="27"/>
      <c r="N862" s="17" t="s">
        <v>3669</v>
      </c>
      <c r="O862" s="17"/>
      <c r="P862" s="40" t="s">
        <v>268</v>
      </c>
      <c r="Q862" s="17"/>
      <c r="R862" s="17"/>
      <c r="S862" s="17"/>
      <c r="T862" s="17"/>
      <c r="U862" s="17"/>
      <c r="V862" s="27"/>
      <c r="Z862" s="17"/>
      <c r="AA862" s="29" t="str">
        <f aca="false">IF(P862="OD500 MX", "5", " ")</f>
        <v>5</v>
      </c>
      <c r="AB862" s="70"/>
      <c r="AC862" s="17"/>
      <c r="AD862" s="17"/>
      <c r="AE862" s="17"/>
    </row>
    <row r="863" customFormat="false" ht="15.75" hidden="false" customHeight="false" outlineLevel="0" collapsed="false">
      <c r="A863" s="12"/>
      <c r="B863" s="13"/>
      <c r="C863" s="31" t="s">
        <v>3670</v>
      </c>
      <c r="D863" s="16" t="s">
        <v>94</v>
      </c>
      <c r="E863" s="17"/>
      <c r="F863" s="17"/>
      <c r="G863" s="17"/>
      <c r="H863" s="32"/>
      <c r="I863" s="26" t="s">
        <v>166</v>
      </c>
      <c r="J863" s="32" t="s">
        <v>48</v>
      </c>
      <c r="K863" s="17"/>
      <c r="L863" s="17"/>
      <c r="M863" s="27"/>
      <c r="N863" s="17"/>
      <c r="O863" s="17"/>
      <c r="P863" s="40" t="s">
        <v>3671</v>
      </c>
      <c r="Q863" s="12"/>
      <c r="R863" s="12"/>
      <c r="S863" s="12"/>
      <c r="T863" s="12"/>
      <c r="U863" s="12"/>
      <c r="V863" s="21"/>
      <c r="Z863" s="12"/>
      <c r="AA863" s="29"/>
      <c r="AB863" s="84"/>
      <c r="AC863" s="12"/>
      <c r="AD863" s="12"/>
      <c r="AE863" s="12"/>
    </row>
    <row r="864" customFormat="false" ht="15.75" hidden="false" customHeight="false" outlineLevel="0" collapsed="false">
      <c r="A864" s="12"/>
      <c r="B864" s="54"/>
      <c r="C864" s="55" t="s">
        <v>3672</v>
      </c>
      <c r="D864" s="15"/>
      <c r="E864" s="16" t="s">
        <v>3673</v>
      </c>
      <c r="F864" s="15" t="s">
        <v>3674</v>
      </c>
      <c r="G864" s="15"/>
      <c r="H864" s="15"/>
      <c r="I864" s="15"/>
      <c r="J864" s="15" t="s">
        <v>763</v>
      </c>
      <c r="K864" s="15" t="n">
        <v>2014</v>
      </c>
      <c r="L864" s="17"/>
      <c r="M864" s="18"/>
      <c r="N864" s="17"/>
      <c r="O864" s="17"/>
      <c r="P864" s="19" t="s">
        <v>39</v>
      </c>
      <c r="Q864" s="12"/>
      <c r="R864" s="12" t="s">
        <v>3675</v>
      </c>
      <c r="S864" s="12"/>
      <c r="T864" s="12" t="s">
        <v>3676</v>
      </c>
      <c r="U864" s="12"/>
      <c r="V864" s="21" t="s">
        <v>31</v>
      </c>
      <c r="Z864" s="12"/>
      <c r="AA864" s="29"/>
      <c r="AB864" s="18" t="s">
        <v>3677</v>
      </c>
      <c r="AC864" s="12"/>
      <c r="AD864" s="12"/>
      <c r="AE864" s="12"/>
    </row>
    <row r="865" customFormat="false" ht="15.75" hidden="false" customHeight="false" outlineLevel="0" collapsed="false">
      <c r="A865" s="12"/>
      <c r="B865" s="12"/>
      <c r="C865" s="23" t="s">
        <v>3678</v>
      </c>
      <c r="D865" s="24"/>
      <c r="E865" s="25" t="s">
        <v>3679</v>
      </c>
      <c r="F865" s="17" t="s">
        <v>3680</v>
      </c>
      <c r="G865" s="17" t="s">
        <v>134</v>
      </c>
      <c r="H865" s="17"/>
      <c r="I865" s="26" t="s">
        <v>65</v>
      </c>
      <c r="J865" s="17" t="s">
        <v>3260</v>
      </c>
      <c r="K865" s="17"/>
      <c r="L865" s="17"/>
      <c r="M865" s="27"/>
      <c r="N865" s="17"/>
      <c r="O865" s="17"/>
      <c r="P865" s="28" t="s">
        <v>46</v>
      </c>
      <c r="Q865" s="12"/>
      <c r="R865" s="12"/>
      <c r="S865" s="12"/>
      <c r="T865" s="12"/>
      <c r="U865" s="12"/>
      <c r="V865" s="21"/>
      <c r="Z865" s="12"/>
      <c r="AA865" s="29"/>
      <c r="AB865" s="84"/>
      <c r="AC865" s="12"/>
      <c r="AD865" s="12"/>
      <c r="AE865" s="12"/>
    </row>
    <row r="866" customFormat="false" ht="15.75" hidden="false" customHeight="false" outlineLevel="0" collapsed="false">
      <c r="A866" s="12"/>
      <c r="B866" s="12"/>
      <c r="C866" s="23" t="s">
        <v>3681</v>
      </c>
      <c r="D866" s="24"/>
      <c r="E866" s="25" t="s">
        <v>3682</v>
      </c>
      <c r="F866" s="17" t="s">
        <v>3683</v>
      </c>
      <c r="G866" s="17" t="s">
        <v>134</v>
      </c>
      <c r="H866" s="17"/>
      <c r="I866" s="26" t="s">
        <v>65</v>
      </c>
      <c r="J866" s="17" t="s">
        <v>3260</v>
      </c>
      <c r="K866" s="17"/>
      <c r="L866" s="17"/>
      <c r="M866" s="27"/>
      <c r="N866" s="17"/>
      <c r="O866" s="17"/>
      <c r="P866" s="28" t="s">
        <v>46</v>
      </c>
      <c r="Q866" s="12"/>
      <c r="R866" s="12"/>
      <c r="S866" s="12"/>
      <c r="T866" s="12"/>
      <c r="U866" s="12"/>
      <c r="V866" s="21"/>
      <c r="Z866" s="12"/>
      <c r="AA866" s="29"/>
      <c r="AB866" s="84"/>
      <c r="AC866" s="12"/>
      <c r="AD866" s="12"/>
      <c r="AE866" s="12"/>
    </row>
    <row r="867" customFormat="false" ht="15.75" hidden="false" customHeight="false" outlineLevel="0" collapsed="false">
      <c r="A867" s="12"/>
      <c r="B867" s="12"/>
      <c r="C867" s="23" t="s">
        <v>3684</v>
      </c>
      <c r="D867" s="24"/>
      <c r="E867" s="25" t="s">
        <v>3685</v>
      </c>
      <c r="F867" s="17" t="s">
        <v>3686</v>
      </c>
      <c r="G867" s="17" t="s">
        <v>134</v>
      </c>
      <c r="H867" s="17"/>
      <c r="I867" s="26" t="s">
        <v>65</v>
      </c>
      <c r="J867" s="17" t="s">
        <v>3260</v>
      </c>
      <c r="K867" s="17"/>
      <c r="L867" s="17"/>
      <c r="M867" s="27"/>
      <c r="N867" s="17"/>
      <c r="O867" s="17"/>
      <c r="P867" s="28" t="s">
        <v>46</v>
      </c>
      <c r="V867" s="60"/>
      <c r="AA867" s="63"/>
      <c r="AB867" s="84"/>
    </row>
    <row r="868" customFormat="false" ht="15.75" hidden="false" customHeight="false" outlineLevel="0" collapsed="false">
      <c r="A868" s="12"/>
      <c r="B868" s="12"/>
      <c r="C868" s="23" t="s">
        <v>3687</v>
      </c>
      <c r="D868" s="24"/>
      <c r="E868" s="25" t="s">
        <v>3688</v>
      </c>
      <c r="F868" s="17" t="s">
        <v>3689</v>
      </c>
      <c r="G868" s="17" t="s">
        <v>44</v>
      </c>
      <c r="H868" s="17"/>
      <c r="I868" s="26" t="s">
        <v>45</v>
      </c>
      <c r="J868" s="17" t="s">
        <v>3260</v>
      </c>
      <c r="K868" s="17"/>
      <c r="L868" s="17"/>
      <c r="M868" s="27"/>
      <c r="N868" s="17"/>
      <c r="O868" s="17"/>
      <c r="P868" s="28" t="s">
        <v>46</v>
      </c>
      <c r="Q868" s="17"/>
      <c r="R868" s="17"/>
      <c r="S868" s="17"/>
      <c r="T868" s="17"/>
      <c r="U868" s="17"/>
      <c r="V868" s="27"/>
      <c r="Z868" s="17"/>
      <c r="AA868" s="29"/>
      <c r="AB868" s="84"/>
      <c r="AC868" s="17"/>
      <c r="AD868" s="17"/>
      <c r="AE868" s="17"/>
    </row>
    <row r="869" customFormat="false" ht="15.75" hidden="false" customHeight="false" outlineLevel="0" collapsed="false">
      <c r="A869" s="12"/>
      <c r="B869" s="12"/>
      <c r="C869" s="23" t="s">
        <v>3690</v>
      </c>
      <c r="D869" s="24"/>
      <c r="E869" s="25" t="s">
        <v>3691</v>
      </c>
      <c r="F869" s="17"/>
      <c r="G869" s="17" t="s">
        <v>44</v>
      </c>
      <c r="H869" s="17"/>
      <c r="I869" s="26" t="s">
        <v>45</v>
      </c>
      <c r="J869" s="17" t="s">
        <v>3260</v>
      </c>
      <c r="K869" s="17"/>
      <c r="L869" s="17"/>
      <c r="M869" s="27"/>
      <c r="N869" s="17"/>
      <c r="O869" s="17"/>
      <c r="P869" s="28" t="s">
        <v>46</v>
      </c>
      <c r="Q869" s="20"/>
      <c r="R869" s="20"/>
      <c r="S869" s="20"/>
      <c r="T869" s="20"/>
      <c r="U869" s="20"/>
      <c r="V869" s="45"/>
      <c r="Z869" s="20"/>
      <c r="AA869" s="22"/>
      <c r="AB869" s="84"/>
      <c r="AC869" s="20"/>
      <c r="AD869" s="20"/>
      <c r="AE869" s="20"/>
    </row>
    <row r="870" customFormat="false" ht="15.75" hidden="false" customHeight="false" outlineLevel="0" collapsed="false">
      <c r="A870" s="12"/>
      <c r="B870" s="12"/>
      <c r="C870" s="23" t="s">
        <v>3692</v>
      </c>
      <c r="D870" s="24" t="s">
        <v>61</v>
      </c>
      <c r="E870" s="25" t="s">
        <v>3693</v>
      </c>
      <c r="F870" s="17" t="s">
        <v>3694</v>
      </c>
      <c r="G870" s="17"/>
      <c r="H870" s="17"/>
      <c r="I870" s="17" t="s">
        <v>260</v>
      </c>
      <c r="J870" s="32" t="s">
        <v>2199</v>
      </c>
      <c r="K870" s="17"/>
      <c r="L870" s="17"/>
      <c r="M870" s="27"/>
      <c r="N870" s="17"/>
      <c r="O870" s="17"/>
      <c r="P870" s="40" t="s">
        <v>261</v>
      </c>
      <c r="Q870" s="12"/>
      <c r="R870" s="12"/>
      <c r="S870" s="12"/>
      <c r="T870" s="12"/>
      <c r="U870" s="12"/>
      <c r="V870" s="21"/>
      <c r="Z870" s="12"/>
      <c r="AA870" s="29" t="n">
        <v>2</v>
      </c>
      <c r="AB870" s="84"/>
      <c r="AC870" s="12"/>
      <c r="AD870" s="12"/>
      <c r="AE870" s="12"/>
      <c r="AF870" s="12"/>
      <c r="AG870" s="12"/>
    </row>
    <row r="871" customFormat="false" ht="15.75" hidden="false" customHeight="false" outlineLevel="0" collapsed="false">
      <c r="A871" s="12" t="str">
        <f aca="false">IF((AA871&gt;=4), "Y", "N")</f>
        <v>Y</v>
      </c>
      <c r="B871" s="12"/>
      <c r="C871" s="23" t="s">
        <v>3695</v>
      </c>
      <c r="D871" s="24" t="s">
        <v>61</v>
      </c>
      <c r="E871" s="25" t="s">
        <v>3696</v>
      </c>
      <c r="F871" s="17" t="s">
        <v>3697</v>
      </c>
      <c r="G871" s="17" t="s">
        <v>3698</v>
      </c>
      <c r="H871" s="17" t="s">
        <v>477</v>
      </c>
      <c r="I871" s="17" t="s">
        <v>36</v>
      </c>
      <c r="J871" s="17" t="s">
        <v>2199</v>
      </c>
      <c r="K871" s="17" t="n">
        <v>1931</v>
      </c>
      <c r="L871" s="33" t="s">
        <v>275</v>
      </c>
      <c r="M871" s="27"/>
      <c r="N871" s="17"/>
      <c r="O871" s="17"/>
      <c r="P871" s="40" t="s">
        <v>111</v>
      </c>
      <c r="Q871" s="12"/>
      <c r="R871" s="12"/>
      <c r="S871" s="12"/>
      <c r="T871" s="12"/>
      <c r="U871" s="12"/>
      <c r="V871" s="21"/>
      <c r="Z871" s="12"/>
      <c r="AA871" s="29" t="n">
        <v>5</v>
      </c>
      <c r="AB871" s="84"/>
      <c r="AC871" s="12"/>
      <c r="AD871" s="12"/>
      <c r="AE871" s="12"/>
    </row>
    <row r="872" customFormat="false" ht="15.75" hidden="false" customHeight="false" outlineLevel="0" collapsed="false">
      <c r="A872" s="12"/>
      <c r="B872" s="12"/>
      <c r="C872" s="23" t="s">
        <v>3699</v>
      </c>
      <c r="D872" s="24"/>
      <c r="E872" s="25" t="s">
        <v>3700</v>
      </c>
      <c r="F872" s="17"/>
      <c r="G872" s="17"/>
      <c r="H872" s="17"/>
      <c r="I872" s="17" t="s">
        <v>260</v>
      </c>
      <c r="J872" s="32" t="s">
        <v>2199</v>
      </c>
      <c r="K872" s="17"/>
      <c r="L872" s="17"/>
      <c r="M872" s="27"/>
      <c r="N872" s="17"/>
      <c r="O872" s="17"/>
      <c r="P872" s="40" t="s">
        <v>261</v>
      </c>
      <c r="Q872" s="12"/>
      <c r="R872" s="12"/>
      <c r="S872" s="12"/>
      <c r="T872" s="12"/>
      <c r="U872" s="12"/>
      <c r="V872" s="21"/>
      <c r="Z872" s="12"/>
      <c r="AA872" s="29"/>
      <c r="AB872" s="84"/>
      <c r="AC872" s="12"/>
      <c r="AD872" s="12"/>
      <c r="AE872" s="12"/>
    </row>
    <row r="873" customFormat="false" ht="15.75" hidden="false" customHeight="false" outlineLevel="0" collapsed="false">
      <c r="A873" s="12"/>
      <c r="B873" s="12"/>
      <c r="C873" s="23" t="s">
        <v>3701</v>
      </c>
      <c r="D873" s="24"/>
      <c r="E873" s="17"/>
      <c r="F873" s="17"/>
      <c r="G873" s="17"/>
      <c r="H873" s="17"/>
      <c r="I873" s="17" t="s">
        <v>260</v>
      </c>
      <c r="J873" s="32" t="s">
        <v>2199</v>
      </c>
      <c r="K873" s="17"/>
      <c r="L873" s="17"/>
      <c r="M873" s="27"/>
      <c r="N873" s="17"/>
      <c r="O873" s="17"/>
      <c r="P873" s="40" t="s">
        <v>261</v>
      </c>
      <c r="Q873" s="12"/>
      <c r="R873" s="12"/>
      <c r="S873" s="12"/>
      <c r="T873" s="12"/>
      <c r="U873" s="12"/>
      <c r="V873" s="21"/>
      <c r="Z873" s="12"/>
      <c r="AA873" s="29"/>
      <c r="AB873" s="84"/>
      <c r="AC873" s="12"/>
      <c r="AD873" s="12"/>
      <c r="AE873" s="12"/>
    </row>
    <row r="874" customFormat="false" ht="15.75" hidden="false" customHeight="false" outlineLevel="0" collapsed="false">
      <c r="A874" s="12"/>
      <c r="B874" s="12"/>
      <c r="C874" s="23" t="s">
        <v>3702</v>
      </c>
      <c r="D874" s="24"/>
      <c r="E874" s="17"/>
      <c r="F874" s="17"/>
      <c r="G874" s="17"/>
      <c r="H874" s="17"/>
      <c r="I874" s="17" t="s">
        <v>260</v>
      </c>
      <c r="J874" s="32" t="s">
        <v>2199</v>
      </c>
      <c r="K874" s="17"/>
      <c r="L874" s="17"/>
      <c r="M874" s="27"/>
      <c r="N874" s="17"/>
      <c r="O874" s="17"/>
      <c r="P874" s="40" t="s">
        <v>261</v>
      </c>
      <c r="V874" s="60"/>
      <c r="AA874" s="63"/>
      <c r="AB874" s="84"/>
    </row>
    <row r="875" customFormat="false" ht="15.75" hidden="false" customHeight="false" outlineLevel="0" collapsed="false">
      <c r="A875" s="12"/>
      <c r="B875" s="12"/>
      <c r="C875" s="23" t="s">
        <v>3703</v>
      </c>
      <c r="D875" s="24"/>
      <c r="E875" s="17"/>
      <c r="F875" s="17"/>
      <c r="G875" s="17"/>
      <c r="H875" s="17"/>
      <c r="I875" s="17" t="s">
        <v>260</v>
      </c>
      <c r="J875" s="32" t="s">
        <v>2199</v>
      </c>
      <c r="K875" s="17"/>
      <c r="L875" s="17"/>
      <c r="M875" s="27"/>
      <c r="N875" s="17"/>
      <c r="O875" s="17"/>
      <c r="P875" s="40" t="s">
        <v>261</v>
      </c>
      <c r="Q875" s="12"/>
      <c r="R875" s="12"/>
      <c r="S875" s="12"/>
      <c r="T875" s="12"/>
      <c r="U875" s="12"/>
      <c r="V875" s="21"/>
      <c r="Z875" s="12"/>
      <c r="AA875" s="29"/>
      <c r="AB875" s="84"/>
      <c r="AC875" s="12"/>
      <c r="AD875" s="12"/>
      <c r="AE875" s="12"/>
    </row>
    <row r="876" customFormat="false" ht="15.75" hidden="false" customHeight="false" outlineLevel="0" collapsed="false">
      <c r="A876" s="12"/>
      <c r="B876" s="12"/>
      <c r="C876" s="23" t="s">
        <v>3704</v>
      </c>
      <c r="D876" s="16" t="s">
        <v>94</v>
      </c>
      <c r="E876" s="25" t="s">
        <v>3705</v>
      </c>
      <c r="F876" s="17" t="s">
        <v>3706</v>
      </c>
      <c r="G876" s="17" t="s">
        <v>2772</v>
      </c>
      <c r="H876" s="17" t="s">
        <v>341</v>
      </c>
      <c r="I876" s="17" t="s">
        <v>36</v>
      </c>
      <c r="J876" s="17" t="s">
        <v>2199</v>
      </c>
      <c r="K876" s="17" t="n">
        <v>1882</v>
      </c>
      <c r="L876" s="33" t="s">
        <v>275</v>
      </c>
      <c r="M876" s="27"/>
      <c r="N876" s="17"/>
      <c r="O876" s="17"/>
      <c r="P876" s="40" t="s">
        <v>111</v>
      </c>
      <c r="V876" s="60"/>
      <c r="AA876" s="63" t="n">
        <v>3</v>
      </c>
      <c r="AB876" s="84"/>
    </row>
    <row r="877" customFormat="false" ht="15.75" hidden="false" customHeight="false" outlineLevel="0" collapsed="false">
      <c r="A877" s="12" t="str">
        <f aca="false">IF((AA877&gt;=4), "Y", "N")</f>
        <v>Y</v>
      </c>
      <c r="B877" s="13"/>
      <c r="C877" s="31" t="s">
        <v>3707</v>
      </c>
      <c r="D877" s="16" t="s">
        <v>51</v>
      </c>
      <c r="E877" s="32" t="s">
        <v>3708</v>
      </c>
      <c r="F877" s="32" t="s">
        <v>3709</v>
      </c>
      <c r="G877" s="32" t="s">
        <v>3710</v>
      </c>
      <c r="H877" s="17" t="s">
        <v>146</v>
      </c>
      <c r="I877" s="17" t="s">
        <v>36</v>
      </c>
      <c r="J877" s="32" t="s">
        <v>1555</v>
      </c>
      <c r="K877" s="33" t="n">
        <v>2011</v>
      </c>
      <c r="L877" s="33" t="s">
        <v>109</v>
      </c>
      <c r="M877" s="27"/>
      <c r="N877" s="37" t="s">
        <v>663</v>
      </c>
      <c r="O877" s="17"/>
      <c r="P877" s="19" t="s">
        <v>76</v>
      </c>
      <c r="Q877" s="20"/>
      <c r="R877" s="20" t="s">
        <v>3711</v>
      </c>
      <c r="S877" s="20"/>
      <c r="T877" s="20" t="s">
        <v>3712</v>
      </c>
      <c r="U877" s="20"/>
      <c r="V877" s="21" t="s">
        <v>31</v>
      </c>
      <c r="Z877" s="20"/>
      <c r="AA877" s="22" t="str">
        <f aca="false">IF(P877="OD500 US (submitted)", "5", " ")</f>
        <v>5</v>
      </c>
      <c r="AB877" s="84"/>
      <c r="AC877" s="20"/>
      <c r="AD877" s="20"/>
      <c r="AE877" s="20"/>
    </row>
    <row r="878" customFormat="false" ht="15.75" hidden="false" customHeight="false" outlineLevel="0" collapsed="false">
      <c r="A878" s="12"/>
      <c r="B878" s="12"/>
      <c r="C878" s="23" t="s">
        <v>3713</v>
      </c>
      <c r="D878" s="24"/>
      <c r="E878" s="17"/>
      <c r="F878" s="17"/>
      <c r="G878" s="17"/>
      <c r="H878" s="17"/>
      <c r="I878" s="17" t="s">
        <v>260</v>
      </c>
      <c r="J878" s="32" t="s">
        <v>2199</v>
      </c>
      <c r="K878" s="17"/>
      <c r="L878" s="17"/>
      <c r="M878" s="27"/>
      <c r="N878" s="17"/>
      <c r="O878" s="17"/>
      <c r="P878" s="40" t="s">
        <v>261</v>
      </c>
      <c r="Q878" s="17"/>
      <c r="R878" s="17"/>
      <c r="S878" s="17"/>
      <c r="T878" s="17"/>
      <c r="U878" s="17"/>
      <c r="V878" s="27"/>
      <c r="Z878" s="17"/>
      <c r="AA878" s="29"/>
      <c r="AB878" s="84"/>
      <c r="AC878" s="17"/>
      <c r="AD878" s="17"/>
      <c r="AE878" s="17"/>
    </row>
    <row r="879" customFormat="false" ht="15.75" hidden="false" customHeight="false" outlineLevel="0" collapsed="false">
      <c r="A879" s="12"/>
      <c r="B879" s="12"/>
      <c r="C879" s="23" t="s">
        <v>3714</v>
      </c>
      <c r="D879" s="24"/>
      <c r="E879" s="17"/>
      <c r="F879" s="17"/>
      <c r="G879" s="17"/>
      <c r="H879" s="17"/>
      <c r="I879" s="17" t="s">
        <v>260</v>
      </c>
      <c r="J879" s="32" t="s">
        <v>2199</v>
      </c>
      <c r="K879" s="17"/>
      <c r="L879" s="17"/>
      <c r="M879" s="27"/>
      <c r="N879" s="17"/>
      <c r="O879" s="17"/>
      <c r="P879" s="40" t="s">
        <v>261</v>
      </c>
      <c r="Q879" s="12"/>
      <c r="R879" s="12"/>
      <c r="S879" s="12"/>
      <c r="T879" s="12"/>
      <c r="U879" s="12"/>
      <c r="V879" s="21"/>
      <c r="Z879" s="12"/>
      <c r="AA879" s="29"/>
      <c r="AB879" s="84"/>
      <c r="AC879" s="12"/>
      <c r="AD879" s="12"/>
      <c r="AE879" s="12"/>
    </row>
    <row r="880" customFormat="false" ht="15.75" hidden="false" customHeight="false" outlineLevel="0" collapsed="false">
      <c r="A880" s="12" t="str">
        <f aca="false">IF((AA880&gt;=4), "Y", "N")</f>
        <v>Y</v>
      </c>
      <c r="B880" s="12"/>
      <c r="C880" s="23" t="s">
        <v>3715</v>
      </c>
      <c r="D880" s="24" t="s">
        <v>94</v>
      </c>
      <c r="E880" s="25" t="s">
        <v>3716</v>
      </c>
      <c r="F880" s="17" t="s">
        <v>3717</v>
      </c>
      <c r="G880" s="17" t="s">
        <v>1070</v>
      </c>
      <c r="H880" s="17" t="s">
        <v>72</v>
      </c>
      <c r="I880" s="17" t="s">
        <v>36</v>
      </c>
      <c r="J880" s="17" t="s">
        <v>2199</v>
      </c>
      <c r="K880" s="17" t="n">
        <v>1928</v>
      </c>
      <c r="L880" s="33" t="s">
        <v>275</v>
      </c>
      <c r="M880" s="27"/>
      <c r="N880" s="37" t="s">
        <v>3718</v>
      </c>
      <c r="O880" s="17"/>
      <c r="P880" s="40" t="s">
        <v>111</v>
      </c>
      <c r="Q880" s="20"/>
      <c r="R880" s="20"/>
      <c r="S880" s="20"/>
      <c r="T880" s="20"/>
      <c r="U880" s="20"/>
      <c r="V880" s="45"/>
      <c r="Z880" s="20"/>
      <c r="AA880" s="22" t="n">
        <v>5</v>
      </c>
      <c r="AB880" s="84"/>
      <c r="AC880" s="20"/>
      <c r="AD880" s="20"/>
      <c r="AE880" s="20"/>
    </row>
    <row r="881" customFormat="false" ht="15.75" hidden="false" customHeight="false" outlineLevel="0" collapsed="false">
      <c r="A881" s="12"/>
      <c r="B881" s="12"/>
      <c r="C881" s="23" t="s">
        <v>3719</v>
      </c>
      <c r="D881" s="24"/>
      <c r="E881" s="17"/>
      <c r="F881" s="17"/>
      <c r="G881" s="17"/>
      <c r="H881" s="17"/>
      <c r="I881" s="17" t="s">
        <v>260</v>
      </c>
      <c r="J881" s="32" t="s">
        <v>2199</v>
      </c>
      <c r="K881" s="17"/>
      <c r="L881" s="17"/>
      <c r="M881" s="27"/>
      <c r="N881" s="17"/>
      <c r="O881" s="17"/>
      <c r="P881" s="40" t="s">
        <v>261</v>
      </c>
      <c r="Q881" s="12"/>
      <c r="R881" s="12"/>
      <c r="S881" s="12"/>
      <c r="T881" s="12"/>
      <c r="U881" s="12"/>
      <c r="V881" s="21"/>
      <c r="Z881" s="12"/>
      <c r="AA881" s="29"/>
      <c r="AB881" s="84"/>
      <c r="AC881" s="12"/>
      <c r="AD881" s="12"/>
      <c r="AE881" s="12"/>
    </row>
    <row r="882" customFormat="false" ht="15.75" hidden="false" customHeight="false" outlineLevel="0" collapsed="false">
      <c r="A882" s="12"/>
      <c r="B882" s="12"/>
      <c r="C882" s="23" t="s">
        <v>3720</v>
      </c>
      <c r="D882" s="24"/>
      <c r="E882" s="17"/>
      <c r="F882" s="17"/>
      <c r="G882" s="17"/>
      <c r="H882" s="17"/>
      <c r="I882" s="17" t="s">
        <v>260</v>
      </c>
      <c r="J882" s="32" t="s">
        <v>2199</v>
      </c>
      <c r="K882" s="17"/>
      <c r="L882" s="17"/>
      <c r="M882" s="27"/>
      <c r="N882" s="17"/>
      <c r="O882" s="17"/>
      <c r="P882" s="40" t="s">
        <v>261</v>
      </c>
      <c r="Q882" s="12"/>
      <c r="R882" s="12"/>
      <c r="S882" s="12"/>
      <c r="T882" s="12"/>
      <c r="U882" s="12"/>
      <c r="V882" s="21"/>
      <c r="Z882" s="12"/>
      <c r="AA882" s="29"/>
      <c r="AB882" s="84"/>
      <c r="AC882" s="12"/>
      <c r="AD882" s="12"/>
      <c r="AE882" s="12"/>
    </row>
    <row r="883" customFormat="false" ht="15.75" hidden="false" customHeight="false" outlineLevel="0" collapsed="false">
      <c r="A883" s="12"/>
      <c r="B883" s="12"/>
      <c r="C883" s="23" t="s">
        <v>3721</v>
      </c>
      <c r="D883" s="24"/>
      <c r="E883" s="17"/>
      <c r="F883" s="17"/>
      <c r="G883" s="17"/>
      <c r="H883" s="17"/>
      <c r="I883" s="17" t="s">
        <v>260</v>
      </c>
      <c r="J883" s="32" t="s">
        <v>2199</v>
      </c>
      <c r="K883" s="17"/>
      <c r="L883" s="17"/>
      <c r="M883" s="27"/>
      <c r="N883" s="17"/>
      <c r="O883" s="17"/>
      <c r="P883" s="40" t="s">
        <v>261</v>
      </c>
      <c r="Q883" s="12"/>
      <c r="R883" s="12"/>
      <c r="S883" s="12"/>
      <c r="T883" s="12"/>
      <c r="U883" s="12"/>
      <c r="V883" s="21"/>
      <c r="Z883" s="12"/>
      <c r="AA883" s="29"/>
      <c r="AB883" s="84"/>
      <c r="AC883" s="12"/>
      <c r="AD883" s="12"/>
      <c r="AE883" s="12"/>
    </row>
    <row r="884" customFormat="false" ht="15.75" hidden="false" customHeight="false" outlineLevel="0" collapsed="false">
      <c r="A884" s="12"/>
      <c r="B884" s="12"/>
      <c r="C884" s="23" t="s">
        <v>3722</v>
      </c>
      <c r="D884" s="24"/>
      <c r="E884" s="17"/>
      <c r="F884" s="17"/>
      <c r="G884" s="17"/>
      <c r="H884" s="17"/>
      <c r="I884" s="17" t="s">
        <v>260</v>
      </c>
      <c r="J884" s="32" t="s">
        <v>2199</v>
      </c>
      <c r="K884" s="17"/>
      <c r="L884" s="17"/>
      <c r="M884" s="27"/>
      <c r="N884" s="17"/>
      <c r="O884" s="17"/>
      <c r="P884" s="40" t="s">
        <v>261</v>
      </c>
      <c r="Q884" s="12"/>
      <c r="R884" s="12"/>
      <c r="S884" s="12"/>
      <c r="T884" s="12"/>
      <c r="U884" s="12"/>
      <c r="V884" s="21"/>
      <c r="Z884" s="12"/>
      <c r="AA884" s="29"/>
      <c r="AB884" s="84"/>
      <c r="AC884" s="12"/>
      <c r="AD884" s="12"/>
      <c r="AE884" s="12"/>
    </row>
    <row r="885" customFormat="false" ht="15.75" hidden="false" customHeight="false" outlineLevel="0" collapsed="false">
      <c r="A885" s="12"/>
      <c r="B885" s="12"/>
      <c r="C885" s="23" t="s">
        <v>3723</v>
      </c>
      <c r="D885" s="24"/>
      <c r="E885" s="17"/>
      <c r="F885" s="17"/>
      <c r="G885" s="17"/>
      <c r="H885" s="17"/>
      <c r="I885" s="17" t="s">
        <v>260</v>
      </c>
      <c r="J885" s="32" t="s">
        <v>2199</v>
      </c>
      <c r="K885" s="17"/>
      <c r="L885" s="17"/>
      <c r="M885" s="27"/>
      <c r="N885" s="17"/>
      <c r="O885" s="17"/>
      <c r="P885" s="40" t="s">
        <v>261</v>
      </c>
      <c r="Q885" s="12"/>
      <c r="R885" s="12"/>
      <c r="S885" s="12"/>
      <c r="T885" s="12"/>
      <c r="U885" s="12"/>
      <c r="V885" s="21"/>
      <c r="Z885" s="12"/>
      <c r="AA885" s="29"/>
      <c r="AB885" s="84"/>
      <c r="AC885" s="12"/>
      <c r="AD885" s="12"/>
      <c r="AE885" s="12"/>
    </row>
    <row r="886" customFormat="false" ht="15.75" hidden="false" customHeight="false" outlineLevel="0" collapsed="false">
      <c r="A886" s="12"/>
      <c r="B886" s="12"/>
      <c r="C886" s="23" t="s">
        <v>3724</v>
      </c>
      <c r="D886" s="24" t="s">
        <v>94</v>
      </c>
      <c r="E886" s="25" t="s">
        <v>3725</v>
      </c>
      <c r="F886" s="17" t="s">
        <v>3726</v>
      </c>
      <c r="G886" s="17" t="s">
        <v>476</v>
      </c>
      <c r="H886" s="17" t="s">
        <v>477</v>
      </c>
      <c r="I886" s="17" t="s">
        <v>36</v>
      </c>
      <c r="J886" s="17" t="s">
        <v>2199</v>
      </c>
      <c r="K886" s="17" t="n">
        <v>1987</v>
      </c>
      <c r="L886" s="33" t="s">
        <v>275</v>
      </c>
      <c r="M886" s="27"/>
      <c r="O886" s="17"/>
      <c r="P886" s="40" t="s">
        <v>111</v>
      </c>
      <c r="Q886" s="12"/>
      <c r="R886" s="12"/>
      <c r="S886" s="12"/>
      <c r="T886" s="12"/>
      <c r="U886" s="12"/>
      <c r="V886" s="21"/>
      <c r="Z886" s="12"/>
      <c r="AA886" s="29" t="n">
        <v>3</v>
      </c>
      <c r="AB886" s="84"/>
      <c r="AC886" s="12"/>
      <c r="AD886" s="12"/>
      <c r="AE886" s="12"/>
    </row>
    <row r="887" customFormat="false" ht="15.75" hidden="false" customHeight="false" outlineLevel="0" collapsed="false">
      <c r="A887" s="12" t="str">
        <f aca="false">IF((AA887&gt;=4), "Y", "N")</f>
        <v>Y</v>
      </c>
      <c r="B887" s="12"/>
      <c r="C887" s="23" t="s">
        <v>3727</v>
      </c>
      <c r="D887" s="24" t="s">
        <v>94</v>
      </c>
      <c r="E887" s="25" t="s">
        <v>3728</v>
      </c>
      <c r="F887" s="17" t="s">
        <v>3729</v>
      </c>
      <c r="G887" s="17" t="s">
        <v>296</v>
      </c>
      <c r="H887" s="26" t="s">
        <v>297</v>
      </c>
      <c r="I887" s="17" t="s">
        <v>36</v>
      </c>
      <c r="J887" s="17" t="s">
        <v>2199</v>
      </c>
      <c r="K887" s="17" t="n">
        <v>1912</v>
      </c>
      <c r="L887" s="33" t="s">
        <v>275</v>
      </c>
      <c r="M887" s="27"/>
      <c r="N887" s="17"/>
      <c r="O887" s="17"/>
      <c r="P887" s="40" t="s">
        <v>111</v>
      </c>
      <c r="Q887" s="12"/>
      <c r="R887" s="12"/>
      <c r="S887" s="12"/>
      <c r="T887" s="12"/>
      <c r="U887" s="12"/>
      <c r="V887" s="21"/>
      <c r="Z887" s="12"/>
      <c r="AA887" s="29" t="n">
        <v>5</v>
      </c>
      <c r="AB887" s="84"/>
      <c r="AC887" s="12"/>
      <c r="AD887" s="12"/>
      <c r="AE887" s="12"/>
    </row>
    <row r="888" customFormat="false" ht="15.75" hidden="false" customHeight="false" outlineLevel="0" collapsed="false">
      <c r="A888" s="12" t="str">
        <f aca="false">IF((AA888&gt;=4), "Y", "N")</f>
        <v>Y</v>
      </c>
      <c r="B888" s="13"/>
      <c r="C888" s="31" t="s">
        <v>3730</v>
      </c>
      <c r="D888" s="24" t="s">
        <v>94</v>
      </c>
      <c r="E888" s="32" t="s">
        <v>3731</v>
      </c>
      <c r="F888" s="17"/>
      <c r="G888" s="17"/>
      <c r="H888" s="17"/>
      <c r="I888" s="26" t="s">
        <v>266</v>
      </c>
      <c r="J888" s="32" t="s">
        <v>2199</v>
      </c>
      <c r="K888" s="33" t="n">
        <v>1868</v>
      </c>
      <c r="L888" s="33" t="s">
        <v>275</v>
      </c>
      <c r="M888" s="27"/>
      <c r="N888" s="17" t="s">
        <v>3732</v>
      </c>
      <c r="O888" s="17"/>
      <c r="P888" s="40" t="s">
        <v>268</v>
      </c>
      <c r="Q888" s="12"/>
      <c r="R888" s="12"/>
      <c r="S888" s="12"/>
      <c r="T888" s="12"/>
      <c r="U888" s="12"/>
      <c r="V888" s="21"/>
      <c r="Z888" s="12"/>
      <c r="AA888" s="29" t="str">
        <f aca="false">IF(P888="OD500 MX", "5", " ")</f>
        <v>5</v>
      </c>
      <c r="AB888" s="70"/>
      <c r="AC888" s="12"/>
      <c r="AD888" s="12"/>
      <c r="AE888" s="12"/>
    </row>
    <row r="889" customFormat="false" ht="15.75" hidden="false" customHeight="false" outlineLevel="0" collapsed="false">
      <c r="A889" s="12" t="str">
        <f aca="false">IF((AA889&gt;=4), "Y", "N")</f>
        <v>Y</v>
      </c>
      <c r="B889" s="12"/>
      <c r="C889" s="23" t="s">
        <v>3730</v>
      </c>
      <c r="D889" s="24" t="s">
        <v>94</v>
      </c>
      <c r="E889" s="25" t="s">
        <v>3733</v>
      </c>
      <c r="F889" s="17" t="s">
        <v>3734</v>
      </c>
      <c r="G889" s="17" t="s">
        <v>145</v>
      </c>
      <c r="H889" s="26" t="s">
        <v>146</v>
      </c>
      <c r="I889" s="17" t="s">
        <v>36</v>
      </c>
      <c r="J889" s="17" t="s">
        <v>2199</v>
      </c>
      <c r="K889" s="17" t="n">
        <v>1868</v>
      </c>
      <c r="L889" s="33" t="s">
        <v>275</v>
      </c>
      <c r="M889" s="27"/>
      <c r="N889" s="17"/>
      <c r="O889" s="17"/>
      <c r="P889" s="40" t="s">
        <v>111</v>
      </c>
      <c r="Q889" s="20"/>
      <c r="R889" s="20"/>
      <c r="S889" s="20"/>
      <c r="T889" s="20"/>
      <c r="U889" s="20"/>
      <c r="V889" s="45"/>
      <c r="Z889" s="20"/>
      <c r="AA889" s="22" t="n">
        <v>5</v>
      </c>
      <c r="AB889" s="84"/>
      <c r="AC889" s="20"/>
      <c r="AD889" s="20"/>
      <c r="AE889" s="20"/>
    </row>
    <row r="890" customFormat="false" ht="15.75" hidden="false" customHeight="false" outlineLevel="0" collapsed="false">
      <c r="A890" s="12" t="str">
        <f aca="false">IF((AA890&gt;=4), "Y", "N")</f>
        <v>Y</v>
      </c>
      <c r="B890" s="12"/>
      <c r="C890" s="23" t="s">
        <v>3735</v>
      </c>
      <c r="D890" s="24" t="s">
        <v>94</v>
      </c>
      <c r="E890" s="25" t="s">
        <v>3736</v>
      </c>
      <c r="F890" s="17" t="s">
        <v>3737</v>
      </c>
      <c r="G890" s="17" t="s">
        <v>3738</v>
      </c>
      <c r="H890" s="26" t="s">
        <v>336</v>
      </c>
      <c r="I890" s="17" t="s">
        <v>36</v>
      </c>
      <c r="J890" s="17" t="s">
        <v>2199</v>
      </c>
      <c r="K890" s="17" t="n">
        <v>1926</v>
      </c>
      <c r="L890" s="33" t="s">
        <v>275</v>
      </c>
      <c r="M890" s="27"/>
      <c r="N890" s="17"/>
      <c r="O890" s="17"/>
      <c r="P890" s="40" t="s">
        <v>111</v>
      </c>
      <c r="Q890" s="12"/>
      <c r="R890" s="12"/>
      <c r="S890" s="12"/>
      <c r="T890" s="12"/>
      <c r="U890" s="12"/>
      <c r="V890" s="21"/>
      <c r="Z890" s="12"/>
      <c r="AA890" s="29" t="n">
        <v>5</v>
      </c>
      <c r="AB890" s="84"/>
      <c r="AC890" s="12"/>
      <c r="AD890" s="12"/>
      <c r="AE890" s="12"/>
    </row>
    <row r="891" customFormat="false" ht="15.75" hidden="false" customHeight="false" outlineLevel="0" collapsed="false">
      <c r="A891" s="12"/>
      <c r="B891" s="12"/>
      <c r="C891" s="23" t="s">
        <v>3739</v>
      </c>
      <c r="D891" s="24"/>
      <c r="E891" s="17"/>
      <c r="F891" s="17"/>
      <c r="G891" s="17"/>
      <c r="H891" s="17"/>
      <c r="I891" s="17" t="s">
        <v>260</v>
      </c>
      <c r="J891" s="32" t="s">
        <v>2199</v>
      </c>
      <c r="K891" s="17"/>
      <c r="L891" s="17"/>
      <c r="M891" s="27"/>
      <c r="N891" s="17"/>
      <c r="O891" s="17"/>
      <c r="P891" s="40" t="s">
        <v>261</v>
      </c>
      <c r="Q891" s="12"/>
      <c r="R891" s="12"/>
      <c r="S891" s="12"/>
      <c r="T891" s="12"/>
      <c r="U891" s="12"/>
      <c r="V891" s="21"/>
      <c r="Z891" s="12"/>
      <c r="AA891" s="29"/>
      <c r="AB891" s="84"/>
      <c r="AC891" s="12"/>
      <c r="AD891" s="12"/>
      <c r="AE891" s="12"/>
    </row>
    <row r="892" customFormat="false" ht="15.75" hidden="false" customHeight="false" outlineLevel="0" collapsed="false">
      <c r="A892" s="12"/>
      <c r="B892" s="12"/>
      <c r="C892" s="23" t="s">
        <v>3740</v>
      </c>
      <c r="D892" s="24"/>
      <c r="E892" s="17"/>
      <c r="F892" s="17"/>
      <c r="G892" s="17"/>
      <c r="H892" s="17"/>
      <c r="I892" s="17" t="s">
        <v>260</v>
      </c>
      <c r="J892" s="32" t="s">
        <v>2199</v>
      </c>
      <c r="K892" s="17"/>
      <c r="L892" s="17"/>
      <c r="M892" s="27"/>
      <c r="N892" s="17"/>
      <c r="O892" s="17"/>
      <c r="P892" s="40" t="s">
        <v>261</v>
      </c>
      <c r="Q892" s="12"/>
      <c r="R892" s="12"/>
      <c r="S892" s="12"/>
      <c r="T892" s="12"/>
      <c r="U892" s="12"/>
      <c r="V892" s="21"/>
      <c r="Z892" s="12"/>
      <c r="AA892" s="29"/>
      <c r="AB892" s="84"/>
      <c r="AC892" s="12"/>
      <c r="AD892" s="12"/>
      <c r="AE892" s="12"/>
    </row>
    <row r="893" customFormat="false" ht="15.75" hidden="false" customHeight="false" outlineLevel="0" collapsed="false">
      <c r="A893" s="12"/>
      <c r="B893" s="12"/>
      <c r="C893" s="23" t="s">
        <v>3741</v>
      </c>
      <c r="D893" s="24"/>
      <c r="E893" s="17"/>
      <c r="F893" s="17"/>
      <c r="G893" s="17"/>
      <c r="H893" s="17"/>
      <c r="I893" s="17" t="s">
        <v>260</v>
      </c>
      <c r="J893" s="32" t="s">
        <v>2199</v>
      </c>
      <c r="K893" s="17"/>
      <c r="L893" s="17"/>
      <c r="M893" s="27"/>
      <c r="N893" s="17"/>
      <c r="O893" s="17"/>
      <c r="P893" s="40" t="s">
        <v>261</v>
      </c>
      <c r="Q893" s="12"/>
      <c r="R893" s="12"/>
      <c r="S893" s="12"/>
      <c r="T893" s="12"/>
      <c r="U893" s="12"/>
      <c r="V893" s="21"/>
      <c r="Z893" s="12"/>
      <c r="AA893" s="29"/>
      <c r="AB893" s="84"/>
      <c r="AC893" s="12"/>
      <c r="AD893" s="12"/>
      <c r="AE893" s="12"/>
    </row>
    <row r="894" customFormat="false" ht="15.75" hidden="false" customHeight="false" outlineLevel="0" collapsed="false">
      <c r="A894" s="12" t="str">
        <f aca="false">IF((AA894&gt;=4), "Y", "N")</f>
        <v>Y</v>
      </c>
      <c r="B894" s="12"/>
      <c r="C894" s="23" t="s">
        <v>3742</v>
      </c>
      <c r="D894" s="24" t="s">
        <v>94</v>
      </c>
      <c r="E894" s="25" t="s">
        <v>3743</v>
      </c>
      <c r="F894" s="17" t="s">
        <v>3744</v>
      </c>
      <c r="G894" s="17" t="s">
        <v>3745</v>
      </c>
      <c r="H894" s="26" t="s">
        <v>336</v>
      </c>
      <c r="I894" s="17" t="s">
        <v>36</v>
      </c>
      <c r="J894" s="17" t="s">
        <v>2199</v>
      </c>
      <c r="K894" s="17" t="n">
        <v>1937</v>
      </c>
      <c r="L894" s="33" t="s">
        <v>275</v>
      </c>
      <c r="M894" s="27"/>
      <c r="N894" s="39" t="s">
        <v>315</v>
      </c>
      <c r="O894" s="17"/>
      <c r="P894" s="40" t="s">
        <v>111</v>
      </c>
      <c r="Q894" s="12"/>
      <c r="R894" s="12"/>
      <c r="S894" s="12"/>
      <c r="T894" s="12"/>
      <c r="U894" s="12"/>
      <c r="V894" s="21"/>
      <c r="Z894" s="12"/>
      <c r="AA894" s="29" t="n">
        <v>5</v>
      </c>
      <c r="AB894" s="84"/>
      <c r="AC894" s="12"/>
      <c r="AD894" s="12"/>
      <c r="AE894" s="12"/>
    </row>
    <row r="895" customFormat="false" ht="15.75" hidden="false" customHeight="false" outlineLevel="0" collapsed="false">
      <c r="A895" s="12"/>
      <c r="B895" s="12"/>
      <c r="C895" s="23" t="s">
        <v>2236</v>
      </c>
      <c r="D895" s="24"/>
      <c r="E895" s="17"/>
      <c r="F895" s="17"/>
      <c r="G895" s="17"/>
      <c r="H895" s="17"/>
      <c r="I895" s="17" t="s">
        <v>260</v>
      </c>
      <c r="J895" s="32" t="s">
        <v>2199</v>
      </c>
      <c r="K895" s="17"/>
      <c r="L895" s="17"/>
      <c r="M895" s="27"/>
      <c r="N895" s="17"/>
      <c r="O895" s="17"/>
      <c r="P895" s="40" t="s">
        <v>261</v>
      </c>
      <c r="Q895" s="12"/>
      <c r="R895" s="12"/>
      <c r="S895" s="12"/>
      <c r="T895" s="12"/>
      <c r="U895" s="12"/>
      <c r="V895" s="21"/>
      <c r="Z895" s="12"/>
      <c r="AA895" s="29"/>
      <c r="AB895" s="84"/>
      <c r="AC895" s="12"/>
      <c r="AD895" s="12"/>
      <c r="AE895" s="12"/>
    </row>
    <row r="896" customFormat="false" ht="15.75" hidden="false" customHeight="false" outlineLevel="0" collapsed="false">
      <c r="A896" s="12"/>
      <c r="B896" s="12"/>
      <c r="C896" s="23" t="s">
        <v>3746</v>
      </c>
      <c r="D896" s="24"/>
      <c r="E896" s="17"/>
      <c r="F896" s="17"/>
      <c r="G896" s="17"/>
      <c r="H896" s="17"/>
      <c r="I896" s="17" t="s">
        <v>260</v>
      </c>
      <c r="J896" s="32" t="s">
        <v>2199</v>
      </c>
      <c r="K896" s="17"/>
      <c r="L896" s="17"/>
      <c r="M896" s="27"/>
      <c r="N896" s="17"/>
      <c r="O896" s="17"/>
      <c r="P896" s="40" t="s">
        <v>261</v>
      </c>
      <c r="Q896" s="12"/>
      <c r="R896" s="12"/>
      <c r="S896" s="12"/>
      <c r="T896" s="12"/>
      <c r="U896" s="12"/>
      <c r="V896" s="21"/>
      <c r="Z896" s="12"/>
      <c r="AA896" s="29"/>
      <c r="AB896" s="84"/>
      <c r="AC896" s="12"/>
      <c r="AD896" s="12"/>
      <c r="AE896" s="12"/>
    </row>
    <row r="897" customFormat="false" ht="15.75" hidden="false" customHeight="false" outlineLevel="0" collapsed="false">
      <c r="A897" s="12"/>
      <c r="B897" s="12"/>
      <c r="C897" s="23" t="s">
        <v>3747</v>
      </c>
      <c r="D897" s="24"/>
      <c r="E897" s="17"/>
      <c r="F897" s="17"/>
      <c r="G897" s="17"/>
      <c r="H897" s="17"/>
      <c r="I897" s="17" t="s">
        <v>260</v>
      </c>
      <c r="J897" s="32" t="s">
        <v>2199</v>
      </c>
      <c r="K897" s="17"/>
      <c r="L897" s="17"/>
      <c r="M897" s="27"/>
      <c r="N897" s="17"/>
      <c r="O897" s="17"/>
      <c r="P897" s="40" t="s">
        <v>261</v>
      </c>
      <c r="Q897" s="12"/>
      <c r="R897" s="12"/>
      <c r="S897" s="12"/>
      <c r="T897" s="12"/>
      <c r="U897" s="12"/>
      <c r="V897" s="21"/>
      <c r="Z897" s="12"/>
      <c r="AA897" s="29"/>
      <c r="AB897" s="84"/>
      <c r="AC897" s="12"/>
      <c r="AD897" s="12"/>
      <c r="AE897" s="12"/>
    </row>
    <row r="898" customFormat="false" ht="15.75" hidden="false" customHeight="false" outlineLevel="0" collapsed="false">
      <c r="A898" s="12"/>
      <c r="B898" s="12"/>
      <c r="C898" s="23" t="s">
        <v>3748</v>
      </c>
      <c r="D898" s="24"/>
      <c r="E898" s="17"/>
      <c r="F898" s="17"/>
      <c r="G898" s="17"/>
      <c r="H898" s="17"/>
      <c r="I898" s="17" t="s">
        <v>260</v>
      </c>
      <c r="J898" s="32" t="s">
        <v>2199</v>
      </c>
      <c r="K898" s="17"/>
      <c r="L898" s="17"/>
      <c r="M898" s="27"/>
      <c r="N898" s="17"/>
      <c r="O898" s="17"/>
      <c r="P898" s="40" t="s">
        <v>261</v>
      </c>
      <c r="Q898" s="12"/>
      <c r="R898" s="12"/>
      <c r="S898" s="12"/>
      <c r="T898" s="12"/>
      <c r="U898" s="12"/>
      <c r="V898" s="21"/>
      <c r="Z898" s="12"/>
      <c r="AA898" s="29"/>
      <c r="AB898" s="84"/>
      <c r="AC898" s="12"/>
      <c r="AD898" s="12"/>
      <c r="AE898" s="12"/>
    </row>
    <row r="899" customFormat="false" ht="15.75" hidden="false" customHeight="false" outlineLevel="0" collapsed="false">
      <c r="A899" s="12"/>
      <c r="B899" s="12"/>
      <c r="C899" s="23" t="s">
        <v>3749</v>
      </c>
      <c r="D899" s="24"/>
      <c r="E899" s="17"/>
      <c r="F899" s="17"/>
      <c r="G899" s="17"/>
      <c r="H899" s="17"/>
      <c r="I899" s="17" t="s">
        <v>260</v>
      </c>
      <c r="J899" s="32" t="s">
        <v>2199</v>
      </c>
      <c r="K899" s="17"/>
      <c r="L899" s="17"/>
      <c r="M899" s="27"/>
      <c r="N899" s="17"/>
      <c r="O899" s="17"/>
      <c r="P899" s="40" t="s">
        <v>261</v>
      </c>
      <c r="Q899" s="20"/>
      <c r="R899" s="20"/>
      <c r="S899" s="20"/>
      <c r="T899" s="20"/>
      <c r="U899" s="20"/>
      <c r="V899" s="45"/>
      <c r="Z899" s="20"/>
      <c r="AA899" s="22"/>
      <c r="AB899" s="84"/>
      <c r="AC899" s="20"/>
      <c r="AD899" s="20"/>
      <c r="AE899" s="20"/>
    </row>
    <row r="900" customFormat="false" ht="15.75" hidden="false" customHeight="false" outlineLevel="0" collapsed="false">
      <c r="A900" s="12"/>
      <c r="B900" s="12"/>
      <c r="C900" s="23" t="s">
        <v>3750</v>
      </c>
      <c r="D900" s="24"/>
      <c r="E900" s="17"/>
      <c r="F900" s="17"/>
      <c r="G900" s="17"/>
      <c r="H900" s="17"/>
      <c r="I900" s="17" t="s">
        <v>260</v>
      </c>
      <c r="J900" s="32" t="s">
        <v>2199</v>
      </c>
      <c r="K900" s="17"/>
      <c r="L900" s="17"/>
      <c r="M900" s="27"/>
      <c r="N900" s="17"/>
      <c r="O900" s="17"/>
      <c r="P900" s="40" t="s">
        <v>261</v>
      </c>
      <c r="Q900" s="12"/>
      <c r="R900" s="12"/>
      <c r="S900" s="12"/>
      <c r="T900" s="12"/>
      <c r="U900" s="12"/>
      <c r="V900" s="21"/>
      <c r="Z900" s="12"/>
      <c r="AA900" s="29"/>
      <c r="AB900" s="84"/>
      <c r="AC900" s="12"/>
      <c r="AD900" s="12"/>
      <c r="AE900" s="12"/>
    </row>
    <row r="901" customFormat="false" ht="15.75" hidden="false" customHeight="false" outlineLevel="0" collapsed="false">
      <c r="A901" s="12" t="str">
        <f aca="false">IF((AA901&gt;=4), "Y", "N")</f>
        <v>Y</v>
      </c>
      <c r="B901" s="12"/>
      <c r="C901" s="23" t="s">
        <v>3751</v>
      </c>
      <c r="D901" s="24" t="s">
        <v>94</v>
      </c>
      <c r="E901" s="25" t="s">
        <v>3752</v>
      </c>
      <c r="F901" s="17" t="s">
        <v>3753</v>
      </c>
      <c r="G901" s="17" t="s">
        <v>3754</v>
      </c>
      <c r="H901" s="26" t="s">
        <v>477</v>
      </c>
      <c r="I901" s="17" t="s">
        <v>36</v>
      </c>
      <c r="J901" s="17" t="s">
        <v>2199</v>
      </c>
      <c r="K901" s="17" t="n">
        <v>1922</v>
      </c>
      <c r="L901" s="33" t="s">
        <v>275</v>
      </c>
      <c r="M901" s="27"/>
      <c r="N901" s="17"/>
      <c r="O901" s="17"/>
      <c r="P901" s="40" t="s">
        <v>111</v>
      </c>
      <c r="Q901" s="12"/>
      <c r="R901" s="12"/>
      <c r="S901" s="12"/>
      <c r="T901" s="12"/>
      <c r="U901" s="12"/>
      <c r="V901" s="21"/>
      <c r="Z901" s="12"/>
      <c r="AA901" s="29" t="n">
        <v>5</v>
      </c>
      <c r="AB901" s="84"/>
      <c r="AC901" s="12"/>
      <c r="AD901" s="12"/>
      <c r="AE901" s="12"/>
    </row>
    <row r="902" customFormat="false" ht="15.75" hidden="false" customHeight="false" outlineLevel="0" collapsed="false">
      <c r="A902" s="12"/>
      <c r="B902" s="12"/>
      <c r="C902" s="23" t="s">
        <v>3755</v>
      </c>
      <c r="D902" s="24" t="s">
        <v>94</v>
      </c>
      <c r="E902" s="25" t="s">
        <v>3756</v>
      </c>
      <c r="F902" s="17" t="s">
        <v>3757</v>
      </c>
      <c r="G902" s="17" t="s">
        <v>495</v>
      </c>
      <c r="H902" s="26" t="s">
        <v>72</v>
      </c>
      <c r="I902" s="17" t="s">
        <v>36</v>
      </c>
      <c r="J902" s="17" t="s">
        <v>2199</v>
      </c>
      <c r="K902" s="17" t="n">
        <v>2012</v>
      </c>
      <c r="L902" s="38" t="s">
        <v>73</v>
      </c>
      <c r="M902" s="27"/>
      <c r="N902" s="39" t="s">
        <v>663</v>
      </c>
      <c r="O902" s="17"/>
      <c r="P902" s="40" t="s">
        <v>111</v>
      </c>
      <c r="Q902" s="12"/>
      <c r="R902" s="12"/>
      <c r="S902" s="12"/>
      <c r="T902" s="12"/>
      <c r="U902" s="12"/>
      <c r="V902" s="21"/>
      <c r="Z902" s="12"/>
      <c r="AA902" s="29" t="n">
        <v>5</v>
      </c>
      <c r="AB902" s="84"/>
      <c r="AC902" s="12"/>
      <c r="AD902" s="12"/>
      <c r="AE902" s="12"/>
    </row>
    <row r="903" customFormat="false" ht="15.75" hidden="false" customHeight="false" outlineLevel="0" collapsed="false">
      <c r="A903" s="12"/>
      <c r="B903" s="12"/>
      <c r="C903" s="23" t="s">
        <v>3758</v>
      </c>
      <c r="D903" s="24" t="s">
        <v>94</v>
      </c>
      <c r="E903" s="25" t="s">
        <v>3759</v>
      </c>
      <c r="F903" s="17" t="s">
        <v>3760</v>
      </c>
      <c r="G903" s="17" t="s">
        <v>3761</v>
      </c>
      <c r="H903" s="26" t="s">
        <v>477</v>
      </c>
      <c r="I903" s="17" t="s">
        <v>36</v>
      </c>
      <c r="J903" s="17" t="s">
        <v>2199</v>
      </c>
      <c r="K903" s="17" t="n">
        <v>1912</v>
      </c>
      <c r="L903" s="33" t="s">
        <v>275</v>
      </c>
      <c r="M903" s="27"/>
      <c r="N903" s="17"/>
      <c r="O903" s="17"/>
      <c r="P903" s="40" t="s">
        <v>111</v>
      </c>
      <c r="Q903" s="12"/>
      <c r="R903" s="12"/>
      <c r="S903" s="12"/>
      <c r="T903" s="12"/>
      <c r="U903" s="12"/>
      <c r="V903" s="21"/>
      <c r="Z903" s="12"/>
      <c r="AA903" s="29" t="n">
        <v>3</v>
      </c>
      <c r="AB903" s="84"/>
      <c r="AC903" s="12"/>
      <c r="AD903" s="12"/>
      <c r="AE903" s="12"/>
    </row>
    <row r="904" customFormat="false" ht="15.75" hidden="false" customHeight="false" outlineLevel="0" collapsed="false">
      <c r="A904" s="12" t="str">
        <f aca="false">IF((AA904&gt;=4), "Y", "N")</f>
        <v>Y</v>
      </c>
      <c r="B904" s="13"/>
      <c r="C904" s="31" t="s">
        <v>3762</v>
      </c>
      <c r="D904" s="24" t="s">
        <v>94</v>
      </c>
      <c r="E904" s="32" t="s">
        <v>3763</v>
      </c>
      <c r="F904" s="17" t="s">
        <v>3764</v>
      </c>
      <c r="G904" s="17"/>
      <c r="H904" s="17"/>
      <c r="I904" s="26" t="s">
        <v>266</v>
      </c>
      <c r="J904" s="32" t="s">
        <v>1816</v>
      </c>
      <c r="K904" s="33" t="n">
        <v>1991</v>
      </c>
      <c r="L904" s="38" t="s">
        <v>482</v>
      </c>
      <c r="M904" s="27"/>
      <c r="N904" s="17" t="s">
        <v>3765</v>
      </c>
      <c r="O904" s="17"/>
      <c r="P904" s="40" t="s">
        <v>268</v>
      </c>
      <c r="Q904" s="12"/>
      <c r="R904" s="12"/>
      <c r="S904" s="12"/>
      <c r="T904" s="12"/>
      <c r="U904" s="12"/>
      <c r="V904" s="21"/>
      <c r="Z904" s="12"/>
      <c r="AA904" s="29" t="str">
        <f aca="false">IF(P904="OD500 MX", "5", " ")</f>
        <v>5</v>
      </c>
      <c r="AB904" s="70"/>
      <c r="AC904" s="12"/>
      <c r="AD904" s="12"/>
      <c r="AE904" s="12"/>
    </row>
    <row r="905" customFormat="false" ht="15.75" hidden="false" customHeight="false" outlineLevel="0" collapsed="false">
      <c r="A905" s="12"/>
      <c r="B905" s="12"/>
      <c r="C905" s="23" t="s">
        <v>3766</v>
      </c>
      <c r="D905" s="24"/>
      <c r="E905" s="25" t="s">
        <v>3767</v>
      </c>
      <c r="F905" s="17" t="s">
        <v>3768</v>
      </c>
      <c r="G905" s="17" t="s">
        <v>44</v>
      </c>
      <c r="H905" s="17"/>
      <c r="I905" s="26" t="s">
        <v>45</v>
      </c>
      <c r="J905" s="17" t="s">
        <v>3769</v>
      </c>
      <c r="K905" s="17"/>
      <c r="L905" s="17"/>
      <c r="M905" s="27"/>
      <c r="N905" s="17"/>
      <c r="O905" s="17"/>
      <c r="P905" s="28" t="s">
        <v>46</v>
      </c>
      <c r="V905" s="60"/>
      <c r="AA905" s="63"/>
      <c r="AB905" s="84"/>
    </row>
    <row r="906" customFormat="false" ht="15.75" hidden="false" customHeight="false" outlineLevel="0" collapsed="false">
      <c r="A906" s="12"/>
      <c r="B906" s="12"/>
      <c r="C906" s="23" t="s">
        <v>3770</v>
      </c>
      <c r="D906" s="24"/>
      <c r="E906" s="25" t="s">
        <v>3771</v>
      </c>
      <c r="F906" s="17" t="s">
        <v>3772</v>
      </c>
      <c r="G906" s="17" t="s">
        <v>44</v>
      </c>
      <c r="H906" s="17"/>
      <c r="I906" s="26" t="s">
        <v>45</v>
      </c>
      <c r="J906" s="17" t="s">
        <v>3260</v>
      </c>
      <c r="K906" s="17"/>
      <c r="L906" s="17"/>
      <c r="M906" s="27"/>
      <c r="N906" s="17"/>
      <c r="O906" s="17"/>
      <c r="P906" s="28" t="s">
        <v>46</v>
      </c>
      <c r="Q906" s="12"/>
      <c r="R906" s="12"/>
      <c r="S906" s="12"/>
      <c r="T906" s="12"/>
      <c r="U906" s="12"/>
      <c r="V906" s="21"/>
      <c r="Z906" s="12"/>
      <c r="AA906" s="29"/>
      <c r="AB906" s="84"/>
      <c r="AC906" s="12"/>
      <c r="AD906" s="12"/>
      <c r="AE906" s="12"/>
    </row>
    <row r="907" customFormat="false" ht="15.75" hidden="false" customHeight="false" outlineLevel="0" collapsed="false">
      <c r="A907" s="12"/>
      <c r="B907" s="12"/>
      <c r="C907" s="23" t="s">
        <v>3773</v>
      </c>
      <c r="D907" s="24"/>
      <c r="E907" s="25" t="s">
        <v>3774</v>
      </c>
      <c r="F907" s="17"/>
      <c r="G907" s="17" t="s">
        <v>3775</v>
      </c>
      <c r="H907" s="17"/>
      <c r="I907" s="26" t="s">
        <v>1800</v>
      </c>
      <c r="J907" s="17" t="s">
        <v>3260</v>
      </c>
      <c r="K907" s="17"/>
      <c r="L907" s="17"/>
      <c r="M907" s="27"/>
      <c r="N907" s="17"/>
      <c r="O907" s="17"/>
      <c r="P907" s="28" t="s">
        <v>46</v>
      </c>
      <c r="Q907" s="17"/>
      <c r="R907" s="17"/>
      <c r="S907" s="17"/>
      <c r="T907" s="17"/>
      <c r="U907" s="17"/>
      <c r="V907" s="27"/>
      <c r="Z907" s="17"/>
      <c r="AA907" s="29"/>
      <c r="AB907" s="84"/>
      <c r="AC907" s="17"/>
      <c r="AD907" s="17"/>
      <c r="AE907" s="17"/>
    </row>
    <row r="908" customFormat="false" ht="15.75" hidden="false" customHeight="false" outlineLevel="0" collapsed="false">
      <c r="A908" s="12"/>
      <c r="B908" s="12"/>
      <c r="C908" s="23" t="s">
        <v>3776</v>
      </c>
      <c r="D908" s="24"/>
      <c r="E908" s="25" t="s">
        <v>3777</v>
      </c>
      <c r="F908" s="17"/>
      <c r="G908" s="17" t="s">
        <v>2622</v>
      </c>
      <c r="H908" s="17"/>
      <c r="I908" s="26" t="s">
        <v>1800</v>
      </c>
      <c r="J908" s="17" t="s">
        <v>3260</v>
      </c>
      <c r="K908" s="17"/>
      <c r="L908" s="17"/>
      <c r="M908" s="27"/>
      <c r="N908" s="17"/>
      <c r="O908" s="17"/>
      <c r="P908" s="28" t="s">
        <v>46</v>
      </c>
      <c r="Q908" s="17"/>
      <c r="R908" s="17"/>
      <c r="S908" s="17"/>
      <c r="T908" s="17"/>
      <c r="U908" s="17"/>
      <c r="V908" s="27"/>
      <c r="Z908" s="17"/>
      <c r="AA908" s="29"/>
      <c r="AB908" s="84"/>
      <c r="AC908" s="17"/>
      <c r="AD908" s="17"/>
      <c r="AE908" s="17"/>
    </row>
    <row r="909" customFormat="false" ht="15.75" hidden="false" customHeight="false" outlineLevel="0" collapsed="false">
      <c r="A909" s="12"/>
      <c r="B909" s="12"/>
      <c r="C909" s="23" t="s">
        <v>3778</v>
      </c>
      <c r="D909" s="24"/>
      <c r="E909" s="25" t="s">
        <v>3779</v>
      </c>
      <c r="F909" s="17"/>
      <c r="G909" s="17" t="s">
        <v>2622</v>
      </c>
      <c r="H909" s="17"/>
      <c r="I909" s="26" t="s">
        <v>1800</v>
      </c>
      <c r="J909" s="17" t="s">
        <v>3260</v>
      </c>
      <c r="K909" s="17"/>
      <c r="L909" s="17"/>
      <c r="M909" s="27"/>
      <c r="N909" s="17"/>
      <c r="O909" s="17"/>
      <c r="P909" s="28" t="s">
        <v>46</v>
      </c>
      <c r="Q909" s="12"/>
      <c r="R909" s="12"/>
      <c r="S909" s="12"/>
      <c r="T909" s="12"/>
      <c r="U909" s="12"/>
      <c r="V909" s="21"/>
      <c r="Z909" s="12"/>
      <c r="AA909" s="29"/>
      <c r="AB909" s="84"/>
      <c r="AC909" s="12"/>
      <c r="AD909" s="12"/>
      <c r="AE909" s="12"/>
    </row>
    <row r="910" customFormat="false" ht="15.75" hidden="false" customHeight="false" outlineLevel="0" collapsed="false">
      <c r="A910" s="12"/>
      <c r="B910" s="12"/>
      <c r="C910" s="23" t="s">
        <v>3780</v>
      </c>
      <c r="D910" s="24"/>
      <c r="E910" s="25" t="s">
        <v>3781</v>
      </c>
      <c r="F910" s="17"/>
      <c r="G910" s="17" t="s">
        <v>2622</v>
      </c>
      <c r="H910" s="17"/>
      <c r="I910" s="26" t="s">
        <v>1800</v>
      </c>
      <c r="J910" s="17" t="s">
        <v>3260</v>
      </c>
      <c r="K910" s="17"/>
      <c r="L910" s="17"/>
      <c r="M910" s="27"/>
      <c r="N910" s="17"/>
      <c r="O910" s="17"/>
      <c r="P910" s="28" t="s">
        <v>46</v>
      </c>
      <c r="Q910" s="12"/>
      <c r="R910" s="12"/>
      <c r="S910" s="12"/>
      <c r="T910" s="12"/>
      <c r="U910" s="12"/>
      <c r="V910" s="21"/>
      <c r="Z910" s="12"/>
      <c r="AA910" s="29"/>
      <c r="AB910" s="84"/>
      <c r="AC910" s="12"/>
      <c r="AD910" s="12"/>
      <c r="AE910" s="12"/>
    </row>
    <row r="911" customFormat="false" ht="15.75" hidden="false" customHeight="false" outlineLevel="0" collapsed="false">
      <c r="A911" s="12"/>
      <c r="B911" s="12"/>
      <c r="C911" s="23" t="s">
        <v>3782</v>
      </c>
      <c r="D911" s="24"/>
      <c r="E911" s="25" t="s">
        <v>3783</v>
      </c>
      <c r="F911" s="17"/>
      <c r="G911" s="17" t="s">
        <v>2622</v>
      </c>
      <c r="H911" s="17"/>
      <c r="I911" s="26" t="s">
        <v>1800</v>
      </c>
      <c r="J911" s="17" t="s">
        <v>3260</v>
      </c>
      <c r="K911" s="17"/>
      <c r="L911" s="17"/>
      <c r="M911" s="27"/>
      <c r="N911" s="17"/>
      <c r="O911" s="17"/>
      <c r="P911" s="28" t="s">
        <v>46</v>
      </c>
      <c r="Q911" s="12"/>
      <c r="R911" s="12"/>
      <c r="S911" s="12"/>
      <c r="T911" s="12"/>
      <c r="U911" s="12"/>
      <c r="V911" s="21"/>
      <c r="Z911" s="12"/>
      <c r="AA911" s="29"/>
      <c r="AB911" s="84"/>
      <c r="AC911" s="12"/>
      <c r="AD911" s="12"/>
      <c r="AE911" s="12"/>
    </row>
    <row r="912" customFormat="false" ht="15.75" hidden="false" customHeight="false" outlineLevel="0" collapsed="false">
      <c r="A912" s="12"/>
      <c r="B912" s="12"/>
      <c r="C912" s="23" t="s">
        <v>3784</v>
      </c>
      <c r="D912" s="24"/>
      <c r="E912" s="25" t="s">
        <v>3785</v>
      </c>
      <c r="F912" s="17"/>
      <c r="G912" s="17" t="s">
        <v>197</v>
      </c>
      <c r="H912" s="17"/>
      <c r="I912" s="26" t="s">
        <v>198</v>
      </c>
      <c r="J912" s="17" t="s">
        <v>3260</v>
      </c>
      <c r="K912" s="17"/>
      <c r="L912" s="17"/>
      <c r="M912" s="27"/>
      <c r="N912" s="17"/>
      <c r="O912" s="17"/>
      <c r="P912" s="28" t="s">
        <v>46</v>
      </c>
      <c r="Q912" s="20"/>
      <c r="R912" s="20"/>
      <c r="S912" s="20"/>
      <c r="T912" s="20"/>
      <c r="U912" s="20"/>
      <c r="V912" s="45"/>
      <c r="Z912" s="20"/>
      <c r="AA912" s="22"/>
      <c r="AB912" s="84"/>
      <c r="AC912" s="20"/>
      <c r="AD912" s="20"/>
      <c r="AE912" s="20"/>
    </row>
    <row r="913" customFormat="false" ht="15.75" hidden="false" customHeight="false" outlineLevel="0" collapsed="false">
      <c r="A913" s="12"/>
      <c r="B913" s="12"/>
      <c r="C913" s="23" t="s">
        <v>3786</v>
      </c>
      <c r="D913" s="24"/>
      <c r="E913" s="25" t="s">
        <v>3787</v>
      </c>
      <c r="F913" s="17"/>
      <c r="G913" s="17" t="s">
        <v>126</v>
      </c>
      <c r="H913" s="17"/>
      <c r="I913" s="26" t="s">
        <v>127</v>
      </c>
      <c r="J913" s="17" t="s">
        <v>1565</v>
      </c>
      <c r="K913" s="17"/>
      <c r="L913" s="17"/>
      <c r="M913" s="27"/>
      <c r="N913" s="17"/>
      <c r="O913" s="17"/>
      <c r="P913" s="28" t="s">
        <v>46</v>
      </c>
      <c r="Q913" s="17"/>
      <c r="R913" s="17"/>
      <c r="S913" s="17"/>
      <c r="T913" s="17"/>
      <c r="U913" s="17"/>
      <c r="V913" s="27"/>
      <c r="Z913" s="17"/>
      <c r="AA913" s="29"/>
      <c r="AB913" s="84"/>
      <c r="AC913" s="17"/>
      <c r="AD913" s="17"/>
      <c r="AE913" s="17"/>
    </row>
    <row r="914" customFormat="false" ht="15.75" hidden="false" customHeight="false" outlineLevel="0" collapsed="false">
      <c r="A914" s="12"/>
      <c r="B914" s="12"/>
      <c r="C914" s="23" t="s">
        <v>3788</v>
      </c>
      <c r="D914" s="24"/>
      <c r="E914" s="25" t="s">
        <v>3789</v>
      </c>
      <c r="F914" s="17"/>
      <c r="G914" s="17" t="s">
        <v>3790</v>
      </c>
      <c r="H914" s="17"/>
      <c r="I914" s="26" t="s">
        <v>45</v>
      </c>
      <c r="J914" s="17" t="s">
        <v>3791</v>
      </c>
      <c r="K914" s="17"/>
      <c r="L914" s="17"/>
      <c r="M914" s="27"/>
      <c r="N914" s="17"/>
      <c r="O914" s="17"/>
      <c r="P914" s="28" t="s">
        <v>46</v>
      </c>
      <c r="Q914" s="12"/>
      <c r="R914" s="12"/>
      <c r="S914" s="12"/>
      <c r="T914" s="12"/>
      <c r="U914" s="12"/>
      <c r="V914" s="21"/>
      <c r="Z914" s="12"/>
      <c r="AA914" s="29"/>
      <c r="AB914" s="84"/>
      <c r="AC914" s="12"/>
      <c r="AD914" s="12"/>
      <c r="AE914" s="12"/>
    </row>
    <row r="915" customFormat="false" ht="15.75" hidden="false" customHeight="false" outlineLevel="0" collapsed="false">
      <c r="A915" s="12"/>
      <c r="B915" s="54"/>
      <c r="C915" s="55" t="s">
        <v>3792</v>
      </c>
      <c r="D915" s="24"/>
      <c r="E915" s="57" t="s">
        <v>3793</v>
      </c>
      <c r="F915" s="15" t="s">
        <v>3794</v>
      </c>
      <c r="G915" s="15"/>
      <c r="H915" s="15"/>
      <c r="I915" s="26" t="s">
        <v>82</v>
      </c>
      <c r="J915" s="15" t="s">
        <v>2283</v>
      </c>
      <c r="K915" s="17"/>
      <c r="L915" s="17"/>
      <c r="M915" s="18"/>
      <c r="N915" s="17"/>
      <c r="O915" s="17"/>
      <c r="P915" s="19" t="s">
        <v>39</v>
      </c>
      <c r="Q915" s="12"/>
      <c r="R915" s="12" t="s">
        <v>3795</v>
      </c>
      <c r="S915" s="12"/>
      <c r="T915" s="12"/>
      <c r="U915" s="12"/>
      <c r="V915" s="21"/>
      <c r="Z915" s="12"/>
      <c r="AA915" s="29"/>
      <c r="AB915" s="18" t="s">
        <v>3796</v>
      </c>
      <c r="AC915" s="12"/>
      <c r="AD915" s="12"/>
      <c r="AE915" s="12"/>
    </row>
    <row r="916" customFormat="false" ht="15.75" hidden="false" customHeight="false" outlineLevel="0" collapsed="false">
      <c r="A916" s="12"/>
      <c r="B916" s="54"/>
      <c r="C916" s="55" t="s">
        <v>206</v>
      </c>
      <c r="D916" s="15"/>
      <c r="E916" s="16" t="s">
        <v>3797</v>
      </c>
      <c r="F916" s="15" t="s">
        <v>3798</v>
      </c>
      <c r="G916" s="15"/>
      <c r="H916" s="15"/>
      <c r="I916" s="26" t="s">
        <v>209</v>
      </c>
      <c r="J916" s="15" t="s">
        <v>58</v>
      </c>
      <c r="K916" s="15" t="n">
        <v>2013</v>
      </c>
      <c r="L916" s="17"/>
      <c r="M916" s="18"/>
      <c r="N916" s="17"/>
      <c r="O916" s="17"/>
      <c r="P916" s="19" t="s">
        <v>39</v>
      </c>
      <c r="R916" s="0" t="s">
        <v>3799</v>
      </c>
      <c r="T916" s="0" t="s">
        <v>211</v>
      </c>
      <c r="V916" s="21" t="s">
        <v>31</v>
      </c>
      <c r="AA916" s="63"/>
      <c r="AB916" s="18" t="s">
        <v>3800</v>
      </c>
    </row>
    <row r="917" customFormat="false" ht="15.75" hidden="false" customHeight="false" outlineLevel="0" collapsed="false">
      <c r="A917" s="12" t="s">
        <v>193</v>
      </c>
      <c r="B917" s="12" t="s">
        <v>32</v>
      </c>
      <c r="C917" s="23" t="s">
        <v>3801</v>
      </c>
      <c r="D917" s="24" t="s">
        <v>1760</v>
      </c>
      <c r="E917" s="25" t="s">
        <v>3802</v>
      </c>
      <c r="F917" s="17" t="s">
        <v>3803</v>
      </c>
      <c r="G917" s="17"/>
      <c r="H917" s="17"/>
      <c r="I917" s="26" t="s">
        <v>3804</v>
      </c>
      <c r="J917" s="17" t="s">
        <v>48</v>
      </c>
      <c r="K917" s="17"/>
      <c r="L917" s="17"/>
      <c r="M917" s="27"/>
      <c r="N917" s="17"/>
      <c r="O917" s="17"/>
      <c r="P917" s="28" t="s">
        <v>59</v>
      </c>
      <c r="Q917" s="12"/>
      <c r="R917" s="12"/>
      <c r="S917" s="12"/>
      <c r="T917" s="12"/>
      <c r="U917" s="12"/>
      <c r="V917" s="21"/>
      <c r="Z917" s="12"/>
      <c r="AA917" s="29" t="n">
        <v>1</v>
      </c>
      <c r="AB917" s="12" t="s">
        <v>3805</v>
      </c>
      <c r="AC917" s="12"/>
      <c r="AD917" s="12"/>
      <c r="AE917" s="12"/>
    </row>
    <row r="918" customFormat="false" ht="15.75" hidden="false" customHeight="false" outlineLevel="0" collapsed="false">
      <c r="A918" s="12"/>
      <c r="B918" s="12"/>
      <c r="C918" s="23" t="s">
        <v>3806</v>
      </c>
      <c r="D918" s="24"/>
      <c r="E918" s="25" t="s">
        <v>3807</v>
      </c>
      <c r="F918" s="17"/>
      <c r="G918" s="17" t="s">
        <v>44</v>
      </c>
      <c r="H918" s="17"/>
      <c r="I918" s="26" t="s">
        <v>45</v>
      </c>
      <c r="J918" s="17" t="s">
        <v>244</v>
      </c>
      <c r="K918" s="17"/>
      <c r="L918" s="17"/>
      <c r="M918" s="27"/>
      <c r="N918" s="17"/>
      <c r="O918" s="17"/>
      <c r="P918" s="28" t="s">
        <v>46</v>
      </c>
      <c r="Q918" s="12"/>
      <c r="R918" s="12"/>
      <c r="S918" s="12"/>
      <c r="T918" s="12"/>
      <c r="U918" s="12"/>
      <c r="V918" s="21"/>
      <c r="Z918" s="12"/>
      <c r="AA918" s="29"/>
      <c r="AB918" s="12"/>
      <c r="AC918" s="12"/>
      <c r="AD918" s="12"/>
      <c r="AE918" s="12"/>
    </row>
    <row r="919" customFormat="false" ht="15.75" hidden="false" customHeight="false" outlineLevel="0" collapsed="false">
      <c r="A919" s="12"/>
      <c r="B919" s="12"/>
      <c r="C919" s="23" t="s">
        <v>3808</v>
      </c>
      <c r="D919" s="24"/>
      <c r="E919" s="25" t="s">
        <v>3809</v>
      </c>
      <c r="F919" s="17"/>
      <c r="G919" s="17" t="s">
        <v>204</v>
      </c>
      <c r="H919" s="17"/>
      <c r="I919" s="26" t="s">
        <v>45</v>
      </c>
      <c r="J919" s="17" t="s">
        <v>244</v>
      </c>
      <c r="K919" s="17"/>
      <c r="L919" s="17"/>
      <c r="M919" s="27"/>
      <c r="N919" s="17"/>
      <c r="O919" s="17"/>
      <c r="P919" s="28" t="s">
        <v>46</v>
      </c>
      <c r="Q919" s="12"/>
      <c r="R919" s="12"/>
      <c r="S919" s="12"/>
      <c r="T919" s="12"/>
      <c r="U919" s="12"/>
      <c r="V919" s="21"/>
      <c r="Z919" s="12"/>
      <c r="AA919" s="29"/>
      <c r="AB919" s="12"/>
      <c r="AC919" s="12"/>
      <c r="AD919" s="12"/>
      <c r="AE919" s="12"/>
    </row>
    <row r="920" customFormat="false" ht="15.75" hidden="false" customHeight="false" outlineLevel="0" collapsed="false">
      <c r="A920" s="12"/>
      <c r="B920" s="54"/>
      <c r="C920" s="55" t="s">
        <v>3810</v>
      </c>
      <c r="D920" s="15"/>
      <c r="E920" s="16" t="s">
        <v>3811</v>
      </c>
      <c r="F920" s="15" t="s">
        <v>3812</v>
      </c>
      <c r="G920" s="15"/>
      <c r="H920" s="15"/>
      <c r="I920" s="26" t="s">
        <v>561</v>
      </c>
      <c r="J920" s="15" t="s">
        <v>58</v>
      </c>
      <c r="K920" s="15" t="n">
        <v>2012</v>
      </c>
      <c r="L920" s="17"/>
      <c r="M920" s="18"/>
      <c r="N920" s="17"/>
      <c r="O920" s="17"/>
      <c r="P920" s="101" t="s">
        <v>39</v>
      </c>
      <c r="Q920" s="20"/>
      <c r="R920" s="20" t="s">
        <v>3813</v>
      </c>
      <c r="S920" s="20"/>
      <c r="T920" s="20" t="s">
        <v>3814</v>
      </c>
      <c r="U920" s="20"/>
      <c r="V920" s="21" t="s">
        <v>31</v>
      </c>
      <c r="Z920" s="20"/>
      <c r="AA920" s="22"/>
      <c r="AB920" s="18" t="s">
        <v>3815</v>
      </c>
      <c r="AC920" s="20"/>
      <c r="AD920" s="20"/>
      <c r="AE920" s="20"/>
    </row>
    <row r="921" customFormat="false" ht="15.75" hidden="false" customHeight="false" outlineLevel="0" collapsed="false">
      <c r="A921" s="12"/>
      <c r="B921" s="54"/>
      <c r="C921" s="55" t="s">
        <v>3816</v>
      </c>
      <c r="D921" s="24"/>
      <c r="E921" s="57" t="s">
        <v>3817</v>
      </c>
      <c r="F921" s="15" t="s">
        <v>3818</v>
      </c>
      <c r="G921" s="15"/>
      <c r="H921" s="15"/>
      <c r="I921" s="26" t="s">
        <v>3819</v>
      </c>
      <c r="J921" s="15" t="s">
        <v>58</v>
      </c>
      <c r="K921" s="17"/>
      <c r="L921" s="17"/>
      <c r="M921" s="18"/>
      <c r="N921" s="17"/>
      <c r="O921" s="17"/>
      <c r="P921" s="19" t="s">
        <v>39</v>
      </c>
      <c r="Q921" s="47"/>
      <c r="R921" s="47" t="s">
        <v>3820</v>
      </c>
      <c r="S921" s="47"/>
      <c r="T921" s="47" t="s">
        <v>3821</v>
      </c>
      <c r="V921" s="21" t="s">
        <v>31</v>
      </c>
      <c r="AA921" s="63"/>
      <c r="AB921" s="18" t="s">
        <v>3822</v>
      </c>
    </row>
    <row r="922" customFormat="false" ht="15.75" hidden="false" customHeight="false" outlineLevel="0" collapsed="false">
      <c r="A922" s="12"/>
      <c r="B922" s="12"/>
      <c r="C922" s="23" t="s">
        <v>3823</v>
      </c>
      <c r="D922" s="24" t="s">
        <v>667</v>
      </c>
      <c r="E922" s="25" t="s">
        <v>3824</v>
      </c>
      <c r="F922" s="17"/>
      <c r="G922" s="17" t="s">
        <v>134</v>
      </c>
      <c r="H922" s="17"/>
      <c r="I922" s="26" t="s">
        <v>65</v>
      </c>
      <c r="J922" s="17" t="s">
        <v>618</v>
      </c>
      <c r="K922" s="17"/>
      <c r="L922" s="17"/>
      <c r="M922" s="27"/>
      <c r="N922" s="17"/>
      <c r="O922" s="17"/>
      <c r="P922" s="28" t="s">
        <v>46</v>
      </c>
      <c r="Q922" s="17"/>
      <c r="R922" s="17"/>
      <c r="S922" s="17"/>
      <c r="T922" s="17"/>
      <c r="U922" s="17"/>
      <c r="V922" s="27"/>
      <c r="Z922" s="17"/>
      <c r="AA922" s="29"/>
      <c r="AB922" s="84"/>
      <c r="AC922" s="17"/>
      <c r="AD922" s="17"/>
      <c r="AE922" s="17"/>
    </row>
    <row r="923" customFormat="false" ht="15.75" hidden="false" customHeight="false" outlineLevel="0" collapsed="false">
      <c r="A923" s="12"/>
      <c r="B923" s="12"/>
      <c r="C923" s="64" t="s">
        <v>3825</v>
      </c>
      <c r="D923" s="24" t="s">
        <v>94</v>
      </c>
      <c r="E923" s="25" t="s">
        <v>3826</v>
      </c>
      <c r="F923" s="17" t="s">
        <v>3827</v>
      </c>
      <c r="G923" s="17" t="s">
        <v>3828</v>
      </c>
      <c r="H923" s="17" t="s">
        <v>353</v>
      </c>
      <c r="I923" s="17" t="s">
        <v>36</v>
      </c>
      <c r="J923" s="17" t="s">
        <v>618</v>
      </c>
      <c r="K923" s="17" t="n">
        <v>2000</v>
      </c>
      <c r="L923" s="38" t="s">
        <v>330</v>
      </c>
      <c r="M923" s="27"/>
      <c r="N923" s="17"/>
      <c r="O923" s="17"/>
      <c r="P923" s="40" t="s">
        <v>111</v>
      </c>
      <c r="V923" s="60"/>
      <c r="AA923" s="63" t="n">
        <v>2</v>
      </c>
      <c r="AB923" s="84"/>
    </row>
    <row r="924" customFormat="false" ht="15.75" hidden="false" customHeight="false" outlineLevel="0" collapsed="false">
      <c r="A924" s="12"/>
      <c r="B924" s="12"/>
      <c r="C924" s="23" t="s">
        <v>3829</v>
      </c>
      <c r="D924" s="24" t="s">
        <v>61</v>
      </c>
      <c r="E924" s="25" t="s">
        <v>3830</v>
      </c>
      <c r="F924" s="17" t="s">
        <v>3831</v>
      </c>
      <c r="G924" s="17"/>
      <c r="H924" s="17"/>
      <c r="I924" s="17" t="s">
        <v>260</v>
      </c>
      <c r="J924" s="17" t="s">
        <v>618</v>
      </c>
      <c r="K924" s="17"/>
      <c r="L924" s="17"/>
      <c r="M924" s="27"/>
      <c r="N924" s="17"/>
      <c r="O924" s="17"/>
      <c r="P924" s="40" t="s">
        <v>261</v>
      </c>
      <c r="Q924" s="12"/>
      <c r="R924" s="12"/>
      <c r="S924" s="12"/>
      <c r="T924" s="12"/>
      <c r="U924" s="12"/>
      <c r="V924" s="21"/>
      <c r="Z924" s="12"/>
      <c r="AA924" s="29" t="n">
        <v>1</v>
      </c>
      <c r="AB924" s="84"/>
      <c r="AC924" s="12"/>
      <c r="AD924" s="12"/>
      <c r="AE924" s="12"/>
    </row>
    <row r="925" customFormat="false" ht="15.75" hidden="false" customHeight="false" outlineLevel="0" collapsed="false">
      <c r="A925" s="12"/>
      <c r="B925" s="12"/>
      <c r="C925" s="23" t="s">
        <v>3832</v>
      </c>
      <c r="D925" s="47" t="s">
        <v>61</v>
      </c>
      <c r="E925" s="25" t="s">
        <v>3833</v>
      </c>
      <c r="F925" s="17"/>
      <c r="G925" s="17"/>
      <c r="H925" s="17"/>
      <c r="I925" s="17" t="s">
        <v>260</v>
      </c>
      <c r="J925" s="17" t="s">
        <v>618</v>
      </c>
      <c r="K925" s="17"/>
      <c r="L925" s="17"/>
      <c r="M925" s="27"/>
      <c r="N925" s="17"/>
      <c r="O925" s="17"/>
      <c r="P925" s="40" t="s">
        <v>261</v>
      </c>
      <c r="V925" s="60"/>
      <c r="AA925" s="63"/>
      <c r="AB925" s="84"/>
    </row>
    <row r="926" customFormat="false" ht="15.75" hidden="false" customHeight="false" outlineLevel="0" collapsed="false">
      <c r="A926" s="12"/>
      <c r="B926" s="12"/>
      <c r="C926" s="23" t="s">
        <v>3834</v>
      </c>
      <c r="D926" s="24"/>
      <c r="E926" s="17"/>
      <c r="F926" s="17"/>
      <c r="G926" s="17"/>
      <c r="H926" s="17"/>
      <c r="I926" s="17" t="s">
        <v>260</v>
      </c>
      <c r="J926" s="17" t="s">
        <v>618</v>
      </c>
      <c r="K926" s="17"/>
      <c r="L926" s="17"/>
      <c r="M926" s="27"/>
      <c r="N926" s="17"/>
      <c r="O926" s="17"/>
      <c r="P926" s="40" t="s">
        <v>261</v>
      </c>
      <c r="Q926" s="12"/>
      <c r="R926" s="12"/>
      <c r="S926" s="12"/>
      <c r="T926" s="12"/>
      <c r="U926" s="12"/>
      <c r="V926" s="21"/>
      <c r="Z926" s="12"/>
      <c r="AA926" s="29"/>
      <c r="AB926" s="84"/>
      <c r="AC926" s="12"/>
      <c r="AD926" s="12"/>
      <c r="AE926" s="12"/>
    </row>
    <row r="927" customFormat="false" ht="15.75" hidden="false" customHeight="false" outlineLevel="0" collapsed="false">
      <c r="A927" s="12"/>
      <c r="B927" s="12"/>
      <c r="C927" s="23" t="s">
        <v>3835</v>
      </c>
      <c r="D927" s="24"/>
      <c r="E927" s="17"/>
      <c r="F927" s="17"/>
      <c r="G927" s="17"/>
      <c r="H927" s="17"/>
      <c r="I927" s="17" t="s">
        <v>260</v>
      </c>
      <c r="J927" s="17" t="s">
        <v>618</v>
      </c>
      <c r="K927" s="17"/>
      <c r="L927" s="17"/>
      <c r="M927" s="27"/>
      <c r="N927" s="17"/>
      <c r="O927" s="17"/>
      <c r="P927" s="40" t="s">
        <v>261</v>
      </c>
      <c r="Q927" s="12"/>
      <c r="R927" s="12"/>
      <c r="S927" s="12"/>
      <c r="T927" s="12"/>
      <c r="U927" s="12"/>
      <c r="V927" s="21"/>
      <c r="Z927" s="12"/>
      <c r="AA927" s="29"/>
      <c r="AB927" s="84"/>
      <c r="AC927" s="12"/>
      <c r="AD927" s="12"/>
      <c r="AE927" s="12"/>
    </row>
    <row r="928" customFormat="false" ht="15.75" hidden="false" customHeight="false" outlineLevel="0" collapsed="false">
      <c r="A928" s="12"/>
      <c r="B928" s="12"/>
      <c r="C928" s="23" t="s">
        <v>3836</v>
      </c>
      <c r="D928" s="24"/>
      <c r="E928" s="17"/>
      <c r="F928" s="17"/>
      <c r="G928" s="17"/>
      <c r="H928" s="17"/>
      <c r="I928" s="17" t="s">
        <v>260</v>
      </c>
      <c r="J928" s="17" t="s">
        <v>618</v>
      </c>
      <c r="K928" s="17"/>
      <c r="L928" s="17"/>
      <c r="M928" s="27"/>
      <c r="N928" s="17"/>
      <c r="O928" s="17"/>
      <c r="P928" s="40" t="s">
        <v>261</v>
      </c>
      <c r="Q928" s="12"/>
      <c r="R928" s="12"/>
      <c r="S928" s="12"/>
      <c r="T928" s="12"/>
      <c r="U928" s="12"/>
      <c r="V928" s="21"/>
      <c r="Z928" s="12"/>
      <c r="AA928" s="29"/>
      <c r="AB928" s="84"/>
      <c r="AC928" s="12"/>
      <c r="AD928" s="12"/>
      <c r="AE928" s="12"/>
    </row>
    <row r="929" customFormat="false" ht="15.75" hidden="false" customHeight="false" outlineLevel="0" collapsed="false">
      <c r="A929" s="12"/>
      <c r="B929" s="12"/>
      <c r="C929" s="23" t="s">
        <v>3837</v>
      </c>
      <c r="D929" s="24"/>
      <c r="E929" s="17"/>
      <c r="F929" s="17"/>
      <c r="G929" s="17"/>
      <c r="H929" s="17"/>
      <c r="I929" s="17" t="s">
        <v>260</v>
      </c>
      <c r="J929" s="17" t="s">
        <v>618</v>
      </c>
      <c r="K929" s="17"/>
      <c r="L929" s="17"/>
      <c r="M929" s="27"/>
      <c r="N929" s="17"/>
      <c r="O929" s="17"/>
      <c r="P929" s="40" t="s">
        <v>261</v>
      </c>
      <c r="V929" s="60"/>
      <c r="AA929" s="63"/>
      <c r="AB929" s="84"/>
    </row>
    <row r="930" customFormat="false" ht="15.75" hidden="false" customHeight="false" outlineLevel="0" collapsed="false">
      <c r="A930" s="12"/>
      <c r="B930" s="12"/>
      <c r="C930" s="23" t="s">
        <v>3838</v>
      </c>
      <c r="D930" s="24"/>
      <c r="E930" s="17"/>
      <c r="F930" s="17"/>
      <c r="G930" s="17"/>
      <c r="H930" s="17"/>
      <c r="I930" s="17" t="s">
        <v>260</v>
      </c>
      <c r="J930" s="17" t="s">
        <v>618</v>
      </c>
      <c r="K930" s="17"/>
      <c r="L930" s="17"/>
      <c r="M930" s="27"/>
      <c r="N930" s="17"/>
      <c r="O930" s="17"/>
      <c r="P930" s="40" t="s">
        <v>261</v>
      </c>
      <c r="Q930" s="12"/>
      <c r="R930" s="12"/>
      <c r="S930" s="12"/>
      <c r="T930" s="12"/>
      <c r="U930" s="12"/>
      <c r="V930" s="21"/>
      <c r="Z930" s="12"/>
      <c r="AA930" s="29"/>
      <c r="AB930" s="84"/>
      <c r="AC930" s="12"/>
      <c r="AD930" s="12"/>
      <c r="AE930" s="12"/>
    </row>
    <row r="931" customFormat="false" ht="15.75" hidden="false" customHeight="false" outlineLevel="0" collapsed="false">
      <c r="A931" s="12"/>
      <c r="B931" s="12"/>
      <c r="C931" s="23" t="s">
        <v>3839</v>
      </c>
      <c r="D931" s="24"/>
      <c r="E931" s="17"/>
      <c r="F931" s="17"/>
      <c r="G931" s="17"/>
      <c r="H931" s="17"/>
      <c r="I931" s="17" t="s">
        <v>260</v>
      </c>
      <c r="J931" s="17" t="s">
        <v>618</v>
      </c>
      <c r="K931" s="17"/>
      <c r="L931" s="17"/>
      <c r="M931" s="27"/>
      <c r="N931" s="17"/>
      <c r="O931" s="17"/>
      <c r="P931" s="40" t="s">
        <v>261</v>
      </c>
      <c r="V931" s="21"/>
      <c r="AA931" s="63"/>
      <c r="AB931" s="84"/>
    </row>
    <row r="932" customFormat="false" ht="15.75" hidden="false" customHeight="false" outlineLevel="0" collapsed="false">
      <c r="A932" s="12" t="str">
        <f aca="false">IF((AA932&gt;=4), "Y", "N")</f>
        <v>Y</v>
      </c>
      <c r="B932" s="13"/>
      <c r="C932" s="31" t="s">
        <v>3840</v>
      </c>
      <c r="D932" s="24"/>
      <c r="E932" s="32" t="s">
        <v>3841</v>
      </c>
      <c r="F932" s="17"/>
      <c r="G932" s="17"/>
      <c r="H932" s="17"/>
      <c r="I932" s="26" t="s">
        <v>266</v>
      </c>
      <c r="J932" s="17" t="s">
        <v>3842</v>
      </c>
      <c r="K932" s="33" t="n">
        <v>1988</v>
      </c>
      <c r="L932" s="33" t="s">
        <v>99</v>
      </c>
      <c r="M932" s="27"/>
      <c r="N932" s="17" t="s">
        <v>3843</v>
      </c>
      <c r="O932" s="17"/>
      <c r="P932" s="40" t="s">
        <v>268</v>
      </c>
      <c r="Q932" s="12"/>
      <c r="R932" s="12"/>
      <c r="S932" s="12"/>
      <c r="T932" s="12"/>
      <c r="U932" s="12"/>
      <c r="V932" s="21"/>
      <c r="Z932" s="12"/>
      <c r="AA932" s="29" t="str">
        <f aca="false">IF(P932="OD500 MX", "5", " ")</f>
        <v>5</v>
      </c>
      <c r="AB932" s="70" t="s">
        <v>3844</v>
      </c>
      <c r="AC932" s="12"/>
      <c r="AD932" s="12"/>
      <c r="AE932" s="12"/>
    </row>
    <row r="933" customFormat="false" ht="15.75" hidden="false" customHeight="false" outlineLevel="0" collapsed="false">
      <c r="A933" s="12"/>
      <c r="B933" s="12"/>
      <c r="C933" s="23" t="s">
        <v>3845</v>
      </c>
      <c r="D933" s="24"/>
      <c r="E933" s="17"/>
      <c r="F933" s="17"/>
      <c r="G933" s="17"/>
      <c r="H933" s="17"/>
      <c r="I933" s="17" t="s">
        <v>260</v>
      </c>
      <c r="J933" s="17" t="s">
        <v>618</v>
      </c>
      <c r="K933" s="17"/>
      <c r="L933" s="17"/>
      <c r="M933" s="27"/>
      <c r="N933" s="17"/>
      <c r="O933" s="17"/>
      <c r="P933" s="40" t="s">
        <v>261</v>
      </c>
      <c r="Q933" s="20"/>
      <c r="R933" s="20"/>
      <c r="S933" s="20"/>
      <c r="T933" s="20"/>
      <c r="U933" s="20"/>
      <c r="V933" s="45"/>
      <c r="Z933" s="20"/>
      <c r="AA933" s="22"/>
      <c r="AB933" s="84"/>
      <c r="AC933" s="20"/>
      <c r="AD933" s="20"/>
      <c r="AE933" s="20"/>
    </row>
    <row r="934" customFormat="false" ht="15.75" hidden="false" customHeight="false" outlineLevel="0" collapsed="false">
      <c r="A934" s="12"/>
      <c r="B934" s="12"/>
      <c r="C934" s="23" t="s">
        <v>3846</v>
      </c>
      <c r="D934" s="24"/>
      <c r="E934" s="17"/>
      <c r="F934" s="17"/>
      <c r="G934" s="17"/>
      <c r="H934" s="17"/>
      <c r="I934" s="17" t="s">
        <v>260</v>
      </c>
      <c r="J934" s="17" t="s">
        <v>618</v>
      </c>
      <c r="K934" s="17"/>
      <c r="L934" s="17"/>
      <c r="M934" s="27"/>
      <c r="N934" s="17"/>
      <c r="O934" s="17"/>
      <c r="P934" s="40" t="s">
        <v>261</v>
      </c>
      <c r="V934" s="60"/>
      <c r="AA934" s="63"/>
      <c r="AB934" s="84"/>
    </row>
    <row r="935" customFormat="false" ht="15.75" hidden="false" customHeight="false" outlineLevel="0" collapsed="false">
      <c r="A935" s="12"/>
      <c r="B935" s="12"/>
      <c r="C935" s="23" t="s">
        <v>3847</v>
      </c>
      <c r="D935" s="24"/>
      <c r="E935" s="17"/>
      <c r="F935" s="17"/>
      <c r="G935" s="17"/>
      <c r="H935" s="17"/>
      <c r="I935" s="17" t="s">
        <v>260</v>
      </c>
      <c r="J935" s="17" t="s">
        <v>618</v>
      </c>
      <c r="K935" s="17"/>
      <c r="L935" s="17"/>
      <c r="M935" s="27"/>
      <c r="N935" s="17"/>
      <c r="O935" s="17"/>
      <c r="P935" s="40" t="s">
        <v>261</v>
      </c>
      <c r="Q935" s="17"/>
      <c r="R935" s="17"/>
      <c r="S935" s="17"/>
      <c r="T935" s="17"/>
      <c r="U935" s="17"/>
      <c r="V935" s="27"/>
      <c r="Z935" s="17"/>
      <c r="AA935" s="29"/>
      <c r="AB935" s="84"/>
      <c r="AC935" s="17"/>
      <c r="AD935" s="17"/>
      <c r="AE935" s="17"/>
    </row>
    <row r="936" customFormat="false" ht="15.75" hidden="false" customHeight="false" outlineLevel="0" collapsed="false">
      <c r="A936" s="12"/>
      <c r="B936" s="12"/>
      <c r="C936" s="23" t="s">
        <v>3848</v>
      </c>
      <c r="D936" s="24"/>
      <c r="E936" s="17"/>
      <c r="F936" s="17"/>
      <c r="G936" s="17"/>
      <c r="H936" s="17"/>
      <c r="I936" s="17" t="s">
        <v>260</v>
      </c>
      <c r="J936" s="17" t="s">
        <v>618</v>
      </c>
      <c r="K936" s="17"/>
      <c r="L936" s="17"/>
      <c r="M936" s="27"/>
      <c r="N936" s="17"/>
      <c r="O936" s="17"/>
      <c r="P936" s="40" t="s">
        <v>261</v>
      </c>
      <c r="V936" s="60"/>
      <c r="AA936" s="63"/>
      <c r="AB936" s="84"/>
    </row>
    <row r="937" customFormat="false" ht="15.75" hidden="false" customHeight="false" outlineLevel="0" collapsed="false">
      <c r="A937" s="12"/>
      <c r="B937" s="12"/>
      <c r="C937" s="23" t="s">
        <v>3849</v>
      </c>
      <c r="D937" s="24"/>
      <c r="E937" s="17"/>
      <c r="F937" s="17"/>
      <c r="G937" s="17"/>
      <c r="H937" s="17"/>
      <c r="I937" s="17" t="s">
        <v>260</v>
      </c>
      <c r="J937" s="17" t="s">
        <v>618</v>
      </c>
      <c r="K937" s="17"/>
      <c r="L937" s="17"/>
      <c r="M937" s="27"/>
      <c r="N937" s="17"/>
      <c r="O937" s="17"/>
      <c r="P937" s="40" t="s">
        <v>261</v>
      </c>
      <c r="Q937" s="17"/>
      <c r="R937" s="17"/>
      <c r="S937" s="17"/>
      <c r="T937" s="17"/>
      <c r="U937" s="17"/>
      <c r="V937" s="27"/>
      <c r="Z937" s="17"/>
      <c r="AA937" s="29"/>
      <c r="AB937" s="84"/>
      <c r="AC937" s="17"/>
      <c r="AD937" s="17"/>
      <c r="AE937" s="17"/>
    </row>
    <row r="938" customFormat="false" ht="15.75" hidden="false" customHeight="false" outlineLevel="0" collapsed="false">
      <c r="A938" s="12"/>
      <c r="B938" s="12"/>
      <c r="C938" s="23" t="s">
        <v>3850</v>
      </c>
      <c r="D938" s="24"/>
      <c r="E938" s="17"/>
      <c r="F938" s="17"/>
      <c r="G938" s="17"/>
      <c r="H938" s="17"/>
      <c r="I938" s="17" t="s">
        <v>260</v>
      </c>
      <c r="J938" s="17" t="s">
        <v>618</v>
      </c>
      <c r="K938" s="17"/>
      <c r="L938" s="17"/>
      <c r="M938" s="27"/>
      <c r="N938" s="17"/>
      <c r="O938" s="17"/>
      <c r="P938" s="40" t="s">
        <v>261</v>
      </c>
      <c r="Q938" s="12"/>
      <c r="R938" s="12"/>
      <c r="S938" s="12"/>
      <c r="T938" s="12"/>
      <c r="U938" s="12"/>
      <c r="V938" s="21"/>
      <c r="Z938" s="12"/>
      <c r="AA938" s="29"/>
      <c r="AB938" s="84"/>
      <c r="AC938" s="12"/>
      <c r="AD938" s="12"/>
      <c r="AE938" s="12"/>
    </row>
    <row r="939" customFormat="false" ht="15.75" hidden="false" customHeight="false" outlineLevel="0" collapsed="false">
      <c r="A939" s="12"/>
      <c r="B939" s="12"/>
      <c r="C939" s="23" t="s">
        <v>3851</v>
      </c>
      <c r="D939" s="24"/>
      <c r="E939" s="17"/>
      <c r="F939" s="17"/>
      <c r="G939" s="17"/>
      <c r="H939" s="17"/>
      <c r="I939" s="17" t="s">
        <v>260</v>
      </c>
      <c r="J939" s="17" t="s">
        <v>618</v>
      </c>
      <c r="K939" s="17"/>
      <c r="L939" s="17"/>
      <c r="M939" s="27"/>
      <c r="N939" s="17"/>
      <c r="O939" s="17"/>
      <c r="P939" s="40" t="s">
        <v>261</v>
      </c>
      <c r="Q939" s="12"/>
      <c r="R939" s="12"/>
      <c r="S939" s="12"/>
      <c r="T939" s="12"/>
      <c r="U939" s="12"/>
      <c r="V939" s="21"/>
      <c r="Z939" s="12"/>
      <c r="AA939" s="29"/>
      <c r="AB939" s="84"/>
      <c r="AC939" s="12"/>
      <c r="AD939" s="12"/>
      <c r="AE939" s="12"/>
    </row>
    <row r="940" customFormat="false" ht="15.75" hidden="false" customHeight="false" outlineLevel="0" collapsed="false">
      <c r="A940" s="12"/>
      <c r="B940" s="12"/>
      <c r="C940" s="23" t="s">
        <v>3852</v>
      </c>
      <c r="D940" s="24"/>
      <c r="E940" s="17"/>
      <c r="F940" s="17"/>
      <c r="G940" s="17"/>
      <c r="H940" s="17"/>
      <c r="I940" s="17" t="s">
        <v>260</v>
      </c>
      <c r="J940" s="17" t="s">
        <v>618</v>
      </c>
      <c r="K940" s="17"/>
      <c r="L940" s="17"/>
      <c r="M940" s="27"/>
      <c r="N940" s="17"/>
      <c r="O940" s="17"/>
      <c r="P940" s="40" t="s">
        <v>261</v>
      </c>
      <c r="Q940" s="20"/>
      <c r="R940" s="20"/>
      <c r="S940" s="20"/>
      <c r="T940" s="20"/>
      <c r="U940" s="20"/>
      <c r="V940" s="45"/>
      <c r="Z940" s="20"/>
      <c r="AA940" s="22"/>
      <c r="AB940" s="84"/>
      <c r="AC940" s="20"/>
      <c r="AD940" s="20"/>
      <c r="AE940" s="20"/>
    </row>
    <row r="941" customFormat="false" ht="15.75" hidden="false" customHeight="false" outlineLevel="0" collapsed="false">
      <c r="A941" s="12"/>
      <c r="B941" s="12"/>
      <c r="C941" s="23" t="s">
        <v>3853</v>
      </c>
      <c r="D941" s="24"/>
      <c r="E941" s="17"/>
      <c r="F941" s="17"/>
      <c r="G941" s="17"/>
      <c r="H941" s="17"/>
      <c r="I941" s="17" t="s">
        <v>260</v>
      </c>
      <c r="J941" s="17" t="s">
        <v>618</v>
      </c>
      <c r="K941" s="17"/>
      <c r="L941" s="17"/>
      <c r="M941" s="27"/>
      <c r="N941" s="17"/>
      <c r="O941" s="17"/>
      <c r="P941" s="40" t="s">
        <v>261</v>
      </c>
      <c r="Q941" s="12"/>
      <c r="R941" s="12"/>
      <c r="S941" s="12"/>
      <c r="T941" s="12"/>
      <c r="U941" s="12"/>
      <c r="V941" s="21"/>
      <c r="Z941" s="12"/>
      <c r="AA941" s="29"/>
      <c r="AB941" s="84"/>
      <c r="AC941" s="12"/>
      <c r="AD941" s="12"/>
      <c r="AE941" s="12"/>
    </row>
    <row r="942" customFormat="false" ht="15.75" hidden="false" customHeight="false" outlineLevel="0" collapsed="false">
      <c r="A942" s="12"/>
      <c r="B942" s="12"/>
      <c r="C942" s="23" t="s">
        <v>3854</v>
      </c>
      <c r="D942" s="24"/>
      <c r="E942" s="17"/>
      <c r="F942" s="17"/>
      <c r="G942" s="17"/>
      <c r="H942" s="17"/>
      <c r="I942" s="17" t="s">
        <v>260</v>
      </c>
      <c r="J942" s="17" t="s">
        <v>618</v>
      </c>
      <c r="K942" s="17"/>
      <c r="L942" s="17"/>
      <c r="M942" s="27"/>
      <c r="N942" s="17"/>
      <c r="O942" s="17"/>
      <c r="P942" s="40" t="s">
        <v>261</v>
      </c>
      <c r="Q942" s="17"/>
      <c r="R942" s="17"/>
      <c r="S942" s="17"/>
      <c r="T942" s="17"/>
      <c r="U942" s="17"/>
      <c r="V942" s="27"/>
      <c r="Z942" s="17"/>
      <c r="AA942" s="29"/>
      <c r="AB942" s="84"/>
      <c r="AC942" s="17"/>
      <c r="AD942" s="17"/>
      <c r="AE942" s="17"/>
    </row>
    <row r="943" customFormat="false" ht="15.75" hidden="false" customHeight="false" outlineLevel="0" collapsed="false">
      <c r="A943" s="12"/>
      <c r="B943" s="12"/>
      <c r="C943" s="23" t="s">
        <v>3855</v>
      </c>
      <c r="D943" s="24"/>
      <c r="E943" s="17"/>
      <c r="F943" s="17"/>
      <c r="G943" s="17"/>
      <c r="H943" s="17"/>
      <c r="I943" s="17" t="s">
        <v>260</v>
      </c>
      <c r="J943" s="17" t="s">
        <v>618</v>
      </c>
      <c r="K943" s="17"/>
      <c r="L943" s="17"/>
      <c r="M943" s="27"/>
      <c r="N943" s="17"/>
      <c r="O943" s="17"/>
      <c r="P943" s="40" t="s">
        <v>261</v>
      </c>
      <c r="Q943" s="12"/>
      <c r="R943" s="12"/>
      <c r="S943" s="12"/>
      <c r="T943" s="12"/>
      <c r="U943" s="12"/>
      <c r="V943" s="21"/>
      <c r="Z943" s="12"/>
      <c r="AA943" s="29"/>
      <c r="AB943" s="84"/>
      <c r="AC943" s="12"/>
      <c r="AD943" s="12"/>
      <c r="AE943" s="12"/>
    </row>
    <row r="944" customFormat="false" ht="15.75" hidden="false" customHeight="false" outlineLevel="0" collapsed="false">
      <c r="A944" s="12"/>
      <c r="B944" s="12"/>
      <c r="C944" s="64" t="s">
        <v>3856</v>
      </c>
      <c r="D944" s="24" t="s">
        <v>94</v>
      </c>
      <c r="E944" s="25" t="s">
        <v>3857</v>
      </c>
      <c r="F944" s="17" t="s">
        <v>3858</v>
      </c>
      <c r="G944" s="17" t="s">
        <v>296</v>
      </c>
      <c r="H944" s="26" t="s">
        <v>297</v>
      </c>
      <c r="I944" s="17" t="s">
        <v>36</v>
      </c>
      <c r="J944" s="17" t="s">
        <v>618</v>
      </c>
      <c r="K944" s="17" t="n">
        <v>2008</v>
      </c>
      <c r="L944" s="38" t="s">
        <v>99</v>
      </c>
      <c r="M944" s="27"/>
      <c r="N944" s="17"/>
      <c r="O944" s="17"/>
      <c r="P944" s="40" t="s">
        <v>111</v>
      </c>
      <c r="Q944" s="12"/>
      <c r="R944" s="12"/>
      <c r="S944" s="12"/>
      <c r="T944" s="12"/>
      <c r="U944" s="12"/>
      <c r="V944" s="21"/>
      <c r="Z944" s="12"/>
      <c r="AA944" s="29" t="n">
        <v>3</v>
      </c>
      <c r="AB944" s="84"/>
      <c r="AC944" s="12"/>
      <c r="AD944" s="12"/>
      <c r="AE944" s="12"/>
    </row>
    <row r="945" customFormat="false" ht="15.75" hidden="false" customHeight="false" outlineLevel="0" collapsed="false">
      <c r="A945" s="12"/>
      <c r="B945" s="12"/>
      <c r="C945" s="23" t="s">
        <v>3859</v>
      </c>
      <c r="D945" s="24"/>
      <c r="E945" s="17"/>
      <c r="F945" s="17"/>
      <c r="G945" s="17"/>
      <c r="H945" s="17"/>
      <c r="I945" s="17" t="s">
        <v>260</v>
      </c>
      <c r="J945" s="17" t="s">
        <v>618</v>
      </c>
      <c r="K945" s="17"/>
      <c r="L945" s="17"/>
      <c r="M945" s="27"/>
      <c r="N945" s="17"/>
      <c r="O945" s="17"/>
      <c r="P945" s="40" t="s">
        <v>261</v>
      </c>
      <c r="Q945" s="12"/>
      <c r="R945" s="12"/>
      <c r="S945" s="12"/>
      <c r="T945" s="12"/>
      <c r="U945" s="12"/>
      <c r="V945" s="21"/>
      <c r="Z945" s="12"/>
      <c r="AA945" s="29"/>
      <c r="AB945" s="84"/>
      <c r="AC945" s="12"/>
      <c r="AD945" s="12"/>
      <c r="AE945" s="12"/>
    </row>
    <row r="946" customFormat="false" ht="15.75" hidden="false" customHeight="false" outlineLevel="0" collapsed="false">
      <c r="A946" s="12"/>
      <c r="B946" s="12"/>
      <c r="C946" s="23" t="s">
        <v>3860</v>
      </c>
      <c r="D946" s="24"/>
      <c r="E946" s="17"/>
      <c r="F946" s="17"/>
      <c r="G946" s="17"/>
      <c r="H946" s="17"/>
      <c r="I946" s="17" t="s">
        <v>260</v>
      </c>
      <c r="J946" s="17" t="s">
        <v>618</v>
      </c>
      <c r="K946" s="17"/>
      <c r="L946" s="17"/>
      <c r="M946" s="27"/>
      <c r="N946" s="17"/>
      <c r="O946" s="17"/>
      <c r="P946" s="40" t="s">
        <v>261</v>
      </c>
      <c r="Q946" s="12"/>
      <c r="R946" s="12"/>
      <c r="S946" s="12"/>
      <c r="T946" s="12"/>
      <c r="U946" s="12"/>
      <c r="V946" s="21"/>
      <c r="Z946" s="12"/>
      <c r="AA946" s="29"/>
      <c r="AB946" s="84"/>
      <c r="AC946" s="12"/>
      <c r="AD946" s="12"/>
      <c r="AE946" s="12"/>
    </row>
    <row r="947" customFormat="false" ht="15.75" hidden="false" customHeight="false" outlineLevel="0" collapsed="false">
      <c r="A947" s="12"/>
      <c r="B947" s="12"/>
      <c r="C947" s="23" t="s">
        <v>3861</v>
      </c>
      <c r="D947" s="24"/>
      <c r="E947" s="17"/>
      <c r="F947" s="17"/>
      <c r="G947" s="17"/>
      <c r="H947" s="17"/>
      <c r="I947" s="17" t="s">
        <v>260</v>
      </c>
      <c r="J947" s="17" t="s">
        <v>618</v>
      </c>
      <c r="K947" s="17"/>
      <c r="L947" s="17"/>
      <c r="M947" s="27"/>
      <c r="N947" s="17"/>
      <c r="O947" s="17"/>
      <c r="P947" s="40" t="s">
        <v>261</v>
      </c>
      <c r="Q947" s="12"/>
      <c r="R947" s="12"/>
      <c r="S947" s="12"/>
      <c r="T947" s="12"/>
      <c r="U947" s="12"/>
      <c r="V947" s="21"/>
      <c r="Z947" s="12"/>
      <c r="AA947" s="29"/>
      <c r="AB947" s="84"/>
      <c r="AC947" s="12"/>
      <c r="AD947" s="12"/>
      <c r="AE947" s="12"/>
    </row>
    <row r="948" customFormat="false" ht="15.75" hidden="false" customHeight="false" outlineLevel="0" collapsed="false">
      <c r="A948" s="12"/>
      <c r="B948" s="12"/>
      <c r="C948" s="23" t="s">
        <v>3862</v>
      </c>
      <c r="D948" s="24"/>
      <c r="E948" s="17"/>
      <c r="F948" s="17"/>
      <c r="G948" s="17"/>
      <c r="H948" s="17"/>
      <c r="I948" s="17" t="s">
        <v>260</v>
      </c>
      <c r="J948" s="17" t="s">
        <v>618</v>
      </c>
      <c r="K948" s="17"/>
      <c r="L948" s="17"/>
      <c r="M948" s="27"/>
      <c r="N948" s="17"/>
      <c r="O948" s="17"/>
      <c r="P948" s="40" t="s">
        <v>261</v>
      </c>
      <c r="Q948" s="12"/>
      <c r="R948" s="12"/>
      <c r="S948" s="12"/>
      <c r="T948" s="12"/>
      <c r="U948" s="12"/>
      <c r="V948" s="21"/>
      <c r="Z948" s="12"/>
      <c r="AA948" s="29"/>
      <c r="AB948" s="84"/>
      <c r="AC948" s="12"/>
      <c r="AD948" s="12"/>
      <c r="AE948" s="12"/>
    </row>
    <row r="949" customFormat="false" ht="15.75" hidden="false" customHeight="false" outlineLevel="0" collapsed="false">
      <c r="A949" s="12"/>
      <c r="B949" s="12"/>
      <c r="C949" s="23" t="s">
        <v>3863</v>
      </c>
      <c r="D949" s="24"/>
      <c r="E949" s="17"/>
      <c r="F949" s="17"/>
      <c r="G949" s="17"/>
      <c r="H949" s="17"/>
      <c r="I949" s="17" t="s">
        <v>260</v>
      </c>
      <c r="J949" s="17" t="s">
        <v>618</v>
      </c>
      <c r="K949" s="17"/>
      <c r="L949" s="17"/>
      <c r="M949" s="27"/>
      <c r="N949" s="17"/>
      <c r="O949" s="17"/>
      <c r="P949" s="40" t="s">
        <v>261</v>
      </c>
      <c r="Q949" s="20"/>
      <c r="R949" s="20"/>
      <c r="S949" s="20"/>
      <c r="T949" s="20"/>
      <c r="U949" s="20"/>
      <c r="V949" s="45"/>
      <c r="Z949" s="20"/>
      <c r="AA949" s="22"/>
      <c r="AB949" s="84"/>
      <c r="AC949" s="20"/>
      <c r="AD949" s="20"/>
      <c r="AE949" s="20"/>
    </row>
    <row r="950" customFormat="false" ht="15.75" hidden="false" customHeight="false" outlineLevel="0" collapsed="false">
      <c r="A950" s="12"/>
      <c r="B950" s="12"/>
      <c r="C950" s="23" t="s">
        <v>3864</v>
      </c>
      <c r="D950" s="24"/>
      <c r="E950" s="17"/>
      <c r="F950" s="17"/>
      <c r="G950" s="17"/>
      <c r="H950" s="17"/>
      <c r="I950" s="17" t="s">
        <v>260</v>
      </c>
      <c r="J950" s="17" t="s">
        <v>618</v>
      </c>
      <c r="K950" s="17"/>
      <c r="L950" s="17"/>
      <c r="M950" s="27"/>
      <c r="N950" s="17"/>
      <c r="O950" s="17"/>
      <c r="P950" s="40" t="s">
        <v>261</v>
      </c>
      <c r="Q950" s="12"/>
      <c r="R950" s="12"/>
      <c r="S950" s="12"/>
      <c r="T950" s="12"/>
      <c r="U950" s="12"/>
      <c r="V950" s="21"/>
      <c r="Z950" s="12"/>
      <c r="AA950" s="29"/>
      <c r="AB950" s="84"/>
      <c r="AC950" s="12"/>
      <c r="AD950" s="12"/>
      <c r="AE950" s="12"/>
    </row>
    <row r="951" customFormat="false" ht="15.75" hidden="false" customHeight="false" outlineLevel="0" collapsed="false">
      <c r="A951" s="12"/>
      <c r="B951" s="12"/>
      <c r="C951" s="23" t="s">
        <v>3865</v>
      </c>
      <c r="D951" s="24"/>
      <c r="E951" s="17"/>
      <c r="F951" s="17"/>
      <c r="G951" s="17"/>
      <c r="H951" s="17"/>
      <c r="I951" s="17" t="s">
        <v>260</v>
      </c>
      <c r="J951" s="17" t="s">
        <v>618</v>
      </c>
      <c r="K951" s="17"/>
      <c r="L951" s="17"/>
      <c r="M951" s="27"/>
      <c r="N951" s="17"/>
      <c r="O951" s="17"/>
      <c r="P951" s="40" t="s">
        <v>261</v>
      </c>
      <c r="Q951" s="12"/>
      <c r="R951" s="12"/>
      <c r="S951" s="12"/>
      <c r="T951" s="12"/>
      <c r="U951" s="12"/>
      <c r="V951" s="21"/>
      <c r="Z951" s="12"/>
      <c r="AA951" s="29"/>
      <c r="AB951" s="84"/>
      <c r="AC951" s="12"/>
      <c r="AD951" s="12"/>
      <c r="AE951" s="12"/>
    </row>
    <row r="952" customFormat="false" ht="15.75" hidden="false" customHeight="false" outlineLevel="0" collapsed="false">
      <c r="A952" s="12"/>
      <c r="B952" s="12"/>
      <c r="C952" s="23" t="s">
        <v>3866</v>
      </c>
      <c r="D952" s="24" t="s">
        <v>94</v>
      </c>
      <c r="E952" s="17"/>
      <c r="F952" s="17"/>
      <c r="G952" s="17"/>
      <c r="H952" s="17"/>
      <c r="I952" s="17" t="s">
        <v>260</v>
      </c>
      <c r="J952" s="17" t="s">
        <v>618</v>
      </c>
      <c r="K952" s="17"/>
      <c r="L952" s="17"/>
      <c r="M952" s="27"/>
      <c r="N952" s="17"/>
      <c r="O952" s="17"/>
      <c r="P952" s="40" t="s">
        <v>261</v>
      </c>
      <c r="Q952" s="17"/>
      <c r="R952" s="17"/>
      <c r="S952" s="17"/>
      <c r="T952" s="17"/>
      <c r="U952" s="17"/>
      <c r="V952" s="27"/>
      <c r="Z952" s="17"/>
      <c r="AA952" s="29"/>
      <c r="AB952" s="84"/>
      <c r="AC952" s="17"/>
      <c r="AD952" s="17"/>
      <c r="AE952" s="17"/>
    </row>
    <row r="953" customFormat="false" ht="15.75" hidden="false" customHeight="false" outlineLevel="0" collapsed="false">
      <c r="A953" s="12"/>
      <c r="B953" s="12"/>
      <c r="C953" s="23" t="s">
        <v>3867</v>
      </c>
      <c r="D953" s="24" t="s">
        <v>94</v>
      </c>
      <c r="E953" s="17"/>
      <c r="F953" s="17"/>
      <c r="G953" s="17"/>
      <c r="H953" s="17"/>
      <c r="I953" s="17" t="s">
        <v>260</v>
      </c>
      <c r="J953" s="17" t="s">
        <v>618</v>
      </c>
      <c r="K953" s="17"/>
      <c r="L953" s="17"/>
      <c r="M953" s="27"/>
      <c r="N953" s="17"/>
      <c r="O953" s="17"/>
      <c r="P953" s="40" t="s">
        <v>261</v>
      </c>
      <c r="Q953" s="12"/>
      <c r="R953" s="12"/>
      <c r="S953" s="12"/>
      <c r="T953" s="12"/>
      <c r="U953" s="12"/>
      <c r="V953" s="21"/>
      <c r="Z953" s="12"/>
      <c r="AA953" s="29"/>
      <c r="AB953" s="84"/>
      <c r="AC953" s="12"/>
      <c r="AD953" s="12"/>
      <c r="AE953" s="12"/>
    </row>
    <row r="954" customFormat="false" ht="15.75" hidden="false" customHeight="false" outlineLevel="0" collapsed="false">
      <c r="A954" s="12"/>
      <c r="B954" s="54"/>
      <c r="C954" s="55" t="s">
        <v>3868</v>
      </c>
      <c r="D954" s="15"/>
      <c r="E954" s="16" t="s">
        <v>3869</v>
      </c>
      <c r="F954" s="15" t="s">
        <v>3870</v>
      </c>
      <c r="G954" s="15"/>
      <c r="H954" s="15"/>
      <c r="I954" s="26" t="s">
        <v>230</v>
      </c>
      <c r="J954" s="15" t="s">
        <v>58</v>
      </c>
      <c r="K954" s="15" t="n">
        <v>2013</v>
      </c>
      <c r="L954" s="17"/>
      <c r="M954" s="18"/>
      <c r="N954" s="17"/>
      <c r="O954" s="17"/>
      <c r="P954" s="19" t="s">
        <v>39</v>
      </c>
      <c r="Q954" s="20"/>
      <c r="R954" s="20" t="s">
        <v>3871</v>
      </c>
      <c r="S954" s="20"/>
      <c r="T954" s="20" t="s">
        <v>3872</v>
      </c>
      <c r="U954" s="20"/>
      <c r="V954" s="21" t="s">
        <v>31</v>
      </c>
      <c r="Z954" s="20"/>
      <c r="AA954" s="22"/>
      <c r="AB954" s="18" t="s">
        <v>3873</v>
      </c>
      <c r="AC954" s="20"/>
      <c r="AD954" s="20"/>
      <c r="AE954" s="20"/>
    </row>
    <row r="955" customFormat="false" ht="15.75" hidden="false" customHeight="false" outlineLevel="0" collapsed="false">
      <c r="A955" s="12" t="s">
        <v>31</v>
      </c>
      <c r="B955" s="54" t="s">
        <v>32</v>
      </c>
      <c r="C955" s="55" t="s">
        <v>1766</v>
      </c>
      <c r="D955" s="24"/>
      <c r="E955" s="102" t="s">
        <v>3874</v>
      </c>
      <c r="F955" s="15" t="s">
        <v>3875</v>
      </c>
      <c r="G955" s="15"/>
      <c r="H955" s="15"/>
      <c r="I955" s="26" t="s">
        <v>551</v>
      </c>
      <c r="J955" s="15" t="s">
        <v>58</v>
      </c>
      <c r="K955" s="17"/>
      <c r="L955" s="17"/>
      <c r="M955" s="18"/>
      <c r="N955" s="17"/>
      <c r="O955" s="17"/>
      <c r="P955" s="19" t="s">
        <v>39</v>
      </c>
      <c r="Q955" s="20"/>
      <c r="R955" s="20" t="s">
        <v>3876</v>
      </c>
      <c r="S955" s="20"/>
      <c r="T955" s="20" t="s">
        <v>3877</v>
      </c>
      <c r="U955" s="20"/>
      <c r="V955" s="21" t="s">
        <v>31</v>
      </c>
      <c r="Z955" s="20"/>
      <c r="AA955" s="22"/>
      <c r="AB955" s="18" t="s">
        <v>3878</v>
      </c>
      <c r="AC955" s="20"/>
      <c r="AD955" s="20"/>
      <c r="AE955" s="20"/>
    </row>
    <row r="956" customFormat="false" ht="15.75" hidden="false" customHeight="false" outlineLevel="0" collapsed="false">
      <c r="A956" s="12" t="s">
        <v>31</v>
      </c>
      <c r="B956" s="54" t="s">
        <v>32</v>
      </c>
      <c r="C956" s="55" t="s">
        <v>3879</v>
      </c>
      <c r="D956" s="24"/>
      <c r="E956" s="57" t="s">
        <v>3880</v>
      </c>
      <c r="F956" s="15" t="s">
        <v>3881</v>
      </c>
      <c r="G956" s="15"/>
      <c r="H956" s="15"/>
      <c r="I956" s="26" t="s">
        <v>3238</v>
      </c>
      <c r="J956" s="15" t="s">
        <v>58</v>
      </c>
      <c r="K956" s="17"/>
      <c r="L956" s="17"/>
      <c r="M956" s="18"/>
      <c r="N956" s="17"/>
      <c r="O956" s="17"/>
      <c r="P956" s="19" t="s">
        <v>39</v>
      </c>
      <c r="Q956" s="20"/>
      <c r="R956" s="20" t="s">
        <v>3882</v>
      </c>
      <c r="S956" s="20"/>
      <c r="T956" s="20" t="s">
        <v>3883</v>
      </c>
      <c r="U956" s="20"/>
      <c r="V956" s="21" t="s">
        <v>31</v>
      </c>
      <c r="Z956" s="20"/>
      <c r="AA956" s="22"/>
      <c r="AB956" s="18" t="s">
        <v>3884</v>
      </c>
      <c r="AC956" s="20"/>
      <c r="AD956" s="20"/>
      <c r="AE956" s="20"/>
    </row>
    <row r="957" customFormat="false" ht="15.75" hidden="false" customHeight="false" outlineLevel="0" collapsed="false">
      <c r="A957" s="12"/>
      <c r="B957" s="12"/>
      <c r="C957" s="23" t="s">
        <v>3885</v>
      </c>
      <c r="D957" s="24"/>
      <c r="E957" s="25" t="s">
        <v>3886</v>
      </c>
      <c r="F957" s="17"/>
      <c r="G957" s="17" t="s">
        <v>2629</v>
      </c>
      <c r="H957" s="17"/>
      <c r="I957" s="26" t="s">
        <v>82</v>
      </c>
      <c r="J957" s="17" t="s">
        <v>244</v>
      </c>
      <c r="K957" s="17"/>
      <c r="L957" s="17"/>
      <c r="M957" s="27"/>
      <c r="N957" s="17"/>
      <c r="O957" s="17"/>
      <c r="P957" s="28" t="s">
        <v>46</v>
      </c>
      <c r="Q957" s="17"/>
      <c r="R957" s="17"/>
      <c r="S957" s="17"/>
      <c r="T957" s="17"/>
      <c r="U957" s="17"/>
      <c r="V957" s="27"/>
      <c r="Z957" s="17"/>
      <c r="AA957" s="29"/>
      <c r="AB957" s="84"/>
      <c r="AC957" s="17"/>
      <c r="AD957" s="17"/>
      <c r="AE957" s="17"/>
    </row>
    <row r="958" customFormat="false" ht="15.75" hidden="false" customHeight="false" outlineLevel="0" collapsed="false">
      <c r="A958" s="12"/>
      <c r="B958" s="12"/>
      <c r="C958" s="23" t="s">
        <v>3887</v>
      </c>
      <c r="D958" s="24"/>
      <c r="E958" s="25" t="s">
        <v>3888</v>
      </c>
      <c r="F958" s="17"/>
      <c r="G958" s="17" t="s">
        <v>2629</v>
      </c>
      <c r="H958" s="17"/>
      <c r="I958" s="26" t="s">
        <v>82</v>
      </c>
      <c r="J958" s="17" t="s">
        <v>611</v>
      </c>
      <c r="K958" s="17"/>
      <c r="L958" s="17"/>
      <c r="M958" s="27"/>
      <c r="N958" s="17"/>
      <c r="O958" s="17"/>
      <c r="P958" s="28" t="s">
        <v>46</v>
      </c>
      <c r="Q958" s="20"/>
      <c r="R958" s="20"/>
      <c r="S958" s="20"/>
      <c r="T958" s="20"/>
      <c r="U958" s="20"/>
      <c r="V958" s="45"/>
      <c r="Z958" s="20"/>
      <c r="AA958" s="22"/>
      <c r="AB958" s="84"/>
      <c r="AC958" s="20"/>
      <c r="AD958" s="20"/>
      <c r="AE958" s="20"/>
    </row>
    <row r="959" customFormat="false" ht="15.75" hidden="false" customHeight="false" outlineLevel="0" collapsed="false">
      <c r="A959" s="12"/>
      <c r="B959" s="12"/>
      <c r="C959" s="23" t="s">
        <v>3889</v>
      </c>
      <c r="D959" s="24"/>
      <c r="E959" s="25" t="s">
        <v>3890</v>
      </c>
      <c r="F959" s="17"/>
      <c r="G959" s="17" t="s">
        <v>1100</v>
      </c>
      <c r="H959" s="17"/>
      <c r="I959" s="26" t="s">
        <v>82</v>
      </c>
      <c r="J959" s="17" t="s">
        <v>611</v>
      </c>
      <c r="K959" s="17"/>
      <c r="L959" s="17"/>
      <c r="M959" s="27"/>
      <c r="N959" s="17"/>
      <c r="O959" s="17"/>
      <c r="P959" s="28" t="s">
        <v>46</v>
      </c>
      <c r="V959" s="21"/>
      <c r="AA959" s="63"/>
      <c r="AB959" s="84"/>
    </row>
    <row r="960" customFormat="false" ht="15.75" hidden="false" customHeight="false" outlineLevel="0" collapsed="false">
      <c r="A960" s="12"/>
      <c r="B960" s="12"/>
      <c r="C960" s="23" t="s">
        <v>3891</v>
      </c>
      <c r="D960" s="24" t="s">
        <v>61</v>
      </c>
      <c r="E960" s="25" t="s">
        <v>3892</v>
      </c>
      <c r="F960" s="17" t="s">
        <v>3893</v>
      </c>
      <c r="G960" s="17" t="s">
        <v>3894</v>
      </c>
      <c r="H960" s="17"/>
      <c r="I960" s="17" t="s">
        <v>260</v>
      </c>
      <c r="J960" s="15" t="s">
        <v>2283</v>
      </c>
      <c r="K960" s="17"/>
      <c r="L960" s="17"/>
      <c r="M960" s="27"/>
      <c r="N960" s="17"/>
      <c r="O960" s="17"/>
      <c r="P960" s="40" t="s">
        <v>261</v>
      </c>
      <c r="Q960" s="12"/>
      <c r="R960" s="12"/>
      <c r="S960" s="12"/>
      <c r="T960" s="12"/>
      <c r="U960" s="12"/>
      <c r="V960" s="21"/>
      <c r="Z960" s="12"/>
      <c r="AA960" s="29" t="n">
        <v>1</v>
      </c>
      <c r="AB960" s="84"/>
      <c r="AC960" s="12"/>
      <c r="AD960" s="12"/>
      <c r="AE960" s="12"/>
    </row>
    <row r="961" customFormat="false" ht="15.75" hidden="false" customHeight="false" outlineLevel="0" collapsed="false">
      <c r="A961" s="12"/>
      <c r="B961" s="12"/>
      <c r="C961" s="23" t="s">
        <v>3895</v>
      </c>
      <c r="D961" s="24"/>
      <c r="E961" s="17"/>
      <c r="F961" s="17"/>
      <c r="G961" s="17"/>
      <c r="H961" s="17"/>
      <c r="I961" s="17" t="s">
        <v>260</v>
      </c>
      <c r="J961" s="15" t="s">
        <v>2283</v>
      </c>
      <c r="K961" s="17"/>
      <c r="L961" s="17"/>
      <c r="M961" s="27"/>
      <c r="N961" s="17"/>
      <c r="O961" s="17"/>
      <c r="P961" s="40" t="s">
        <v>261</v>
      </c>
      <c r="Q961" s="12"/>
      <c r="R961" s="12"/>
      <c r="S961" s="12"/>
      <c r="T961" s="12"/>
      <c r="U961" s="12"/>
      <c r="V961" s="21"/>
      <c r="Z961" s="12"/>
      <c r="AA961" s="29"/>
      <c r="AB961" s="84"/>
      <c r="AC961" s="12"/>
      <c r="AD961" s="12"/>
      <c r="AE961" s="12"/>
    </row>
    <row r="962" customFormat="false" ht="15.75" hidden="false" customHeight="false" outlineLevel="0" collapsed="false">
      <c r="A962" s="12"/>
      <c r="B962" s="12"/>
      <c r="C962" s="23" t="s">
        <v>3896</v>
      </c>
      <c r="D962" s="24"/>
      <c r="E962" s="17"/>
      <c r="F962" s="17"/>
      <c r="G962" s="17"/>
      <c r="H962" s="17"/>
      <c r="I962" s="17" t="s">
        <v>260</v>
      </c>
      <c r="J962" s="15" t="s">
        <v>2283</v>
      </c>
      <c r="K962" s="17"/>
      <c r="L962" s="17"/>
      <c r="M962" s="27"/>
      <c r="N962" s="17"/>
      <c r="O962" s="17"/>
      <c r="P962" s="40" t="s">
        <v>261</v>
      </c>
      <c r="Q962" s="12"/>
      <c r="R962" s="12"/>
      <c r="S962" s="12"/>
      <c r="T962" s="12"/>
      <c r="U962" s="12"/>
      <c r="V962" s="21"/>
      <c r="Z962" s="12"/>
      <c r="AA962" s="29"/>
      <c r="AB962" s="84"/>
      <c r="AC962" s="12"/>
      <c r="AD962" s="12"/>
      <c r="AE962" s="12"/>
    </row>
    <row r="963" customFormat="false" ht="15.75" hidden="false" customHeight="false" outlineLevel="0" collapsed="false">
      <c r="A963" s="12"/>
      <c r="B963" s="12"/>
      <c r="C963" s="23" t="s">
        <v>3897</v>
      </c>
      <c r="D963" s="24"/>
      <c r="E963" s="17"/>
      <c r="F963" s="17"/>
      <c r="G963" s="17"/>
      <c r="H963" s="17"/>
      <c r="I963" s="17" t="s">
        <v>260</v>
      </c>
      <c r="J963" s="15" t="s">
        <v>167</v>
      </c>
      <c r="K963" s="17"/>
      <c r="L963" s="17"/>
      <c r="M963" s="27"/>
      <c r="N963" s="17"/>
      <c r="O963" s="17"/>
      <c r="P963" s="40" t="s">
        <v>261</v>
      </c>
      <c r="Q963" s="12"/>
      <c r="R963" s="12"/>
      <c r="S963" s="12"/>
      <c r="T963" s="12"/>
      <c r="U963" s="12"/>
      <c r="V963" s="21"/>
      <c r="Z963" s="12"/>
      <c r="AA963" s="29"/>
      <c r="AB963" s="84"/>
      <c r="AC963" s="12"/>
      <c r="AD963" s="12"/>
      <c r="AE963" s="12"/>
    </row>
    <row r="964" customFormat="false" ht="15.75" hidden="false" customHeight="false" outlineLevel="0" collapsed="false">
      <c r="A964" s="12"/>
      <c r="B964" s="12"/>
      <c r="C964" s="23" t="s">
        <v>3898</v>
      </c>
      <c r="D964" s="24"/>
      <c r="E964" s="17"/>
      <c r="F964" s="17"/>
      <c r="G964" s="17"/>
      <c r="H964" s="17"/>
      <c r="I964" s="17" t="s">
        <v>260</v>
      </c>
      <c r="J964" s="15" t="s">
        <v>2283</v>
      </c>
      <c r="K964" s="17"/>
      <c r="L964" s="17"/>
      <c r="M964" s="27"/>
      <c r="N964" s="17"/>
      <c r="O964" s="17"/>
      <c r="P964" s="40" t="s">
        <v>261</v>
      </c>
      <c r="Q964" s="12"/>
      <c r="R964" s="12"/>
      <c r="S964" s="12"/>
      <c r="T964" s="12"/>
      <c r="U964" s="12"/>
      <c r="V964" s="21"/>
      <c r="Z964" s="12"/>
      <c r="AA964" s="29"/>
      <c r="AB964" s="84"/>
      <c r="AC964" s="12"/>
      <c r="AD964" s="12"/>
      <c r="AE964" s="12"/>
    </row>
    <row r="965" customFormat="false" ht="15.75" hidden="false" customHeight="false" outlineLevel="0" collapsed="false">
      <c r="A965" s="12"/>
      <c r="B965" s="12"/>
      <c r="C965" s="23" t="s">
        <v>3899</v>
      </c>
      <c r="D965" s="24"/>
      <c r="E965" s="17"/>
      <c r="F965" s="17"/>
      <c r="G965" s="17"/>
      <c r="H965" s="17"/>
      <c r="I965" s="17" t="s">
        <v>260</v>
      </c>
      <c r="J965" s="15" t="s">
        <v>2283</v>
      </c>
      <c r="K965" s="17"/>
      <c r="L965" s="17"/>
      <c r="M965" s="27"/>
      <c r="N965" s="17"/>
      <c r="O965" s="17"/>
      <c r="P965" s="40" t="s">
        <v>261</v>
      </c>
      <c r="V965" s="60"/>
      <c r="AA965" s="63"/>
      <c r="AB965" s="84"/>
    </row>
    <row r="966" customFormat="false" ht="15.75" hidden="false" customHeight="false" outlineLevel="0" collapsed="false">
      <c r="A966" s="12"/>
      <c r="B966" s="12"/>
      <c r="C966" s="23" t="s">
        <v>3900</v>
      </c>
      <c r="D966" s="24"/>
      <c r="E966" s="17"/>
      <c r="F966" s="17"/>
      <c r="G966" s="17"/>
      <c r="H966" s="17"/>
      <c r="I966" s="17" t="s">
        <v>260</v>
      </c>
      <c r="J966" s="15" t="s">
        <v>2283</v>
      </c>
      <c r="K966" s="17"/>
      <c r="L966" s="17"/>
      <c r="M966" s="27"/>
      <c r="N966" s="17"/>
      <c r="O966" s="17"/>
      <c r="P966" s="40" t="s">
        <v>261</v>
      </c>
      <c r="Q966" s="12"/>
      <c r="R966" s="12"/>
      <c r="S966" s="12"/>
      <c r="T966" s="12"/>
      <c r="U966" s="12"/>
      <c r="V966" s="21"/>
      <c r="Z966" s="12"/>
      <c r="AA966" s="29"/>
      <c r="AB966" s="84"/>
      <c r="AC966" s="12"/>
      <c r="AD966" s="12"/>
      <c r="AE966" s="12"/>
    </row>
    <row r="967" customFormat="false" ht="15.75" hidden="false" customHeight="false" outlineLevel="0" collapsed="false">
      <c r="A967" s="12"/>
      <c r="B967" s="12"/>
      <c r="C967" s="23" t="s">
        <v>3901</v>
      </c>
      <c r="D967" s="24"/>
      <c r="E967" s="25" t="s">
        <v>3902</v>
      </c>
      <c r="F967" s="17"/>
      <c r="G967" s="17" t="s">
        <v>3274</v>
      </c>
      <c r="H967" s="17"/>
      <c r="I967" s="26" t="s">
        <v>551</v>
      </c>
      <c r="J967" s="15" t="s">
        <v>2283</v>
      </c>
      <c r="K967" s="17"/>
      <c r="L967" s="17"/>
      <c r="M967" s="27"/>
      <c r="N967" s="17"/>
      <c r="O967" s="17"/>
      <c r="P967" s="28" t="s">
        <v>46</v>
      </c>
      <c r="Q967" s="17"/>
      <c r="R967" s="17"/>
      <c r="S967" s="17"/>
      <c r="T967" s="17"/>
      <c r="U967" s="17"/>
      <c r="V967" s="27"/>
      <c r="Z967" s="17"/>
      <c r="AA967" s="29"/>
      <c r="AB967" s="84"/>
      <c r="AC967" s="17"/>
      <c r="AD967" s="17"/>
      <c r="AE967" s="17"/>
    </row>
    <row r="968" customFormat="false" ht="15.75" hidden="false" customHeight="false" outlineLevel="0" collapsed="false">
      <c r="A968" s="12"/>
      <c r="B968" s="12"/>
      <c r="C968" s="23" t="s">
        <v>3903</v>
      </c>
      <c r="D968" s="24"/>
      <c r="E968" s="17"/>
      <c r="F968" s="17"/>
      <c r="G968" s="17"/>
      <c r="H968" s="17"/>
      <c r="I968" s="17" t="s">
        <v>260</v>
      </c>
      <c r="J968" s="15" t="s">
        <v>2283</v>
      </c>
      <c r="K968" s="17"/>
      <c r="L968" s="17"/>
      <c r="M968" s="27"/>
      <c r="N968" s="17"/>
      <c r="O968" s="17"/>
      <c r="P968" s="40" t="s">
        <v>261</v>
      </c>
      <c r="Q968" s="20"/>
      <c r="R968" s="20"/>
      <c r="S968" s="20"/>
      <c r="T968" s="20"/>
      <c r="U968" s="20"/>
      <c r="V968" s="45"/>
      <c r="Z968" s="20"/>
      <c r="AA968" s="22"/>
      <c r="AB968" s="84"/>
      <c r="AC968" s="20"/>
      <c r="AD968" s="20"/>
      <c r="AE968" s="20"/>
    </row>
    <row r="969" customFormat="false" ht="15.75" hidden="false" customHeight="false" outlineLevel="0" collapsed="false">
      <c r="A969" s="12"/>
      <c r="B969" s="12"/>
      <c r="C969" s="23" t="s">
        <v>3904</v>
      </c>
      <c r="D969" s="24"/>
      <c r="E969" s="17"/>
      <c r="F969" s="17"/>
      <c r="G969" s="17"/>
      <c r="H969" s="17"/>
      <c r="I969" s="17" t="s">
        <v>260</v>
      </c>
      <c r="J969" s="15" t="s">
        <v>2283</v>
      </c>
      <c r="K969" s="17"/>
      <c r="L969" s="17"/>
      <c r="M969" s="27"/>
      <c r="N969" s="17"/>
      <c r="O969" s="17"/>
      <c r="P969" s="40" t="s">
        <v>261</v>
      </c>
      <c r="Q969" s="17"/>
      <c r="R969" s="17"/>
      <c r="S969" s="17"/>
      <c r="T969" s="17"/>
      <c r="U969" s="17"/>
      <c r="V969" s="27"/>
      <c r="Z969" s="17"/>
      <c r="AA969" s="29"/>
      <c r="AB969" s="84"/>
      <c r="AC969" s="17"/>
      <c r="AD969" s="17"/>
      <c r="AE969" s="17"/>
    </row>
    <row r="970" customFormat="false" ht="15.75" hidden="false" customHeight="false" outlineLevel="0" collapsed="false">
      <c r="A970" s="12"/>
      <c r="B970" s="12"/>
      <c r="C970" s="23" t="s">
        <v>3905</v>
      </c>
      <c r="D970" s="24"/>
      <c r="E970" s="17"/>
      <c r="F970" s="17"/>
      <c r="G970" s="17"/>
      <c r="H970" s="17"/>
      <c r="I970" s="17" t="s">
        <v>260</v>
      </c>
      <c r="J970" s="15" t="s">
        <v>2283</v>
      </c>
      <c r="K970" s="17"/>
      <c r="L970" s="17"/>
      <c r="M970" s="27"/>
      <c r="N970" s="17"/>
      <c r="O970" s="17"/>
      <c r="P970" s="40" t="s">
        <v>261</v>
      </c>
      <c r="Q970" s="12"/>
      <c r="R970" s="12"/>
      <c r="S970" s="12"/>
      <c r="T970" s="12"/>
      <c r="U970" s="12"/>
      <c r="V970" s="21"/>
      <c r="Z970" s="12"/>
      <c r="AA970" s="29"/>
      <c r="AB970" s="84"/>
      <c r="AC970" s="12"/>
      <c r="AD970" s="12"/>
      <c r="AE970" s="12"/>
    </row>
    <row r="971" customFormat="false" ht="15.75" hidden="false" customHeight="false" outlineLevel="0" collapsed="false">
      <c r="A971" s="12"/>
      <c r="B971" s="12"/>
      <c r="C971" s="23" t="s">
        <v>3906</v>
      </c>
      <c r="D971" s="24"/>
      <c r="E971" s="17"/>
      <c r="F971" s="17"/>
      <c r="G971" s="17"/>
      <c r="H971" s="17"/>
      <c r="I971" s="17" t="s">
        <v>260</v>
      </c>
      <c r="J971" s="15" t="s">
        <v>2283</v>
      </c>
      <c r="K971" s="17"/>
      <c r="L971" s="17"/>
      <c r="M971" s="27"/>
      <c r="N971" s="17"/>
      <c r="O971" s="17"/>
      <c r="P971" s="40" t="s">
        <v>261</v>
      </c>
      <c r="Q971" s="12"/>
      <c r="R971" s="12"/>
      <c r="S971" s="12"/>
      <c r="T971" s="12"/>
      <c r="U971" s="12"/>
      <c r="V971" s="21"/>
      <c r="Z971" s="12"/>
      <c r="AA971" s="29"/>
      <c r="AB971" s="84"/>
      <c r="AC971" s="12"/>
      <c r="AD971" s="12"/>
      <c r="AE971" s="12"/>
    </row>
    <row r="972" customFormat="false" ht="15.75" hidden="false" customHeight="false" outlineLevel="0" collapsed="false">
      <c r="A972" s="12" t="str">
        <f aca="false">IF((AA972&gt;=4), "Y", "N")</f>
        <v>Y</v>
      </c>
      <c r="B972" s="13"/>
      <c r="C972" s="31" t="s">
        <v>3907</v>
      </c>
      <c r="D972" s="16" t="s">
        <v>521</v>
      </c>
      <c r="E972" s="32" t="s">
        <v>3908</v>
      </c>
      <c r="F972" s="17" t="s">
        <v>3909</v>
      </c>
      <c r="G972" s="17"/>
      <c r="H972" s="17"/>
      <c r="I972" s="26" t="s">
        <v>266</v>
      </c>
      <c r="J972" s="15" t="s">
        <v>3910</v>
      </c>
      <c r="K972" s="33" t="n">
        <v>1999</v>
      </c>
      <c r="L972" s="33" t="s">
        <v>99</v>
      </c>
      <c r="M972" s="27"/>
      <c r="N972" s="17" t="s">
        <v>3911</v>
      </c>
      <c r="O972" s="17"/>
      <c r="P972" s="40" t="s">
        <v>268</v>
      </c>
      <c r="V972" s="60"/>
      <c r="AA972" s="29" t="str">
        <f aca="false">IF(P972="OD500 MX", "5", " ")</f>
        <v>5</v>
      </c>
      <c r="AB972" s="84"/>
    </row>
    <row r="973" customFormat="false" ht="15.75" hidden="false" customHeight="false" outlineLevel="0" collapsed="false">
      <c r="A973" s="12" t="str">
        <f aca="false">IF((AA973&gt;=4), "Y", "N")</f>
        <v>Y</v>
      </c>
      <c r="B973" s="13"/>
      <c r="C973" s="31" t="s">
        <v>3912</v>
      </c>
      <c r="D973" s="24" t="s">
        <v>94</v>
      </c>
      <c r="E973" s="32" t="s">
        <v>3913</v>
      </c>
      <c r="F973" s="17"/>
      <c r="G973" s="17"/>
      <c r="H973" s="17"/>
      <c r="I973" s="26" t="s">
        <v>266</v>
      </c>
      <c r="J973" s="15" t="s">
        <v>2283</v>
      </c>
      <c r="K973" s="33" t="n">
        <v>1916</v>
      </c>
      <c r="L973" s="33" t="s">
        <v>275</v>
      </c>
      <c r="M973" s="27"/>
      <c r="N973" s="17" t="s">
        <v>3914</v>
      </c>
      <c r="O973" s="17"/>
      <c r="P973" s="40" t="s">
        <v>268</v>
      </c>
      <c r="Q973" s="17"/>
      <c r="R973" s="17"/>
      <c r="S973" s="17"/>
      <c r="T973" s="17"/>
      <c r="U973" s="17"/>
      <c r="V973" s="27"/>
      <c r="Z973" s="17"/>
      <c r="AA973" s="29" t="str">
        <f aca="false">IF(P973="OD500 MX", "5", " ")</f>
        <v>5</v>
      </c>
      <c r="AB973" s="84"/>
      <c r="AC973" s="17"/>
      <c r="AD973" s="17"/>
      <c r="AE973" s="17"/>
    </row>
    <row r="974" customFormat="false" ht="15.75" hidden="false" customHeight="false" outlineLevel="0" collapsed="false">
      <c r="A974" s="12" t="str">
        <f aca="false">IF((AA974&gt;=4), "Y", "N")</f>
        <v>Y</v>
      </c>
      <c r="B974" s="13"/>
      <c r="C974" s="31" t="s">
        <v>3915</v>
      </c>
      <c r="D974" s="24" t="s">
        <v>94</v>
      </c>
      <c r="E974" s="32" t="s">
        <v>3916</v>
      </c>
      <c r="F974" s="17"/>
      <c r="G974" s="17"/>
      <c r="H974" s="17"/>
      <c r="I974" s="26" t="s">
        <v>266</v>
      </c>
      <c r="J974" s="32" t="s">
        <v>3910</v>
      </c>
      <c r="K974" s="33" t="n">
        <v>1924</v>
      </c>
      <c r="L974" s="33" t="s">
        <v>275</v>
      </c>
      <c r="M974" s="27"/>
      <c r="N974" s="17" t="s">
        <v>3917</v>
      </c>
      <c r="O974" s="17"/>
      <c r="P974" s="40" t="s">
        <v>268</v>
      </c>
      <c r="Q974" s="12"/>
      <c r="R974" s="12"/>
      <c r="S974" s="12"/>
      <c r="T974" s="12"/>
      <c r="U974" s="12"/>
      <c r="V974" s="21"/>
      <c r="Z974" s="12"/>
      <c r="AA974" s="29" t="str">
        <f aca="false">IF(P974="OD500 MX", "5", " ")</f>
        <v>5</v>
      </c>
      <c r="AB974" s="84"/>
      <c r="AC974" s="12"/>
      <c r="AD974" s="12"/>
      <c r="AE974" s="12"/>
    </row>
    <row r="975" customFormat="false" ht="15.75" hidden="false" customHeight="false" outlineLevel="0" collapsed="false">
      <c r="A975" s="12" t="str">
        <f aca="false">IF((AA975&gt;=4), "Y", "N")</f>
        <v>Y</v>
      </c>
      <c r="B975" s="13"/>
      <c r="C975" s="31" t="s">
        <v>3918</v>
      </c>
      <c r="D975" s="24" t="s">
        <v>94</v>
      </c>
      <c r="E975" s="32" t="s">
        <v>3919</v>
      </c>
      <c r="F975" s="17"/>
      <c r="G975" s="17"/>
      <c r="H975" s="17"/>
      <c r="I975" s="26" t="s">
        <v>266</v>
      </c>
      <c r="J975" s="15" t="s">
        <v>2283</v>
      </c>
      <c r="K975" s="33" t="n">
        <v>1998</v>
      </c>
      <c r="L975" s="33" t="s">
        <v>275</v>
      </c>
      <c r="M975" s="27"/>
      <c r="N975" s="17" t="s">
        <v>3920</v>
      </c>
      <c r="O975" s="17"/>
      <c r="P975" s="40" t="s">
        <v>268</v>
      </c>
      <c r="Q975" s="20"/>
      <c r="R975" s="20"/>
      <c r="S975" s="20"/>
      <c r="T975" s="20"/>
      <c r="U975" s="20"/>
      <c r="V975" s="45"/>
      <c r="Z975" s="20"/>
      <c r="AA975" s="29" t="str">
        <f aca="false">IF(P975="OD500 MX", "5", " ")</f>
        <v>5</v>
      </c>
      <c r="AB975" s="84"/>
      <c r="AC975" s="20"/>
      <c r="AD975" s="20"/>
      <c r="AE975" s="20"/>
    </row>
    <row r="976" customFormat="false" ht="15.75" hidden="false" customHeight="false" outlineLevel="0" collapsed="false">
      <c r="A976" s="12"/>
      <c r="B976" s="12"/>
      <c r="C976" s="23" t="s">
        <v>3921</v>
      </c>
      <c r="D976" s="24" t="s">
        <v>1851</v>
      </c>
      <c r="E976" s="25" t="s">
        <v>3922</v>
      </c>
      <c r="F976" s="17" t="s">
        <v>3923</v>
      </c>
      <c r="G976" s="17" t="s">
        <v>126</v>
      </c>
      <c r="H976" s="17"/>
      <c r="I976" s="26" t="s">
        <v>127</v>
      </c>
      <c r="J976" s="15" t="s">
        <v>2283</v>
      </c>
      <c r="K976" s="17" t="n">
        <v>2007</v>
      </c>
      <c r="L976" s="17"/>
      <c r="M976" s="27"/>
      <c r="N976" s="17"/>
      <c r="O976" s="17"/>
      <c r="P976" s="28" t="s">
        <v>46</v>
      </c>
      <c r="Q976" s="17"/>
      <c r="R976" s="17"/>
      <c r="S976" s="17"/>
      <c r="T976" s="17"/>
      <c r="U976" s="17"/>
      <c r="V976" s="27"/>
      <c r="Z976" s="17"/>
      <c r="AA976" s="29" t="n">
        <v>1</v>
      </c>
      <c r="AB976" s="84"/>
      <c r="AC976" s="17"/>
      <c r="AD976" s="17"/>
      <c r="AE976" s="17"/>
    </row>
    <row r="977" customFormat="false" ht="15.75" hidden="false" customHeight="false" outlineLevel="0" collapsed="false">
      <c r="A977" s="12" t="str">
        <f aca="false">IF((AA977&gt;=4), "Y", "N")</f>
        <v>Y</v>
      </c>
      <c r="B977" s="12"/>
      <c r="C977" s="23" t="s">
        <v>3924</v>
      </c>
      <c r="D977" s="24" t="s">
        <v>94</v>
      </c>
      <c r="E977" s="25" t="s">
        <v>3925</v>
      </c>
      <c r="F977" s="17" t="s">
        <v>3926</v>
      </c>
      <c r="G977" s="17" t="s">
        <v>145</v>
      </c>
      <c r="H977" s="17" t="s">
        <v>146</v>
      </c>
      <c r="I977" s="17" t="s">
        <v>36</v>
      </c>
      <c r="J977" s="15" t="s">
        <v>2283</v>
      </c>
      <c r="K977" s="17" t="n">
        <v>2010</v>
      </c>
      <c r="L977" s="38" t="s">
        <v>109</v>
      </c>
      <c r="M977" s="27"/>
      <c r="N977" s="17" t="s">
        <v>2277</v>
      </c>
      <c r="O977" s="17"/>
      <c r="P977" s="40" t="s">
        <v>111</v>
      </c>
      <c r="Q977" s="20"/>
      <c r="R977" s="20"/>
      <c r="S977" s="20"/>
      <c r="T977" s="20"/>
      <c r="U977" s="20"/>
      <c r="V977" s="45"/>
      <c r="Z977" s="20"/>
      <c r="AA977" s="22" t="n">
        <v>5</v>
      </c>
      <c r="AB977" s="84"/>
      <c r="AC977" s="20"/>
      <c r="AD977" s="20"/>
      <c r="AE977" s="20"/>
    </row>
    <row r="978" customFormat="false" ht="15.75" hidden="false" customHeight="false" outlineLevel="0" collapsed="false">
      <c r="A978" s="12" t="s">
        <v>31</v>
      </c>
      <c r="B978" s="12" t="s">
        <v>32</v>
      </c>
      <c r="C978" s="23" t="s">
        <v>3927</v>
      </c>
      <c r="D978" s="24" t="s">
        <v>51</v>
      </c>
      <c r="E978" s="25" t="s">
        <v>3928</v>
      </c>
      <c r="F978" s="17" t="s">
        <v>3929</v>
      </c>
      <c r="G978" s="17"/>
      <c r="H978" s="17"/>
      <c r="I978" s="26" t="s">
        <v>557</v>
      </c>
      <c r="J978" s="17" t="s">
        <v>2283</v>
      </c>
      <c r="K978" s="17" t="n">
        <v>2004</v>
      </c>
      <c r="L978" s="17"/>
      <c r="M978" s="27" t="s">
        <v>140</v>
      </c>
      <c r="N978" s="17" t="s">
        <v>3930</v>
      </c>
      <c r="O978" s="17" t="s">
        <v>3931</v>
      </c>
      <c r="P978" s="28" t="s">
        <v>59</v>
      </c>
      <c r="Q978" s="20"/>
      <c r="R978" s="20"/>
      <c r="S978" s="20"/>
      <c r="T978" s="20"/>
      <c r="U978" s="20"/>
      <c r="V978" s="45"/>
      <c r="Z978" s="20"/>
      <c r="AA978" s="22" t="n">
        <v>4</v>
      </c>
      <c r="AB978" s="20"/>
      <c r="AC978" s="20"/>
      <c r="AD978" s="20"/>
      <c r="AE978" s="20"/>
    </row>
    <row r="979" customFormat="false" ht="15.75" hidden="false" customHeight="false" outlineLevel="0" collapsed="false">
      <c r="A979" s="12"/>
      <c r="B979" s="54"/>
      <c r="C979" s="55" t="s">
        <v>3932</v>
      </c>
      <c r="D979" s="15"/>
      <c r="E979" s="16" t="s">
        <v>3933</v>
      </c>
      <c r="F979" s="15" t="s">
        <v>3934</v>
      </c>
      <c r="G979" s="15"/>
      <c r="H979" s="15"/>
      <c r="I979" s="17" t="s">
        <v>36</v>
      </c>
      <c r="J979" s="15" t="s">
        <v>2283</v>
      </c>
      <c r="K979" s="15" t="n">
        <v>2012</v>
      </c>
      <c r="L979" s="17"/>
      <c r="M979" s="18"/>
      <c r="N979" s="17"/>
      <c r="O979" s="17"/>
      <c r="P979" s="19" t="s">
        <v>39</v>
      </c>
      <c r="Q979" s="17"/>
      <c r="R979" s="17" t="s">
        <v>3935</v>
      </c>
      <c r="S979" s="17"/>
      <c r="T979" s="17" t="s">
        <v>3936</v>
      </c>
      <c r="U979" s="17"/>
      <c r="V979" s="21" t="s">
        <v>31</v>
      </c>
      <c r="Z979" s="17"/>
      <c r="AA979" s="29"/>
      <c r="AB979" s="18" t="s">
        <v>3937</v>
      </c>
      <c r="AC979" s="17"/>
      <c r="AD979" s="17"/>
      <c r="AE979" s="17"/>
    </row>
    <row r="980" customFormat="false" ht="15.75" hidden="false" customHeight="false" outlineLevel="0" collapsed="false">
      <c r="A980" s="12" t="str">
        <f aca="false">IF((AA980&gt;=4), "Y", "N")</f>
        <v>Y</v>
      </c>
      <c r="B980" s="12"/>
      <c r="C980" s="23" t="s">
        <v>3918</v>
      </c>
      <c r="D980" s="24" t="s">
        <v>94</v>
      </c>
      <c r="E980" s="25" t="s">
        <v>3938</v>
      </c>
      <c r="F980" s="17" t="s">
        <v>3939</v>
      </c>
      <c r="G980" s="17" t="s">
        <v>145</v>
      </c>
      <c r="H980" s="26" t="s">
        <v>146</v>
      </c>
      <c r="I980" s="17" t="s">
        <v>36</v>
      </c>
      <c r="J980" s="15" t="s">
        <v>2283</v>
      </c>
      <c r="K980" s="17" t="n">
        <v>2008</v>
      </c>
      <c r="L980" s="33" t="s">
        <v>275</v>
      </c>
      <c r="M980" s="27"/>
      <c r="N980" s="39" t="s">
        <v>968</v>
      </c>
      <c r="O980" s="17"/>
      <c r="P980" s="40" t="s">
        <v>111</v>
      </c>
      <c r="Q980" s="12"/>
      <c r="R980" s="12"/>
      <c r="S980" s="12"/>
      <c r="T980" s="12"/>
      <c r="U980" s="12"/>
      <c r="V980" s="21"/>
      <c r="Z980" s="12"/>
      <c r="AA980" s="29" t="n">
        <v>5</v>
      </c>
      <c r="AB980" s="12"/>
      <c r="AC980" s="12"/>
      <c r="AD980" s="12"/>
      <c r="AE980" s="12"/>
    </row>
    <row r="981" customFormat="false" ht="15.75" hidden="false" customHeight="false" outlineLevel="0" collapsed="false">
      <c r="A981" s="12" t="str">
        <f aca="false">IF((AA981&gt;=4), "Y", "N")</f>
        <v>Y</v>
      </c>
      <c r="B981" s="74"/>
      <c r="C981" s="75" t="s">
        <v>3940</v>
      </c>
      <c r="D981" s="24" t="s">
        <v>61</v>
      </c>
      <c r="E981" s="25" t="s">
        <v>3941</v>
      </c>
      <c r="F981" s="17" t="s">
        <v>3942</v>
      </c>
      <c r="G981" s="17" t="s">
        <v>145</v>
      </c>
      <c r="H981" s="17"/>
      <c r="I981" s="17" t="s">
        <v>36</v>
      </c>
      <c r="J981" s="15" t="s">
        <v>2283</v>
      </c>
      <c r="K981" s="17"/>
      <c r="L981" s="17"/>
      <c r="M981" s="27"/>
      <c r="N981" s="17"/>
      <c r="O981" s="17"/>
      <c r="P981" s="40" t="s">
        <v>755</v>
      </c>
      <c r="Q981" s="12"/>
      <c r="R981" s="12"/>
      <c r="S981" s="12"/>
      <c r="T981" s="12"/>
      <c r="U981" s="12"/>
      <c r="V981" s="21"/>
      <c r="Z981" s="12"/>
      <c r="AA981" s="29" t="n">
        <v>5</v>
      </c>
      <c r="AB981" s="12"/>
      <c r="AC981" s="12"/>
      <c r="AD981" s="12"/>
      <c r="AE981" s="12"/>
    </row>
    <row r="982" customFormat="false" ht="15.75" hidden="false" customHeight="false" outlineLevel="0" collapsed="false">
      <c r="A982" s="12" t="str">
        <f aca="false">IF((AA982&gt;=4), "Y", "N")</f>
        <v>Y</v>
      </c>
      <c r="B982" s="13"/>
      <c r="C982" s="14" t="s">
        <v>3943</v>
      </c>
      <c r="D982" s="24" t="s">
        <v>61</v>
      </c>
      <c r="E982" s="103" t="s">
        <v>3944</v>
      </c>
      <c r="F982" s="39" t="s">
        <v>3945</v>
      </c>
      <c r="G982" s="17" t="s">
        <v>3946</v>
      </c>
      <c r="H982" s="17"/>
      <c r="I982" s="26" t="s">
        <v>216</v>
      </c>
      <c r="J982" s="15" t="s">
        <v>2283</v>
      </c>
      <c r="K982" s="17" t="n">
        <v>2012</v>
      </c>
      <c r="L982" s="17"/>
      <c r="M982" s="27"/>
      <c r="N982" s="17"/>
      <c r="O982" s="17"/>
      <c r="P982" s="40" t="s">
        <v>526</v>
      </c>
      <c r="Q982" s="12"/>
      <c r="R982" s="12"/>
      <c r="S982" s="12"/>
      <c r="T982" s="12"/>
      <c r="U982" s="12"/>
      <c r="V982" s="21"/>
      <c r="Z982" s="12"/>
      <c r="AA982" s="29" t="n">
        <v>5</v>
      </c>
      <c r="AB982" s="12"/>
      <c r="AC982" s="59" t="s">
        <v>3947</v>
      </c>
      <c r="AD982" s="12"/>
      <c r="AE982" s="12"/>
    </row>
    <row r="983" customFormat="false" ht="15.75" hidden="false" customHeight="false" outlineLevel="0" collapsed="false">
      <c r="A983" s="12" t="s">
        <v>31</v>
      </c>
      <c r="B983" s="13" t="s">
        <v>32</v>
      </c>
      <c r="C983" s="80" t="s">
        <v>3948</v>
      </c>
      <c r="D983" s="47" t="s">
        <v>94</v>
      </c>
      <c r="E983" s="69" t="s">
        <v>3949</v>
      </c>
      <c r="F983" s="17" t="s">
        <v>3950</v>
      </c>
      <c r="I983" s="47" t="s">
        <v>82</v>
      </c>
      <c r="J983" s="15" t="s">
        <v>2283</v>
      </c>
      <c r="L983" s="47" t="s">
        <v>109</v>
      </c>
      <c r="M983" s="70" t="s">
        <v>3951</v>
      </c>
      <c r="O983" s="47" t="s">
        <v>3952</v>
      </c>
      <c r="P983" s="82" t="s">
        <v>526</v>
      </c>
      <c r="Q983" s="12"/>
      <c r="R983" s="12"/>
      <c r="S983" s="12"/>
      <c r="T983" s="12"/>
      <c r="U983" s="12"/>
      <c r="V983" s="21"/>
      <c r="Z983" s="12"/>
      <c r="AA983" s="29" t="n">
        <v>5</v>
      </c>
      <c r="AB983" s="12"/>
      <c r="AC983" s="12"/>
      <c r="AD983" s="12"/>
      <c r="AE983" s="12"/>
    </row>
    <row r="984" customFormat="false" ht="15.75" hidden="false" customHeight="false" outlineLevel="0" collapsed="false">
      <c r="A984" s="12" t="s">
        <v>31</v>
      </c>
      <c r="B984" s="13" t="s">
        <v>1376</v>
      </c>
      <c r="C984" s="14" t="s">
        <v>3953</v>
      </c>
      <c r="D984" s="24" t="s">
        <v>94</v>
      </c>
      <c r="E984" s="25" t="s">
        <v>3954</v>
      </c>
      <c r="F984" s="17" t="s">
        <v>3955</v>
      </c>
      <c r="G984" s="67" t="s">
        <v>524</v>
      </c>
      <c r="H984" s="67"/>
      <c r="I984" s="26" t="s">
        <v>525</v>
      </c>
      <c r="J984" s="15" t="s">
        <v>2283</v>
      </c>
      <c r="K984" s="17"/>
      <c r="L984" s="17"/>
      <c r="M984" s="27"/>
      <c r="N984" s="17"/>
      <c r="O984" s="17"/>
      <c r="P984" s="40" t="s">
        <v>526</v>
      </c>
      <c r="Q984" s="12"/>
      <c r="R984" s="12"/>
      <c r="S984" s="12"/>
      <c r="T984" s="12"/>
      <c r="U984" s="12"/>
      <c r="V984" s="21"/>
      <c r="Z984" s="12"/>
      <c r="AA984" s="29" t="n">
        <v>4</v>
      </c>
      <c r="AB984" s="12"/>
      <c r="AC984" s="59" t="s">
        <v>527</v>
      </c>
      <c r="AD984" s="12"/>
      <c r="AE984" s="12"/>
    </row>
    <row r="985" customFormat="false" ht="15.75" hidden="false" customHeight="false" outlineLevel="0" collapsed="false">
      <c r="A985" s="12"/>
      <c r="B985" s="20"/>
      <c r="C985" s="48" t="s">
        <v>3956</v>
      </c>
      <c r="D985" s="24" t="s">
        <v>61</v>
      </c>
      <c r="E985" s="49" t="s">
        <v>3957</v>
      </c>
      <c r="F985" s="49" t="s">
        <v>3958</v>
      </c>
      <c r="G985" s="17"/>
      <c r="H985" s="17"/>
      <c r="I985" s="26" t="s">
        <v>166</v>
      </c>
      <c r="J985" s="15" t="s">
        <v>2283</v>
      </c>
      <c r="K985" s="17"/>
      <c r="L985" s="17"/>
      <c r="M985" s="50"/>
      <c r="N985" s="17"/>
      <c r="O985" s="17"/>
      <c r="P985" s="40" t="s">
        <v>168</v>
      </c>
      <c r="Q985" s="12"/>
      <c r="R985" s="12"/>
      <c r="S985" s="12"/>
      <c r="T985" s="12" t="s">
        <v>3959</v>
      </c>
      <c r="U985" s="12" t="s">
        <v>3960</v>
      </c>
      <c r="V985" s="21" t="s">
        <v>31</v>
      </c>
      <c r="Z985" s="12"/>
      <c r="AA985" s="29" t="n">
        <v>2</v>
      </c>
      <c r="AB985" s="50" t="s">
        <v>3961</v>
      </c>
      <c r="AC985" s="12"/>
      <c r="AD985" s="12"/>
      <c r="AE985" s="12"/>
      <c r="AG985" s="47"/>
    </row>
    <row r="986" customFormat="false" ht="15.75" hidden="false" customHeight="false" outlineLevel="0" collapsed="false">
      <c r="A986" s="12"/>
      <c r="B986" s="13"/>
      <c r="C986" s="14" t="s">
        <v>3962</v>
      </c>
      <c r="D986" s="24" t="s">
        <v>61</v>
      </c>
      <c r="E986" s="25" t="s">
        <v>3963</v>
      </c>
      <c r="F986" s="17" t="s">
        <v>3964</v>
      </c>
      <c r="G986" s="17" t="s">
        <v>71</v>
      </c>
      <c r="H986" s="17" t="s">
        <v>72</v>
      </c>
      <c r="I986" s="17" t="s">
        <v>36</v>
      </c>
      <c r="J986" s="15" t="s">
        <v>2283</v>
      </c>
      <c r="K986" s="17"/>
      <c r="L986" s="17"/>
      <c r="M986" s="27"/>
      <c r="N986" s="17"/>
      <c r="O986" s="17"/>
      <c r="P986" s="52" t="s">
        <v>185</v>
      </c>
      <c r="Q986" s="12"/>
      <c r="R986" s="12"/>
      <c r="S986" s="12"/>
      <c r="T986" s="12"/>
      <c r="U986" s="12"/>
      <c r="V986" s="21"/>
      <c r="Z986" s="12"/>
      <c r="AA986" s="29" t="n">
        <v>1</v>
      </c>
      <c r="AB986" s="12"/>
      <c r="AC986" s="12"/>
      <c r="AD986" s="12"/>
      <c r="AE986" s="12"/>
    </row>
    <row r="987" customFormat="false" ht="15.75" hidden="false" customHeight="false" outlineLevel="0" collapsed="false">
      <c r="A987" s="12"/>
      <c r="B987" s="20"/>
      <c r="C987" s="48" t="s">
        <v>3965</v>
      </c>
      <c r="D987" s="24" t="s">
        <v>51</v>
      </c>
      <c r="E987" s="49" t="s">
        <v>3966</v>
      </c>
      <c r="F987" s="49" t="s">
        <v>3967</v>
      </c>
      <c r="G987" s="17"/>
      <c r="H987" s="17"/>
      <c r="I987" s="26" t="s">
        <v>166</v>
      </c>
      <c r="J987" s="15" t="s">
        <v>2283</v>
      </c>
      <c r="K987" s="17"/>
      <c r="L987" s="17"/>
      <c r="M987" s="50"/>
      <c r="N987" s="17"/>
      <c r="O987" s="17"/>
      <c r="P987" s="40" t="s">
        <v>168</v>
      </c>
      <c r="Q987" s="12"/>
      <c r="R987" s="12" t="s">
        <v>3968</v>
      </c>
      <c r="S987" s="12"/>
      <c r="T987" s="12" t="s">
        <v>3969</v>
      </c>
      <c r="U987" s="12" t="s">
        <v>3970</v>
      </c>
      <c r="V987" s="21" t="s">
        <v>31</v>
      </c>
      <c r="Z987" s="12"/>
      <c r="AA987" s="29" t="n">
        <v>1</v>
      </c>
      <c r="AB987" s="50" t="s">
        <v>3971</v>
      </c>
      <c r="AC987" s="12"/>
      <c r="AD987" s="12"/>
      <c r="AE987" s="12"/>
      <c r="AF987" s="12"/>
      <c r="AG987" s="12"/>
    </row>
    <row r="988" customFormat="false" ht="15.75" hidden="false" customHeight="false" outlineLevel="0" collapsed="false">
      <c r="A988" s="12"/>
      <c r="B988" s="12"/>
      <c r="C988" s="23" t="s">
        <v>3972</v>
      </c>
      <c r="D988" s="24" t="s">
        <v>94</v>
      </c>
      <c r="E988" s="25" t="s">
        <v>3973</v>
      </c>
      <c r="F988" s="17" t="s">
        <v>3974</v>
      </c>
      <c r="G988" s="17" t="s">
        <v>1100</v>
      </c>
      <c r="H988" s="17"/>
      <c r="I988" s="26" t="s">
        <v>82</v>
      </c>
      <c r="J988" s="32" t="s">
        <v>1843</v>
      </c>
      <c r="K988" s="17"/>
      <c r="L988" s="17"/>
      <c r="M988" s="27"/>
      <c r="N988" s="17"/>
      <c r="O988" s="17"/>
      <c r="P988" s="40" t="s">
        <v>638</v>
      </c>
      <c r="Q988" s="17"/>
      <c r="R988" s="17" t="s">
        <v>3975</v>
      </c>
      <c r="S988" s="17"/>
      <c r="T988" s="17" t="s">
        <v>3976</v>
      </c>
      <c r="U988" s="12"/>
      <c r="V988" s="21" t="s">
        <v>31</v>
      </c>
      <c r="X988" s="77"/>
      <c r="Z988" s="12"/>
      <c r="AA988" s="29"/>
      <c r="AB988" s="12"/>
      <c r="AC988" s="12"/>
      <c r="AD988" s="12"/>
      <c r="AE988" s="12"/>
      <c r="AF988" s="12"/>
      <c r="AG988" s="12"/>
    </row>
    <row r="989" customFormat="false" ht="15.75" hidden="false" customHeight="false" outlineLevel="0" collapsed="false">
      <c r="A989" s="12"/>
      <c r="B989" s="12"/>
      <c r="C989" s="23" t="s">
        <v>3977</v>
      </c>
      <c r="D989" s="24" t="s">
        <v>61</v>
      </c>
      <c r="E989" s="25" t="s">
        <v>3978</v>
      </c>
      <c r="F989" s="17" t="s">
        <v>3979</v>
      </c>
      <c r="G989" s="17" t="s">
        <v>2629</v>
      </c>
      <c r="H989" s="17"/>
      <c r="I989" s="26" t="s">
        <v>82</v>
      </c>
      <c r="J989" s="32" t="s">
        <v>1816</v>
      </c>
      <c r="K989" s="17"/>
      <c r="L989" s="17"/>
      <c r="M989" s="27"/>
      <c r="N989" s="17"/>
      <c r="O989" s="17"/>
      <c r="P989" s="40" t="s">
        <v>638</v>
      </c>
      <c r="Q989" s="12"/>
      <c r="R989" s="12" t="s">
        <v>3980</v>
      </c>
      <c r="S989" s="12"/>
      <c r="T989" s="12"/>
      <c r="U989" s="12"/>
      <c r="V989" s="21"/>
      <c r="Z989" s="12"/>
      <c r="AA989" s="29" t="n">
        <v>2</v>
      </c>
      <c r="AB989" s="12" t="s">
        <v>3981</v>
      </c>
      <c r="AC989" s="59" t="s">
        <v>3982</v>
      </c>
      <c r="AD989" s="12"/>
      <c r="AE989" s="12"/>
      <c r="AF989" s="12"/>
      <c r="AG989" s="12"/>
    </row>
    <row r="990" customFormat="false" ht="15.75" hidden="false" customHeight="false" outlineLevel="0" collapsed="false">
      <c r="A990" s="12"/>
      <c r="B990" s="12"/>
      <c r="C990" s="23" t="s">
        <v>3983</v>
      </c>
      <c r="D990" s="24" t="s">
        <v>61</v>
      </c>
      <c r="E990" s="25" t="s">
        <v>3984</v>
      </c>
      <c r="F990" s="17" t="s">
        <v>3985</v>
      </c>
      <c r="G990" s="17"/>
      <c r="H990" s="17"/>
      <c r="I990" s="17" t="s">
        <v>260</v>
      </c>
      <c r="J990" s="32" t="s">
        <v>3986</v>
      </c>
      <c r="K990" s="17"/>
      <c r="L990" s="17"/>
      <c r="M990" s="27"/>
      <c r="N990" s="17"/>
      <c r="O990" s="17"/>
      <c r="P990" s="40" t="s">
        <v>261</v>
      </c>
      <c r="Q990" s="12"/>
      <c r="R990" s="12"/>
      <c r="S990" s="12"/>
      <c r="T990" s="12"/>
      <c r="U990" s="12"/>
      <c r="V990" s="21"/>
      <c r="Z990" s="12"/>
      <c r="AA990" s="29" t="n">
        <v>1</v>
      </c>
      <c r="AB990" s="12" t="s">
        <v>3987</v>
      </c>
      <c r="AC990" s="12"/>
      <c r="AD990" s="12"/>
      <c r="AE990" s="12"/>
    </row>
    <row r="991" customFormat="false" ht="15.75" hidden="false" customHeight="false" outlineLevel="0" collapsed="false">
      <c r="A991" s="12"/>
      <c r="B991" s="12"/>
      <c r="C991" s="23" t="s">
        <v>3988</v>
      </c>
      <c r="D991" s="24" t="s">
        <v>61</v>
      </c>
      <c r="E991" s="25" t="s">
        <v>3989</v>
      </c>
      <c r="F991" s="17" t="s">
        <v>3990</v>
      </c>
      <c r="G991" s="17"/>
      <c r="H991" s="17"/>
      <c r="I991" s="17" t="s">
        <v>260</v>
      </c>
      <c r="J991" s="32" t="s">
        <v>3986</v>
      </c>
      <c r="K991" s="17"/>
      <c r="L991" s="17"/>
      <c r="M991" s="27"/>
      <c r="N991" s="17"/>
      <c r="O991" s="17"/>
      <c r="P991" s="40" t="s">
        <v>261</v>
      </c>
      <c r="Q991" s="12"/>
      <c r="R991" s="12"/>
      <c r="S991" s="12"/>
      <c r="T991" s="12"/>
      <c r="U991" s="12"/>
      <c r="V991" s="21"/>
      <c r="Z991" s="12"/>
      <c r="AA991" s="29" t="n">
        <v>1</v>
      </c>
      <c r="AB991" s="12" t="s">
        <v>3991</v>
      </c>
      <c r="AC991" s="12"/>
      <c r="AD991" s="12"/>
      <c r="AE991" s="12"/>
    </row>
    <row r="992" customFormat="false" ht="15.75" hidden="false" customHeight="false" outlineLevel="0" collapsed="false">
      <c r="A992" s="12"/>
      <c r="B992" s="12"/>
      <c r="C992" s="23" t="s">
        <v>3992</v>
      </c>
      <c r="D992" s="24"/>
      <c r="E992" s="17"/>
      <c r="F992" s="17"/>
      <c r="G992" s="17"/>
      <c r="H992" s="17"/>
      <c r="I992" s="17" t="s">
        <v>260</v>
      </c>
      <c r="J992" s="32" t="s">
        <v>3986</v>
      </c>
      <c r="K992" s="17"/>
      <c r="L992" s="17"/>
      <c r="M992" s="27"/>
      <c r="N992" s="17"/>
      <c r="O992" s="17"/>
      <c r="P992" s="40" t="s">
        <v>261</v>
      </c>
      <c r="Q992" s="12"/>
      <c r="R992" s="12"/>
      <c r="S992" s="12"/>
      <c r="T992" s="12"/>
      <c r="U992" s="12"/>
      <c r="V992" s="21"/>
      <c r="Z992" s="12"/>
      <c r="AA992" s="29"/>
      <c r="AB992" s="12"/>
      <c r="AC992" s="12"/>
      <c r="AD992" s="12"/>
      <c r="AE992" s="12"/>
    </row>
    <row r="993" customFormat="false" ht="15.75" hidden="false" customHeight="false" outlineLevel="0" collapsed="false">
      <c r="A993" s="12"/>
      <c r="B993" s="12"/>
      <c r="C993" s="23" t="s">
        <v>3993</v>
      </c>
      <c r="D993" s="24"/>
      <c r="E993" s="17"/>
      <c r="F993" s="17"/>
      <c r="G993" s="17"/>
      <c r="H993" s="17"/>
      <c r="I993" s="17" t="s">
        <v>260</v>
      </c>
      <c r="J993" s="32" t="s">
        <v>3986</v>
      </c>
      <c r="K993" s="17"/>
      <c r="L993" s="17"/>
      <c r="M993" s="27"/>
      <c r="N993" s="17"/>
      <c r="O993" s="17"/>
      <c r="P993" s="40" t="s">
        <v>261</v>
      </c>
      <c r="V993" s="60"/>
      <c r="AA993" s="63"/>
    </row>
    <row r="994" customFormat="false" ht="15.75" hidden="false" customHeight="false" outlineLevel="0" collapsed="false">
      <c r="A994" s="12"/>
      <c r="B994" s="12"/>
      <c r="C994" s="23" t="s">
        <v>3994</v>
      </c>
      <c r="D994" s="24"/>
      <c r="E994" s="17"/>
      <c r="F994" s="17"/>
      <c r="G994" s="17"/>
      <c r="H994" s="17"/>
      <c r="I994" s="17" t="s">
        <v>260</v>
      </c>
      <c r="J994" s="32" t="s">
        <v>3986</v>
      </c>
      <c r="K994" s="17"/>
      <c r="L994" s="17"/>
      <c r="M994" s="27"/>
      <c r="N994" s="17"/>
      <c r="O994" s="17"/>
      <c r="P994" s="40" t="s">
        <v>261</v>
      </c>
      <c r="Q994" s="12"/>
      <c r="R994" s="12"/>
      <c r="S994" s="12"/>
      <c r="T994" s="12"/>
      <c r="U994" s="12"/>
      <c r="V994" s="21"/>
      <c r="Z994" s="12"/>
      <c r="AA994" s="29"/>
      <c r="AB994" s="12"/>
      <c r="AC994" s="12"/>
      <c r="AD994" s="12"/>
      <c r="AE994" s="12"/>
    </row>
    <row r="995" customFormat="false" ht="15.75" hidden="false" customHeight="false" outlineLevel="0" collapsed="false">
      <c r="A995" s="12"/>
      <c r="B995" s="12"/>
      <c r="C995" s="23" t="s">
        <v>3995</v>
      </c>
      <c r="D995" s="24"/>
      <c r="E995" s="17"/>
      <c r="F995" s="17"/>
      <c r="G995" s="17"/>
      <c r="H995" s="17"/>
      <c r="I995" s="17" t="s">
        <v>260</v>
      </c>
      <c r="J995" s="32" t="s">
        <v>3986</v>
      </c>
      <c r="K995" s="17"/>
      <c r="L995" s="17"/>
      <c r="M995" s="27"/>
      <c r="N995" s="17"/>
      <c r="O995" s="17"/>
      <c r="P995" s="40" t="s">
        <v>261</v>
      </c>
      <c r="V995" s="60"/>
      <c r="AA995" s="63"/>
    </row>
    <row r="996" customFormat="false" ht="15.75" hidden="false" customHeight="false" outlineLevel="0" collapsed="false">
      <c r="A996" s="12"/>
      <c r="B996" s="12"/>
      <c r="C996" s="23" t="s">
        <v>3996</v>
      </c>
      <c r="D996" s="24"/>
      <c r="E996" s="17"/>
      <c r="F996" s="17"/>
      <c r="G996" s="17"/>
      <c r="H996" s="17"/>
      <c r="I996" s="17" t="s">
        <v>260</v>
      </c>
      <c r="J996" s="32" t="s">
        <v>3986</v>
      </c>
      <c r="K996" s="17"/>
      <c r="L996" s="17"/>
      <c r="M996" s="27"/>
      <c r="N996" s="17"/>
      <c r="O996" s="17"/>
      <c r="P996" s="40" t="s">
        <v>261</v>
      </c>
      <c r="Q996" s="17"/>
      <c r="R996" s="17"/>
      <c r="S996" s="17"/>
      <c r="T996" s="17"/>
      <c r="U996" s="17"/>
      <c r="V996" s="27"/>
      <c r="Z996" s="17"/>
      <c r="AA996" s="29"/>
      <c r="AB996" s="17"/>
      <c r="AC996" s="17"/>
      <c r="AD996" s="17"/>
      <c r="AE996" s="17"/>
    </row>
    <row r="997" customFormat="false" ht="15.75" hidden="false" customHeight="false" outlineLevel="0" collapsed="false">
      <c r="A997" s="12"/>
      <c r="B997" s="12"/>
      <c r="C997" s="23" t="s">
        <v>3997</v>
      </c>
      <c r="D997" s="24"/>
      <c r="E997" s="17"/>
      <c r="F997" s="17"/>
      <c r="G997" s="17"/>
      <c r="H997" s="17"/>
      <c r="I997" s="17" t="s">
        <v>260</v>
      </c>
      <c r="J997" s="32" t="s">
        <v>3986</v>
      </c>
      <c r="K997" s="17"/>
      <c r="L997" s="17"/>
      <c r="M997" s="27"/>
      <c r="N997" s="17"/>
      <c r="O997" s="17"/>
      <c r="P997" s="40" t="s">
        <v>261</v>
      </c>
      <c r="Q997" s="12"/>
      <c r="R997" s="12"/>
      <c r="S997" s="12"/>
      <c r="T997" s="12"/>
      <c r="U997" s="12"/>
      <c r="V997" s="21"/>
      <c r="Z997" s="12"/>
      <c r="AA997" s="29"/>
      <c r="AB997" s="12"/>
      <c r="AC997" s="12"/>
      <c r="AD997" s="12"/>
      <c r="AE997" s="12"/>
    </row>
    <row r="998" customFormat="false" ht="15.75" hidden="false" customHeight="false" outlineLevel="0" collapsed="false">
      <c r="A998" s="12"/>
      <c r="B998" s="12"/>
      <c r="C998" s="23" t="s">
        <v>3998</v>
      </c>
      <c r="D998" s="24"/>
      <c r="E998" s="17"/>
      <c r="F998" s="17"/>
      <c r="G998" s="17"/>
      <c r="H998" s="17"/>
      <c r="I998" s="17" t="s">
        <v>260</v>
      </c>
      <c r="J998" s="32" t="s">
        <v>3986</v>
      </c>
      <c r="K998" s="17"/>
      <c r="L998" s="17"/>
      <c r="M998" s="27"/>
      <c r="N998" s="17"/>
      <c r="O998" s="17"/>
      <c r="P998" s="40" t="s">
        <v>261</v>
      </c>
      <c r="Q998" s="20"/>
      <c r="R998" s="20"/>
      <c r="S998" s="20"/>
      <c r="T998" s="20"/>
      <c r="U998" s="20"/>
      <c r="V998" s="45"/>
      <c r="Z998" s="20"/>
      <c r="AA998" s="22"/>
      <c r="AB998" s="20"/>
      <c r="AC998" s="20"/>
      <c r="AD998" s="20"/>
      <c r="AE998" s="20"/>
    </row>
    <row r="999" customFormat="false" ht="15.75" hidden="false" customHeight="false" outlineLevel="0" collapsed="false">
      <c r="A999" s="12"/>
      <c r="B999" s="12"/>
      <c r="C999" s="23" t="s">
        <v>3999</v>
      </c>
      <c r="D999" s="24"/>
      <c r="E999" s="17"/>
      <c r="F999" s="17"/>
      <c r="G999" s="17"/>
      <c r="H999" s="17"/>
      <c r="I999" s="17" t="s">
        <v>260</v>
      </c>
      <c r="J999" s="32" t="s">
        <v>3986</v>
      </c>
      <c r="K999" s="17"/>
      <c r="L999" s="17"/>
      <c r="M999" s="27"/>
      <c r="N999" s="17"/>
      <c r="O999" s="17"/>
      <c r="P999" s="40" t="s">
        <v>261</v>
      </c>
      <c r="Q999" s="12"/>
      <c r="R999" s="12"/>
      <c r="S999" s="12"/>
      <c r="T999" s="12"/>
      <c r="U999" s="12"/>
      <c r="V999" s="21"/>
      <c r="Z999" s="12"/>
      <c r="AA999" s="29"/>
      <c r="AB999" s="12"/>
      <c r="AC999" s="12"/>
      <c r="AD999" s="12"/>
      <c r="AE999" s="12"/>
    </row>
    <row r="1000" customFormat="false" ht="15.75" hidden="false" customHeight="false" outlineLevel="0" collapsed="false">
      <c r="A1000" s="12"/>
      <c r="B1000" s="12"/>
      <c r="C1000" s="23" t="s">
        <v>4000</v>
      </c>
      <c r="D1000" s="24"/>
      <c r="E1000" s="17"/>
      <c r="F1000" s="17"/>
      <c r="G1000" s="17"/>
      <c r="H1000" s="17"/>
      <c r="I1000" s="17" t="s">
        <v>260</v>
      </c>
      <c r="J1000" s="32" t="s">
        <v>3986</v>
      </c>
      <c r="K1000" s="17"/>
      <c r="L1000" s="17"/>
      <c r="M1000" s="27"/>
      <c r="N1000" s="17"/>
      <c r="O1000" s="17"/>
      <c r="P1000" s="40" t="s">
        <v>261</v>
      </c>
      <c r="Q1000" s="12"/>
      <c r="R1000" s="12"/>
      <c r="S1000" s="12"/>
      <c r="T1000" s="12"/>
      <c r="U1000" s="12"/>
      <c r="V1000" s="21"/>
      <c r="Z1000" s="12"/>
      <c r="AA1000" s="29"/>
      <c r="AB1000" s="12"/>
      <c r="AC1000" s="12"/>
      <c r="AD1000" s="12"/>
      <c r="AE1000" s="12"/>
    </row>
    <row r="1001" customFormat="false" ht="15.75" hidden="false" customHeight="false" outlineLevel="0" collapsed="false">
      <c r="A1001" s="12"/>
      <c r="B1001" s="12"/>
      <c r="C1001" s="23" t="s">
        <v>4001</v>
      </c>
      <c r="D1001" s="24"/>
      <c r="E1001" s="17"/>
      <c r="F1001" s="17"/>
      <c r="G1001" s="17"/>
      <c r="H1001" s="17"/>
      <c r="I1001" s="17" t="s">
        <v>260</v>
      </c>
      <c r="J1001" s="32" t="s">
        <v>3986</v>
      </c>
      <c r="K1001" s="17"/>
      <c r="L1001" s="17"/>
      <c r="M1001" s="27"/>
      <c r="N1001" s="17"/>
      <c r="O1001" s="17"/>
      <c r="P1001" s="40" t="s">
        <v>261</v>
      </c>
      <c r="Q1001" s="12"/>
      <c r="R1001" s="12"/>
      <c r="S1001" s="12"/>
      <c r="T1001" s="12"/>
      <c r="U1001" s="12"/>
      <c r="V1001" s="21"/>
      <c r="Z1001" s="12"/>
      <c r="AA1001" s="29"/>
      <c r="AB1001" s="12"/>
      <c r="AC1001" s="12"/>
      <c r="AD1001" s="12"/>
      <c r="AE1001" s="12"/>
    </row>
    <row r="1002" customFormat="false" ht="15.75" hidden="false" customHeight="false" outlineLevel="0" collapsed="false">
      <c r="A1002" s="12"/>
      <c r="B1002" s="12"/>
      <c r="C1002" s="23" t="s">
        <v>4002</v>
      </c>
      <c r="D1002" s="24"/>
      <c r="E1002" s="17"/>
      <c r="F1002" s="17"/>
      <c r="G1002" s="17"/>
      <c r="H1002" s="17"/>
      <c r="I1002" s="17" t="s">
        <v>260</v>
      </c>
      <c r="J1002" s="32" t="s">
        <v>3986</v>
      </c>
      <c r="K1002" s="17"/>
      <c r="L1002" s="17"/>
      <c r="M1002" s="27"/>
      <c r="N1002" s="17"/>
      <c r="O1002" s="17"/>
      <c r="P1002" s="40" t="s">
        <v>261</v>
      </c>
      <c r="Q1002" s="20"/>
      <c r="R1002" s="20"/>
      <c r="S1002" s="20"/>
      <c r="T1002" s="20"/>
      <c r="U1002" s="20"/>
      <c r="V1002" s="45"/>
      <c r="Z1002" s="20"/>
      <c r="AA1002" s="22"/>
      <c r="AB1002" s="20"/>
      <c r="AC1002" s="20"/>
      <c r="AD1002" s="20"/>
      <c r="AE1002" s="20"/>
    </row>
    <row r="1003" customFormat="false" ht="15.75" hidden="false" customHeight="false" outlineLevel="0" collapsed="false">
      <c r="A1003" s="12"/>
      <c r="B1003" s="12"/>
      <c r="C1003" s="23" t="s">
        <v>4003</v>
      </c>
      <c r="D1003" s="24"/>
      <c r="E1003" s="17"/>
      <c r="F1003" s="17"/>
      <c r="G1003" s="17"/>
      <c r="H1003" s="17"/>
      <c r="I1003" s="17" t="s">
        <v>260</v>
      </c>
      <c r="J1003" s="32" t="s">
        <v>3986</v>
      </c>
      <c r="K1003" s="17"/>
      <c r="L1003" s="17"/>
      <c r="M1003" s="27"/>
      <c r="N1003" s="17"/>
      <c r="O1003" s="17"/>
      <c r="P1003" s="40" t="s">
        <v>261</v>
      </c>
      <c r="Q1003" s="20"/>
      <c r="R1003" s="20"/>
      <c r="S1003" s="20"/>
      <c r="T1003" s="20"/>
      <c r="U1003" s="20"/>
      <c r="V1003" s="45"/>
      <c r="Z1003" s="20"/>
      <c r="AA1003" s="22"/>
      <c r="AB1003" s="20"/>
      <c r="AC1003" s="20"/>
      <c r="AD1003" s="20"/>
      <c r="AE1003" s="20"/>
    </row>
    <row r="1004" customFormat="false" ht="15.75" hidden="false" customHeight="false" outlineLevel="0" collapsed="false">
      <c r="A1004" s="12"/>
      <c r="B1004" s="12"/>
      <c r="C1004" s="23" t="s">
        <v>4004</v>
      </c>
      <c r="D1004" s="24"/>
      <c r="E1004" s="25" t="s">
        <v>4005</v>
      </c>
      <c r="F1004" s="17" t="s">
        <v>4006</v>
      </c>
      <c r="G1004" s="17"/>
      <c r="H1004" s="17"/>
      <c r="I1004" s="17" t="s">
        <v>260</v>
      </c>
      <c r="J1004" s="32" t="s">
        <v>3986</v>
      </c>
      <c r="K1004" s="17"/>
      <c r="L1004" s="17"/>
      <c r="M1004" s="27"/>
      <c r="N1004" s="17"/>
      <c r="O1004" s="17"/>
      <c r="P1004" s="40" t="s">
        <v>261</v>
      </c>
      <c r="Q1004" s="12"/>
      <c r="R1004" s="12"/>
      <c r="S1004" s="12"/>
      <c r="T1004" s="12"/>
      <c r="U1004" s="12"/>
      <c r="V1004" s="21"/>
      <c r="Z1004" s="12"/>
      <c r="AA1004" s="29"/>
      <c r="AB1004" s="12"/>
      <c r="AC1004" s="12"/>
      <c r="AD1004" s="12"/>
      <c r="AE1004" s="12"/>
    </row>
    <row r="1005" customFormat="false" ht="15.75" hidden="false" customHeight="false" outlineLevel="0" collapsed="false">
      <c r="A1005" s="12"/>
      <c r="B1005" s="12"/>
      <c r="C1005" s="23" t="s">
        <v>4007</v>
      </c>
      <c r="D1005" s="24"/>
      <c r="E1005" s="25" t="s">
        <v>4008</v>
      </c>
      <c r="F1005" s="17"/>
      <c r="G1005" s="17" t="s">
        <v>44</v>
      </c>
      <c r="H1005" s="17"/>
      <c r="I1005" s="26" t="s">
        <v>45</v>
      </c>
      <c r="J1005" s="17" t="s">
        <v>3260</v>
      </c>
      <c r="K1005" s="17"/>
      <c r="L1005" s="17"/>
      <c r="M1005" s="27"/>
      <c r="N1005" s="17"/>
      <c r="O1005" s="17"/>
      <c r="P1005" s="28" t="s">
        <v>46</v>
      </c>
      <c r="Q1005" s="20"/>
      <c r="R1005" s="20"/>
      <c r="S1005" s="20"/>
      <c r="T1005" s="20"/>
      <c r="U1005" s="20"/>
      <c r="V1005" s="45"/>
      <c r="Z1005" s="20"/>
      <c r="AA1005" s="22"/>
      <c r="AB1005" s="20"/>
      <c r="AC1005" s="20"/>
      <c r="AD1005" s="20"/>
      <c r="AE1005" s="20"/>
    </row>
    <row r="1006" customFormat="false" ht="15.75" hidden="false" customHeight="false" outlineLevel="0" collapsed="false">
      <c r="A1006" s="12"/>
      <c r="B1006" s="12"/>
      <c r="C1006" s="23" t="s">
        <v>4009</v>
      </c>
      <c r="D1006" s="24"/>
      <c r="E1006" s="25" t="s">
        <v>4010</v>
      </c>
      <c r="F1006" s="17"/>
      <c r="G1006" s="17" t="s">
        <v>134</v>
      </c>
      <c r="H1006" s="17"/>
      <c r="I1006" s="26" t="s">
        <v>65</v>
      </c>
      <c r="J1006" s="17" t="s">
        <v>618</v>
      </c>
      <c r="K1006" s="17"/>
      <c r="L1006" s="17"/>
      <c r="M1006" s="27"/>
      <c r="N1006" s="17"/>
      <c r="O1006" s="17"/>
      <c r="P1006" s="28" t="s">
        <v>46</v>
      </c>
      <c r="Q1006" s="12"/>
      <c r="R1006" s="12"/>
      <c r="S1006" s="12"/>
      <c r="T1006" s="12"/>
      <c r="U1006" s="12"/>
      <c r="V1006" s="21"/>
      <c r="Z1006" s="12"/>
      <c r="AA1006" s="29"/>
      <c r="AB1006" s="12"/>
      <c r="AC1006" s="12"/>
      <c r="AD1006" s="12"/>
      <c r="AE1006" s="12"/>
    </row>
    <row r="1007" customFormat="false" ht="15.75" hidden="false" customHeight="false" outlineLevel="0" collapsed="false">
      <c r="A1007" s="12" t="s">
        <v>193</v>
      </c>
      <c r="B1007" s="12" t="s">
        <v>32</v>
      </c>
      <c r="C1007" s="23" t="s">
        <v>4011</v>
      </c>
      <c r="D1007" s="24" t="s">
        <v>195</v>
      </c>
      <c r="E1007" s="25" t="s">
        <v>4012</v>
      </c>
      <c r="F1007" s="17" t="s">
        <v>4013</v>
      </c>
      <c r="G1007" s="17"/>
      <c r="H1007" s="17"/>
      <c r="I1007" s="26" t="s">
        <v>882</v>
      </c>
      <c r="J1007" s="17" t="s">
        <v>763</v>
      </c>
      <c r="K1007" s="17"/>
      <c r="L1007" s="17"/>
      <c r="M1007" s="27"/>
      <c r="N1007" s="17"/>
      <c r="O1007" s="17"/>
      <c r="P1007" s="28" t="s">
        <v>59</v>
      </c>
      <c r="V1007" s="60"/>
      <c r="AA1007" s="63" t="n">
        <v>2</v>
      </c>
      <c r="AB1007" s="47" t="s">
        <v>4014</v>
      </c>
    </row>
    <row r="1008" customFormat="false" ht="15.75" hidden="false" customHeight="false" outlineLevel="0" collapsed="false">
      <c r="A1008" s="12" t="s">
        <v>193</v>
      </c>
      <c r="B1008" s="12" t="s">
        <v>32</v>
      </c>
      <c r="C1008" s="23" t="s">
        <v>4015</v>
      </c>
      <c r="D1008" s="24" t="s">
        <v>195</v>
      </c>
      <c r="E1008" s="25" t="s">
        <v>4016</v>
      </c>
      <c r="F1008" s="17" t="s">
        <v>4017</v>
      </c>
      <c r="G1008" s="17"/>
      <c r="H1008" s="17"/>
      <c r="I1008" s="17" t="s">
        <v>131</v>
      </c>
      <c r="J1008" s="17" t="s">
        <v>195</v>
      </c>
      <c r="K1008" s="17"/>
      <c r="L1008" s="17"/>
      <c r="M1008" s="27"/>
      <c r="N1008" s="17"/>
      <c r="O1008" s="17"/>
      <c r="P1008" s="28" t="s">
        <v>59</v>
      </c>
      <c r="Q1008" s="12"/>
      <c r="R1008" s="12"/>
      <c r="S1008" s="12"/>
      <c r="T1008" s="12"/>
      <c r="U1008" s="12"/>
      <c r="V1008" s="21"/>
      <c r="Z1008" s="12"/>
      <c r="AA1008" s="29" t="n">
        <v>1</v>
      </c>
      <c r="AB1008" s="12" t="s">
        <v>4018</v>
      </c>
      <c r="AC1008" s="12"/>
      <c r="AD1008" s="12"/>
      <c r="AE1008" s="12"/>
    </row>
    <row r="1009" customFormat="false" ht="15.75" hidden="false" customHeight="false" outlineLevel="0" collapsed="false">
      <c r="A1009" s="12" t="s">
        <v>193</v>
      </c>
      <c r="B1009" s="12" t="s">
        <v>32</v>
      </c>
      <c r="C1009" s="23" t="s">
        <v>4019</v>
      </c>
      <c r="D1009" s="24" t="s">
        <v>195</v>
      </c>
      <c r="E1009" s="25" t="s">
        <v>4020</v>
      </c>
      <c r="F1009" s="17" t="s">
        <v>4021</v>
      </c>
      <c r="G1009" s="17"/>
      <c r="H1009" s="17"/>
      <c r="I1009" s="26" t="s">
        <v>4022</v>
      </c>
      <c r="J1009" s="17" t="s">
        <v>195</v>
      </c>
      <c r="K1009" s="17"/>
      <c r="L1009" s="17"/>
      <c r="M1009" s="27"/>
      <c r="N1009" s="17"/>
      <c r="O1009" s="17"/>
      <c r="P1009" s="28" t="s">
        <v>59</v>
      </c>
      <c r="V1009" s="60"/>
      <c r="AA1009" s="63" t="n">
        <v>1</v>
      </c>
      <c r="AB1009" s="47" t="s">
        <v>1581</v>
      </c>
    </row>
    <row r="1010" customFormat="false" ht="15.75" hidden="false" customHeight="false" outlineLevel="0" collapsed="false">
      <c r="A1010" s="12" t="s">
        <v>193</v>
      </c>
      <c r="B1010" s="12" t="s">
        <v>32</v>
      </c>
      <c r="C1010" s="23" t="s">
        <v>4023</v>
      </c>
      <c r="D1010" s="24" t="s">
        <v>195</v>
      </c>
      <c r="E1010" s="25" t="s">
        <v>4024</v>
      </c>
      <c r="F1010" s="17" t="s">
        <v>4025</v>
      </c>
      <c r="G1010" s="17"/>
      <c r="H1010" s="17"/>
      <c r="I1010" s="17" t="s">
        <v>131</v>
      </c>
      <c r="J1010" s="17" t="s">
        <v>195</v>
      </c>
      <c r="K1010" s="17"/>
      <c r="L1010" s="17"/>
      <c r="M1010" s="27"/>
      <c r="N1010" s="17"/>
      <c r="O1010" s="17"/>
      <c r="P1010" s="28" t="s">
        <v>59</v>
      </c>
      <c r="Q1010" s="12"/>
      <c r="R1010" s="12"/>
      <c r="S1010" s="12"/>
      <c r="T1010" s="12"/>
      <c r="U1010" s="12"/>
      <c r="V1010" s="21"/>
      <c r="Z1010" s="12"/>
      <c r="AA1010" s="29" t="n">
        <v>1</v>
      </c>
      <c r="AB1010" s="12" t="s">
        <v>1581</v>
      </c>
      <c r="AC1010" s="12"/>
      <c r="AD1010" s="12"/>
      <c r="AE1010" s="12"/>
    </row>
    <row r="1011" customFormat="false" ht="15.75" hidden="false" customHeight="false" outlineLevel="0" collapsed="false">
      <c r="A1011" s="12" t="s">
        <v>193</v>
      </c>
      <c r="B1011" s="12" t="s">
        <v>32</v>
      </c>
      <c r="C1011" s="23" t="s">
        <v>4026</v>
      </c>
      <c r="D1011" s="24" t="s">
        <v>195</v>
      </c>
      <c r="E1011" s="25" t="s">
        <v>4027</v>
      </c>
      <c r="F1011" s="17" t="s">
        <v>4028</v>
      </c>
      <c r="G1011" s="17"/>
      <c r="H1011" s="17"/>
      <c r="I1011" s="26" t="s">
        <v>127</v>
      </c>
      <c r="J1011" s="15" t="s">
        <v>2283</v>
      </c>
      <c r="K1011" s="17"/>
      <c r="L1011" s="17"/>
      <c r="M1011" s="27"/>
      <c r="N1011" s="17"/>
      <c r="O1011" s="17"/>
      <c r="P1011" s="28" t="s">
        <v>59</v>
      </c>
      <c r="Q1011" s="12"/>
      <c r="R1011" s="12"/>
      <c r="S1011" s="12"/>
      <c r="T1011" s="12"/>
      <c r="U1011" s="12"/>
      <c r="V1011" s="21"/>
      <c r="Z1011" s="12"/>
      <c r="AA1011" s="29" t="n">
        <v>2</v>
      </c>
      <c r="AB1011" s="12" t="s">
        <v>4029</v>
      </c>
      <c r="AC1011" s="12"/>
      <c r="AD1011" s="12"/>
      <c r="AE1011" s="12"/>
    </row>
    <row r="1012" customFormat="false" ht="15.75" hidden="false" customHeight="false" outlineLevel="0" collapsed="false">
      <c r="A1012" s="12"/>
      <c r="B1012" s="12"/>
      <c r="C1012" s="23" t="s">
        <v>4030</v>
      </c>
      <c r="D1012" s="24"/>
      <c r="E1012" s="25" t="s">
        <v>4031</v>
      </c>
      <c r="F1012" s="17" t="s">
        <v>4032</v>
      </c>
      <c r="G1012" s="17" t="s">
        <v>4033</v>
      </c>
      <c r="H1012" s="17"/>
      <c r="I1012" s="26" t="s">
        <v>1644</v>
      </c>
      <c r="J1012" s="17" t="s">
        <v>244</v>
      </c>
      <c r="K1012" s="17"/>
      <c r="L1012" s="17"/>
      <c r="M1012" s="27"/>
      <c r="N1012" s="17"/>
      <c r="O1012" s="17"/>
      <c r="P1012" s="28" t="s">
        <v>46</v>
      </c>
      <c r="Q1012" s="12"/>
      <c r="R1012" s="12"/>
      <c r="S1012" s="12"/>
      <c r="T1012" s="12"/>
      <c r="U1012" s="12"/>
      <c r="V1012" s="21"/>
      <c r="Z1012" s="12"/>
      <c r="AA1012" s="29"/>
      <c r="AB1012" s="12"/>
      <c r="AC1012" s="12"/>
      <c r="AD1012" s="12"/>
      <c r="AE1012" s="12"/>
    </row>
    <row r="1013" customFormat="false" ht="15.75" hidden="false" customHeight="false" outlineLevel="0" collapsed="false">
      <c r="A1013" s="12"/>
      <c r="B1013" s="12"/>
      <c r="C1013" s="23" t="s">
        <v>4034</v>
      </c>
      <c r="D1013" s="24"/>
      <c r="E1013" s="17"/>
      <c r="F1013" s="17"/>
      <c r="G1013" s="17" t="s">
        <v>44</v>
      </c>
      <c r="H1013" s="17"/>
      <c r="I1013" s="26" t="s">
        <v>45</v>
      </c>
      <c r="J1013" s="17" t="s">
        <v>244</v>
      </c>
      <c r="K1013" s="17"/>
      <c r="L1013" s="17"/>
      <c r="M1013" s="27"/>
      <c r="N1013" s="17"/>
      <c r="O1013" s="17"/>
      <c r="P1013" s="28" t="s">
        <v>46</v>
      </c>
      <c r="Q1013" s="20"/>
      <c r="R1013" s="20"/>
      <c r="S1013" s="20"/>
      <c r="T1013" s="20"/>
      <c r="U1013" s="20"/>
      <c r="V1013" s="45"/>
      <c r="Z1013" s="20"/>
      <c r="AA1013" s="22"/>
      <c r="AB1013" s="20"/>
      <c r="AC1013" s="20"/>
      <c r="AD1013" s="20"/>
      <c r="AE1013" s="20"/>
    </row>
    <row r="1014" customFormat="false" ht="15.75" hidden="false" customHeight="false" outlineLevel="0" collapsed="false">
      <c r="A1014" s="12"/>
      <c r="B1014" s="12"/>
      <c r="C1014" s="23" t="s">
        <v>4035</v>
      </c>
      <c r="D1014" s="24"/>
      <c r="E1014" s="25" t="s">
        <v>4036</v>
      </c>
      <c r="F1014" s="17"/>
      <c r="G1014" s="17" t="s">
        <v>44</v>
      </c>
      <c r="H1014" s="17"/>
      <c r="I1014" s="26" t="s">
        <v>45</v>
      </c>
      <c r="J1014" s="17" t="s">
        <v>611</v>
      </c>
      <c r="K1014" s="17"/>
      <c r="L1014" s="17"/>
      <c r="M1014" s="27"/>
      <c r="N1014" s="17"/>
      <c r="O1014" s="17"/>
      <c r="P1014" s="28" t="s">
        <v>46</v>
      </c>
      <c r="Q1014" s="12"/>
      <c r="R1014" s="12"/>
      <c r="S1014" s="12"/>
      <c r="T1014" s="12"/>
      <c r="U1014" s="12"/>
      <c r="V1014" s="21"/>
      <c r="Z1014" s="12"/>
      <c r="AA1014" s="29"/>
      <c r="AB1014" s="12"/>
      <c r="AC1014" s="12"/>
      <c r="AD1014" s="12"/>
      <c r="AE1014" s="12"/>
    </row>
    <row r="1015" customFormat="false" ht="15.75" hidden="false" customHeight="false" outlineLevel="0" collapsed="false">
      <c r="A1015" s="12" t="str">
        <f aca="false">IF((AA1015&gt;=4), "Y", "N")</f>
        <v>Y</v>
      </c>
      <c r="B1015" s="13"/>
      <c r="C1015" s="31" t="s">
        <v>4037</v>
      </c>
      <c r="D1015" s="16" t="s">
        <v>51</v>
      </c>
      <c r="E1015" s="32" t="s">
        <v>4038</v>
      </c>
      <c r="F1015" s="17"/>
      <c r="G1015" s="17"/>
      <c r="H1015" s="17"/>
      <c r="I1015" s="26" t="s">
        <v>266</v>
      </c>
      <c r="J1015" s="32" t="s">
        <v>244</v>
      </c>
      <c r="K1015" s="33" t="n">
        <v>2004</v>
      </c>
      <c r="L1015" s="33" t="s">
        <v>109</v>
      </c>
      <c r="M1015" s="27"/>
      <c r="N1015" s="17" t="s">
        <v>4039</v>
      </c>
      <c r="O1015" s="17"/>
      <c r="P1015" s="40" t="s">
        <v>268</v>
      </c>
      <c r="Q1015" s="12"/>
      <c r="R1015" s="12"/>
      <c r="S1015" s="12"/>
      <c r="T1015" s="12"/>
      <c r="U1015" s="12"/>
      <c r="V1015" s="21"/>
      <c r="Z1015" s="12"/>
      <c r="AA1015" s="29" t="str">
        <f aca="false">IF(P1015="OD500 MX", "5", " ")</f>
        <v>5</v>
      </c>
      <c r="AB1015" s="12"/>
      <c r="AC1015" s="12"/>
      <c r="AD1015" s="12"/>
      <c r="AE1015" s="12"/>
    </row>
    <row r="1016" customFormat="false" ht="15.75" hidden="false" customHeight="false" outlineLevel="0" collapsed="false">
      <c r="A1016" s="12"/>
      <c r="B1016" s="13"/>
      <c r="C1016" s="14" t="s">
        <v>4040</v>
      </c>
      <c r="D1016" s="24" t="s">
        <v>51</v>
      </c>
      <c r="E1016" s="25" t="s">
        <v>4041</v>
      </c>
      <c r="F1016" s="17" t="s">
        <v>4042</v>
      </c>
      <c r="G1016" s="17" t="s">
        <v>478</v>
      </c>
      <c r="H1016" s="17"/>
      <c r="I1016" s="17" t="s">
        <v>131</v>
      </c>
      <c r="J1016" s="32" t="s">
        <v>58</v>
      </c>
      <c r="K1016" s="17"/>
      <c r="L1016" s="17"/>
      <c r="M1016" s="27"/>
      <c r="N1016" s="17"/>
      <c r="O1016" s="17"/>
      <c r="P1016" s="52" t="s">
        <v>185</v>
      </c>
      <c r="Q1016" s="12"/>
      <c r="R1016" s="12"/>
      <c r="S1016" s="12"/>
      <c r="T1016" s="12"/>
      <c r="U1016" s="12"/>
      <c r="V1016" s="21"/>
      <c r="Z1016" s="12"/>
      <c r="AA1016" s="29" t="n">
        <v>3</v>
      </c>
      <c r="AB1016" s="12"/>
      <c r="AC1016" s="12"/>
      <c r="AD1016" s="12"/>
      <c r="AE1016" s="12"/>
    </row>
    <row r="1017" customFormat="false" ht="15.75" hidden="false" customHeight="false" outlineLevel="0" collapsed="false">
      <c r="A1017" s="12" t="str">
        <f aca="false">IF((AA1017&gt;=4), "Y", "N")</f>
        <v>Y</v>
      </c>
      <c r="B1017" s="13"/>
      <c r="C1017" s="14" t="s">
        <v>4043</v>
      </c>
      <c r="D1017" s="16" t="s">
        <v>620</v>
      </c>
      <c r="E1017" s="25" t="s">
        <v>1460</v>
      </c>
      <c r="F1017" s="17" t="s">
        <v>4044</v>
      </c>
      <c r="G1017" s="17" t="s">
        <v>478</v>
      </c>
      <c r="H1017" s="17"/>
      <c r="I1017" s="26" t="s">
        <v>127</v>
      </c>
      <c r="J1017" s="32" t="s">
        <v>3260</v>
      </c>
      <c r="K1017" s="17"/>
      <c r="L1017" s="17"/>
      <c r="M1017" s="27"/>
      <c r="N1017" s="17"/>
      <c r="O1017" s="17"/>
      <c r="P1017" s="52" t="s">
        <v>3105</v>
      </c>
      <c r="Q1017" s="12"/>
      <c r="R1017" s="12"/>
      <c r="S1017" s="12"/>
      <c r="T1017" s="12" t="s">
        <v>4045</v>
      </c>
      <c r="U1017" s="12"/>
      <c r="V1017" s="21"/>
      <c r="Z1017" s="12"/>
      <c r="AA1017" s="29" t="n">
        <v>5</v>
      </c>
      <c r="AB1017" s="12"/>
      <c r="AC1017" s="12"/>
      <c r="AD1017" s="12"/>
      <c r="AE1017" s="12"/>
    </row>
    <row r="1018" customFormat="false" ht="15.75" hidden="false" customHeight="false" outlineLevel="0" collapsed="false">
      <c r="A1018" s="12" t="s">
        <v>193</v>
      </c>
      <c r="B1018" s="12" t="s">
        <v>32</v>
      </c>
      <c r="C1018" s="23" t="s">
        <v>4046</v>
      </c>
      <c r="D1018" s="24" t="s">
        <v>51</v>
      </c>
      <c r="E1018" s="25" t="s">
        <v>4047</v>
      </c>
      <c r="F1018" s="17" t="s">
        <v>4048</v>
      </c>
      <c r="G1018" s="17"/>
      <c r="H1018" s="17"/>
      <c r="I1018" s="26" t="s">
        <v>4049</v>
      </c>
      <c r="J1018" s="17" t="s">
        <v>195</v>
      </c>
      <c r="K1018" s="17"/>
      <c r="L1018" s="17"/>
      <c r="M1018" s="27"/>
      <c r="N1018" s="17"/>
      <c r="O1018" s="17"/>
      <c r="P1018" s="28" t="s">
        <v>59</v>
      </c>
      <c r="Q1018" s="17"/>
      <c r="R1018" s="17"/>
      <c r="S1018" s="17"/>
      <c r="T1018" s="17"/>
      <c r="U1018" s="17"/>
      <c r="V1018" s="27"/>
      <c r="Z1018" s="17"/>
      <c r="AA1018" s="29" t="n">
        <v>2</v>
      </c>
      <c r="AB1018" s="17" t="s">
        <v>4050</v>
      </c>
      <c r="AC1018" s="17"/>
      <c r="AD1018" s="17"/>
      <c r="AE1018" s="17"/>
    </row>
    <row r="1019" customFormat="false" ht="15.75" hidden="false" customHeight="false" outlineLevel="0" collapsed="false">
      <c r="A1019" s="12" t="s">
        <v>193</v>
      </c>
      <c r="B1019" s="12" t="s">
        <v>32</v>
      </c>
      <c r="C1019" s="23" t="s">
        <v>4051</v>
      </c>
      <c r="D1019" s="24" t="s">
        <v>51</v>
      </c>
      <c r="E1019" s="25" t="s">
        <v>4052</v>
      </c>
      <c r="F1019" s="17" t="s">
        <v>4053</v>
      </c>
      <c r="G1019" s="17"/>
      <c r="H1019" s="17"/>
      <c r="I1019" s="17" t="s">
        <v>36</v>
      </c>
      <c r="J1019" s="17" t="s">
        <v>763</v>
      </c>
      <c r="K1019" s="17"/>
      <c r="L1019" s="17"/>
      <c r="M1019" s="27"/>
      <c r="N1019" s="17"/>
      <c r="O1019" s="17"/>
      <c r="P1019" s="28" t="s">
        <v>59</v>
      </c>
      <c r="Q1019" s="17"/>
      <c r="R1019" s="17"/>
      <c r="S1019" s="17"/>
      <c r="T1019" s="17"/>
      <c r="U1019" s="17"/>
      <c r="V1019" s="27"/>
      <c r="Z1019" s="17"/>
      <c r="AA1019" s="29" t="n">
        <v>2</v>
      </c>
      <c r="AB1019" s="17" t="s">
        <v>4054</v>
      </c>
      <c r="AC1019" s="17"/>
      <c r="AD1019" s="17"/>
      <c r="AE1019" s="17"/>
      <c r="AF1019" s="17"/>
      <c r="AG1019" s="17"/>
    </row>
    <row r="1020" customFormat="false" ht="15.75" hidden="false" customHeight="false" outlineLevel="0" collapsed="false">
      <c r="A1020" s="12"/>
      <c r="B1020" s="12"/>
      <c r="C1020" s="23" t="s">
        <v>4055</v>
      </c>
      <c r="D1020" s="24" t="s">
        <v>94</v>
      </c>
      <c r="E1020" s="25" t="s">
        <v>4056</v>
      </c>
      <c r="F1020" s="17" t="s">
        <v>4057</v>
      </c>
      <c r="G1020" s="17"/>
      <c r="H1020" s="17"/>
      <c r="I1020" s="17" t="s">
        <v>36</v>
      </c>
      <c r="J1020" s="17" t="s">
        <v>48</v>
      </c>
      <c r="K1020" s="17"/>
      <c r="L1020" s="17"/>
      <c r="M1020" s="27"/>
      <c r="N1020" s="17"/>
      <c r="O1020" s="17"/>
      <c r="P1020" s="28" t="s">
        <v>59</v>
      </c>
      <c r="Q1020" s="12"/>
      <c r="R1020" s="12"/>
      <c r="S1020" s="12"/>
      <c r="T1020" s="12"/>
      <c r="U1020" s="12"/>
      <c r="V1020" s="21"/>
      <c r="Z1020" s="12"/>
      <c r="AA1020" s="29"/>
      <c r="AB1020" s="12"/>
      <c r="AC1020" s="12"/>
      <c r="AD1020" s="12"/>
      <c r="AE1020" s="12"/>
    </row>
    <row r="1021" customFormat="false" ht="15.75" hidden="false" customHeight="false" outlineLevel="0" collapsed="false">
      <c r="A1021" s="12" t="s">
        <v>31</v>
      </c>
      <c r="B1021" s="54" t="s">
        <v>1376</v>
      </c>
      <c r="C1021" s="55" t="s">
        <v>4058</v>
      </c>
      <c r="D1021" s="16" t="s">
        <v>51</v>
      </c>
      <c r="E1021" s="25" t="s">
        <v>4059</v>
      </c>
      <c r="F1021" s="15" t="s">
        <v>4060</v>
      </c>
      <c r="G1021" s="15" t="s">
        <v>3110</v>
      </c>
      <c r="H1021" s="15"/>
      <c r="I1021" s="26" t="s">
        <v>610</v>
      </c>
      <c r="J1021" s="32" t="s">
        <v>4061</v>
      </c>
      <c r="K1021" s="15" t="n">
        <v>2014</v>
      </c>
      <c r="L1021" s="17"/>
      <c r="M1021" s="18"/>
      <c r="N1021" s="17"/>
      <c r="O1021" s="17"/>
      <c r="P1021" s="19" t="s">
        <v>39</v>
      </c>
      <c r="Q1021" s="20"/>
      <c r="R1021" s="20" t="s">
        <v>612</v>
      </c>
      <c r="S1021" s="20"/>
      <c r="T1021" s="20" t="s">
        <v>613</v>
      </c>
      <c r="U1021" s="20"/>
      <c r="V1021" s="21" t="s">
        <v>31</v>
      </c>
      <c r="Z1021" s="20"/>
      <c r="AA1021" s="22"/>
      <c r="AB1021" s="15" t="s">
        <v>4062</v>
      </c>
      <c r="AC1021" s="86" t="s">
        <v>4063</v>
      </c>
      <c r="AD1021" s="20"/>
      <c r="AE1021" s="20"/>
    </row>
    <row r="1022" customFormat="false" ht="15.75" hidden="false" customHeight="false" outlineLevel="0" collapsed="false">
      <c r="A1022" s="12"/>
      <c r="B1022" s="54"/>
      <c r="C1022" s="55" t="s">
        <v>4064</v>
      </c>
      <c r="D1022" s="15"/>
      <c r="E1022" s="16" t="s">
        <v>4065</v>
      </c>
      <c r="F1022" s="15" t="s">
        <v>4066</v>
      </c>
      <c r="G1022" s="15"/>
      <c r="H1022" s="15"/>
      <c r="I1022" s="26" t="s">
        <v>209</v>
      </c>
      <c r="J1022" s="15" t="s">
        <v>58</v>
      </c>
      <c r="K1022" s="15" t="n">
        <v>2013</v>
      </c>
      <c r="L1022" s="17"/>
      <c r="M1022" s="18"/>
      <c r="N1022" s="17"/>
      <c r="O1022" s="17"/>
      <c r="P1022" s="19" t="s">
        <v>39</v>
      </c>
      <c r="Q1022" s="12"/>
      <c r="R1022" s="12" t="s">
        <v>4067</v>
      </c>
      <c r="S1022" s="12"/>
      <c r="T1022" s="12" t="s">
        <v>4068</v>
      </c>
      <c r="U1022" s="12"/>
      <c r="V1022" s="21" t="s">
        <v>31</v>
      </c>
      <c r="Z1022" s="12"/>
      <c r="AA1022" s="29"/>
      <c r="AB1022" s="18" t="s">
        <v>4069</v>
      </c>
      <c r="AC1022" s="12"/>
      <c r="AD1022" s="12"/>
      <c r="AE1022" s="12"/>
    </row>
    <row r="1023" customFormat="false" ht="15.75" hidden="false" customHeight="false" outlineLevel="0" collapsed="false">
      <c r="A1023" s="12"/>
      <c r="B1023" s="54"/>
      <c r="C1023" s="55" t="s">
        <v>4070</v>
      </c>
      <c r="D1023" s="15"/>
      <c r="E1023" s="16" t="s">
        <v>4071</v>
      </c>
      <c r="F1023" s="15" t="s">
        <v>4072</v>
      </c>
      <c r="G1023" s="15"/>
      <c r="H1023" s="15"/>
      <c r="I1023" s="26" t="s">
        <v>209</v>
      </c>
      <c r="J1023" s="15" t="s">
        <v>58</v>
      </c>
      <c r="K1023" s="15" t="n">
        <v>2014</v>
      </c>
      <c r="L1023" s="17"/>
      <c r="M1023" s="18"/>
      <c r="N1023" s="17"/>
      <c r="O1023" s="17"/>
      <c r="P1023" s="19" t="s">
        <v>39</v>
      </c>
      <c r="Q1023" s="12"/>
      <c r="R1023" s="12" t="s">
        <v>4073</v>
      </c>
      <c r="S1023" s="12"/>
      <c r="T1023" s="12" t="s">
        <v>4074</v>
      </c>
      <c r="U1023" s="12"/>
      <c r="V1023" s="21" t="s">
        <v>31</v>
      </c>
      <c r="Z1023" s="12"/>
      <c r="AA1023" s="29"/>
      <c r="AB1023" s="18" t="s">
        <v>4075</v>
      </c>
      <c r="AC1023" s="12"/>
      <c r="AD1023" s="12"/>
      <c r="AE1023" s="12"/>
    </row>
    <row r="1024" customFormat="false" ht="15.75" hidden="false" customHeight="false" outlineLevel="0" collapsed="false">
      <c r="A1024" s="12"/>
      <c r="B1024" s="54"/>
      <c r="C1024" s="55" t="s">
        <v>3879</v>
      </c>
      <c r="D1024" s="24"/>
      <c r="E1024" s="57" t="s">
        <v>4076</v>
      </c>
      <c r="F1024" s="15" t="s">
        <v>4077</v>
      </c>
      <c r="G1024" s="15"/>
      <c r="H1024" s="15"/>
      <c r="I1024" s="26" t="s">
        <v>3238</v>
      </c>
      <c r="J1024" s="15" t="s">
        <v>58</v>
      </c>
      <c r="K1024" s="17"/>
      <c r="L1024" s="17"/>
      <c r="M1024" s="18"/>
      <c r="N1024" s="17"/>
      <c r="O1024" s="17"/>
      <c r="P1024" s="19" t="s">
        <v>39</v>
      </c>
      <c r="Q1024" s="17"/>
      <c r="R1024" s="17" t="s">
        <v>3882</v>
      </c>
      <c r="S1024" s="17"/>
      <c r="T1024" s="17" t="s">
        <v>3883</v>
      </c>
      <c r="U1024" s="17"/>
      <c r="V1024" s="21" t="s">
        <v>31</v>
      </c>
      <c r="Z1024" s="17"/>
      <c r="AA1024" s="29"/>
      <c r="AB1024" s="18" t="s">
        <v>4078</v>
      </c>
      <c r="AC1024" s="17"/>
      <c r="AD1024" s="17"/>
      <c r="AE1024" s="17"/>
    </row>
    <row r="1025" customFormat="false" ht="15.75" hidden="false" customHeight="false" outlineLevel="0" collapsed="false">
      <c r="A1025" s="12"/>
      <c r="B1025" s="54"/>
      <c r="C1025" s="55" t="s">
        <v>607</v>
      </c>
      <c r="D1025" s="15"/>
      <c r="E1025" s="16" t="s">
        <v>4079</v>
      </c>
      <c r="F1025" s="15" t="s">
        <v>4080</v>
      </c>
      <c r="G1025" s="15"/>
      <c r="H1025" s="15"/>
      <c r="I1025" s="26" t="s">
        <v>610</v>
      </c>
      <c r="J1025" s="15" t="s">
        <v>58</v>
      </c>
      <c r="K1025" s="16"/>
      <c r="L1025" s="17"/>
      <c r="M1025" s="18"/>
      <c r="N1025" s="17"/>
      <c r="O1025" s="17"/>
      <c r="P1025" s="19" t="s">
        <v>39</v>
      </c>
      <c r="Q1025" s="12"/>
      <c r="R1025" s="12" t="s">
        <v>612</v>
      </c>
      <c r="S1025" s="12"/>
      <c r="T1025" s="12" t="s">
        <v>613</v>
      </c>
      <c r="U1025" s="12"/>
      <c r="V1025" s="21" t="s">
        <v>31</v>
      </c>
      <c r="Z1025" s="12"/>
      <c r="AA1025" s="29"/>
      <c r="AB1025" s="18" t="s">
        <v>4081</v>
      </c>
      <c r="AC1025" s="12"/>
      <c r="AD1025" s="12"/>
      <c r="AE1025" s="12"/>
    </row>
    <row r="1026" customFormat="false" ht="15.75" hidden="false" customHeight="false" outlineLevel="0" collapsed="false">
      <c r="A1026" s="12"/>
      <c r="B1026" s="12"/>
      <c r="C1026" s="23" t="s">
        <v>4082</v>
      </c>
      <c r="D1026" s="24"/>
      <c r="E1026" s="17"/>
      <c r="F1026" s="17"/>
      <c r="G1026" s="17" t="s">
        <v>4083</v>
      </c>
      <c r="H1026" s="17"/>
      <c r="I1026" s="26" t="s">
        <v>1800</v>
      </c>
      <c r="J1026" s="17" t="s">
        <v>618</v>
      </c>
      <c r="K1026" s="17"/>
      <c r="L1026" s="17"/>
      <c r="M1026" s="27"/>
      <c r="N1026" s="17"/>
      <c r="O1026" s="17"/>
      <c r="P1026" s="28" t="s">
        <v>46</v>
      </c>
      <c r="Q1026" s="12"/>
      <c r="R1026" s="12"/>
      <c r="S1026" s="12"/>
      <c r="T1026" s="12"/>
      <c r="U1026" s="12"/>
      <c r="V1026" s="21"/>
      <c r="Z1026" s="12"/>
      <c r="AA1026" s="29"/>
      <c r="AB1026" s="84"/>
      <c r="AC1026" s="12"/>
      <c r="AD1026" s="12"/>
      <c r="AE1026" s="12"/>
    </row>
    <row r="1027" customFormat="false" ht="15.75" hidden="false" customHeight="false" outlineLevel="0" collapsed="false">
      <c r="A1027" s="12"/>
      <c r="B1027" s="54"/>
      <c r="C1027" s="55" t="s">
        <v>4084</v>
      </c>
      <c r="D1027" s="15"/>
      <c r="E1027" s="16" t="s">
        <v>4085</v>
      </c>
      <c r="F1027" s="15" t="s">
        <v>4086</v>
      </c>
      <c r="G1027" s="15"/>
      <c r="H1027" s="15"/>
      <c r="I1027" s="26" t="s">
        <v>882</v>
      </c>
      <c r="J1027" s="15" t="s">
        <v>58</v>
      </c>
      <c r="K1027" s="15" t="n">
        <v>2012</v>
      </c>
      <c r="L1027" s="17"/>
      <c r="M1027" s="18"/>
      <c r="N1027" s="17"/>
      <c r="O1027" s="17"/>
      <c r="P1027" s="19" t="s">
        <v>39</v>
      </c>
      <c r="Q1027" s="20"/>
      <c r="R1027" s="20" t="s">
        <v>4087</v>
      </c>
      <c r="S1027" s="20"/>
      <c r="T1027" s="20" t="s">
        <v>4088</v>
      </c>
      <c r="U1027" s="20"/>
      <c r="V1027" s="21" t="s">
        <v>31</v>
      </c>
      <c r="Z1027" s="20"/>
      <c r="AA1027" s="22"/>
      <c r="AB1027" s="18" t="s">
        <v>4089</v>
      </c>
      <c r="AC1027" s="20"/>
      <c r="AD1027" s="20"/>
      <c r="AE1027" s="20"/>
    </row>
    <row r="1028" customFormat="false" ht="15.75" hidden="false" customHeight="false" outlineLevel="0" collapsed="false">
      <c r="A1028" s="12"/>
      <c r="B1028" s="54"/>
      <c r="C1028" s="55" t="s">
        <v>4084</v>
      </c>
      <c r="D1028" s="15"/>
      <c r="E1028" s="16" t="s">
        <v>4090</v>
      </c>
      <c r="F1028" s="15" t="s">
        <v>4091</v>
      </c>
      <c r="G1028" s="15"/>
      <c r="H1028" s="15"/>
      <c r="I1028" s="26" t="s">
        <v>882</v>
      </c>
      <c r="J1028" s="15" t="s">
        <v>58</v>
      </c>
      <c r="K1028" s="15" t="n">
        <v>2014</v>
      </c>
      <c r="L1028" s="17"/>
      <c r="M1028" s="18"/>
      <c r="N1028" s="17"/>
      <c r="O1028" s="17"/>
      <c r="P1028" s="19" t="s">
        <v>39</v>
      </c>
      <c r="Q1028" s="17"/>
      <c r="R1028" s="17" t="s">
        <v>4087</v>
      </c>
      <c r="S1028" s="17"/>
      <c r="T1028" s="17" t="s">
        <v>4088</v>
      </c>
      <c r="U1028" s="17"/>
      <c r="V1028" s="21" t="s">
        <v>31</v>
      </c>
      <c r="Z1028" s="17"/>
      <c r="AA1028" s="29"/>
      <c r="AB1028" s="18" t="s">
        <v>4092</v>
      </c>
      <c r="AC1028" s="17"/>
      <c r="AD1028" s="17"/>
      <c r="AE1028" s="17"/>
    </row>
    <row r="1029" customFormat="false" ht="15.75" hidden="false" customHeight="false" outlineLevel="0" collapsed="false">
      <c r="A1029" s="12"/>
      <c r="B1029" s="54"/>
      <c r="C1029" s="55" t="s">
        <v>4093</v>
      </c>
      <c r="D1029" s="15"/>
      <c r="E1029" s="16" t="s">
        <v>4094</v>
      </c>
      <c r="F1029" s="15" t="s">
        <v>4095</v>
      </c>
      <c r="G1029" s="15"/>
      <c r="H1029" s="15"/>
      <c r="I1029" s="15"/>
      <c r="J1029" s="15" t="s">
        <v>244</v>
      </c>
      <c r="K1029" s="15" t="n">
        <v>2014</v>
      </c>
      <c r="L1029" s="17"/>
      <c r="M1029" s="18"/>
      <c r="N1029" s="17"/>
      <c r="O1029" s="17"/>
      <c r="P1029" s="19" t="s">
        <v>39</v>
      </c>
      <c r="Q1029" s="12"/>
      <c r="R1029" s="12"/>
      <c r="S1029" s="12"/>
      <c r="T1029" s="12"/>
      <c r="U1029" s="12"/>
      <c r="V1029" s="21"/>
      <c r="Z1029" s="12"/>
      <c r="AA1029" s="29"/>
      <c r="AB1029" s="18" t="s">
        <v>4096</v>
      </c>
      <c r="AC1029" s="12"/>
      <c r="AD1029" s="12"/>
      <c r="AE1029" s="12"/>
    </row>
    <row r="1030" customFormat="false" ht="15.75" hidden="false" customHeight="false" outlineLevel="0" collapsed="false">
      <c r="A1030" s="12"/>
      <c r="B1030" s="54"/>
      <c r="C1030" s="55" t="s">
        <v>4097</v>
      </c>
      <c r="D1030" s="24"/>
      <c r="E1030" s="57" t="s">
        <v>4098</v>
      </c>
      <c r="F1030" s="15" t="s">
        <v>4099</v>
      </c>
      <c r="G1030" s="15"/>
      <c r="H1030" s="15"/>
      <c r="I1030" s="26" t="s">
        <v>4100</v>
      </c>
      <c r="J1030" s="15" t="s">
        <v>58</v>
      </c>
      <c r="K1030" s="17"/>
      <c r="L1030" s="17"/>
      <c r="M1030" s="18"/>
      <c r="N1030" s="17"/>
      <c r="O1030" s="17"/>
      <c r="P1030" s="19" t="s">
        <v>39</v>
      </c>
      <c r="Q1030" s="12"/>
      <c r="R1030" s="12" t="s">
        <v>4101</v>
      </c>
      <c r="S1030" s="12"/>
      <c r="T1030" s="12" t="s">
        <v>4102</v>
      </c>
      <c r="U1030" s="12"/>
      <c r="V1030" s="21" t="s">
        <v>31</v>
      </c>
      <c r="Z1030" s="12"/>
      <c r="AA1030" s="29"/>
      <c r="AB1030" s="18" t="s">
        <v>4103</v>
      </c>
      <c r="AC1030" s="12"/>
      <c r="AD1030" s="12"/>
      <c r="AE1030" s="12"/>
    </row>
    <row r="1031" customFormat="false" ht="15.75" hidden="false" customHeight="false" outlineLevel="0" collapsed="false">
      <c r="A1031" s="12"/>
      <c r="B1031" s="54"/>
      <c r="C1031" s="55" t="s">
        <v>4104</v>
      </c>
      <c r="D1031" s="15"/>
      <c r="E1031" s="16" t="s">
        <v>4105</v>
      </c>
      <c r="F1031" s="104" t="s">
        <v>4106</v>
      </c>
      <c r="G1031" s="15"/>
      <c r="H1031" s="15"/>
      <c r="I1031" s="26" t="s">
        <v>4107</v>
      </c>
      <c r="J1031" s="15" t="s">
        <v>244</v>
      </c>
      <c r="K1031" s="32"/>
      <c r="L1031" s="17"/>
      <c r="M1031" s="18"/>
      <c r="N1031" s="17"/>
      <c r="O1031" s="17"/>
      <c r="P1031" s="19" t="s">
        <v>39</v>
      </c>
      <c r="Q1031" s="12"/>
      <c r="R1031" s="12"/>
      <c r="S1031" s="12"/>
      <c r="T1031" s="12"/>
      <c r="U1031" s="12"/>
      <c r="V1031" s="21"/>
      <c r="Z1031" s="12"/>
      <c r="AA1031" s="29"/>
      <c r="AB1031" s="12" t="s">
        <v>4108</v>
      </c>
      <c r="AC1031" s="12"/>
      <c r="AD1031" s="12"/>
      <c r="AE1031" s="12"/>
    </row>
    <row r="1032" customFormat="false" ht="15.75" hidden="false" customHeight="false" outlineLevel="0" collapsed="false">
      <c r="A1032" s="12"/>
      <c r="B1032" s="54"/>
      <c r="C1032" s="55" t="s">
        <v>4109</v>
      </c>
      <c r="D1032" s="24"/>
      <c r="E1032" s="16" t="s">
        <v>4110</v>
      </c>
      <c r="F1032" s="15" t="s">
        <v>4111</v>
      </c>
      <c r="G1032" s="15" t="s">
        <v>2127</v>
      </c>
      <c r="H1032" s="15"/>
      <c r="I1032" s="26" t="s">
        <v>905</v>
      </c>
      <c r="J1032" s="15" t="s">
        <v>58</v>
      </c>
      <c r="K1032" s="32"/>
      <c r="L1032" s="17"/>
      <c r="M1032" s="18"/>
      <c r="N1032" s="17"/>
      <c r="O1032" s="17"/>
      <c r="P1032" s="19" t="s">
        <v>39</v>
      </c>
      <c r="Q1032" s="12"/>
      <c r="R1032" s="12"/>
      <c r="S1032" s="12"/>
      <c r="T1032" s="12"/>
      <c r="U1032" s="12"/>
      <c r="V1032" s="21"/>
      <c r="Z1032" s="12"/>
      <c r="AA1032" s="29"/>
      <c r="AB1032" s="18" t="s">
        <v>4112</v>
      </c>
      <c r="AC1032" s="12"/>
      <c r="AD1032" s="12"/>
      <c r="AE1032" s="12"/>
    </row>
    <row r="1033" customFormat="false" ht="15.75" hidden="false" customHeight="false" outlineLevel="0" collapsed="false">
      <c r="A1033" s="12"/>
      <c r="B1033" s="13"/>
      <c r="C1033" s="14" t="s">
        <v>4113</v>
      </c>
      <c r="D1033" s="15"/>
      <c r="E1033" s="16" t="s">
        <v>4114</v>
      </c>
      <c r="F1033" s="15" t="s">
        <v>4115</v>
      </c>
      <c r="G1033" s="15"/>
      <c r="H1033" s="15"/>
      <c r="I1033" s="17" t="s">
        <v>36</v>
      </c>
      <c r="J1033" s="15" t="s">
        <v>58</v>
      </c>
      <c r="K1033" s="32"/>
      <c r="L1033" s="17"/>
      <c r="M1033" s="18"/>
      <c r="N1033" s="17"/>
      <c r="O1033" s="17"/>
      <c r="P1033" s="19" t="s">
        <v>39</v>
      </c>
      <c r="Q1033" s="20"/>
      <c r="R1033" s="20"/>
      <c r="S1033" s="20"/>
      <c r="T1033" s="20"/>
      <c r="U1033" s="20"/>
      <c r="V1033" s="45"/>
      <c r="Z1033" s="20"/>
      <c r="AA1033" s="22"/>
      <c r="AB1033" s="18" t="s">
        <v>4116</v>
      </c>
      <c r="AC1033" s="20"/>
      <c r="AD1033" s="20"/>
      <c r="AE1033" s="20"/>
    </row>
    <row r="1034" customFormat="false" ht="15.75" hidden="false" customHeight="false" outlineLevel="0" collapsed="false">
      <c r="A1034" s="12"/>
      <c r="B1034" s="54"/>
      <c r="C1034" s="55" t="s">
        <v>4117</v>
      </c>
      <c r="D1034" s="15"/>
      <c r="E1034" s="16" t="s">
        <v>4118</v>
      </c>
      <c r="F1034" s="15" t="s">
        <v>4119</v>
      </c>
      <c r="G1034" s="15"/>
      <c r="H1034" s="15"/>
      <c r="I1034" s="17" t="s">
        <v>36</v>
      </c>
      <c r="J1034" s="15" t="s">
        <v>58</v>
      </c>
      <c r="K1034" s="32"/>
      <c r="L1034" s="17"/>
      <c r="M1034" s="18"/>
      <c r="N1034" s="17"/>
      <c r="O1034" s="17"/>
      <c r="P1034" s="19" t="s">
        <v>39</v>
      </c>
      <c r="Q1034" s="12"/>
      <c r="R1034" s="12"/>
      <c r="S1034" s="12"/>
      <c r="T1034" s="12"/>
      <c r="U1034" s="12"/>
      <c r="V1034" s="21"/>
      <c r="Z1034" s="12"/>
      <c r="AA1034" s="29"/>
      <c r="AB1034" s="18" t="s">
        <v>4120</v>
      </c>
      <c r="AC1034" s="12"/>
      <c r="AD1034" s="12"/>
      <c r="AE1034" s="12"/>
    </row>
    <row r="1035" customFormat="false" ht="15.75" hidden="false" customHeight="false" outlineLevel="0" collapsed="false">
      <c r="A1035" s="12"/>
      <c r="B1035" s="105"/>
      <c r="C1035" s="106" t="s">
        <v>4121</v>
      </c>
      <c r="D1035" s="24"/>
      <c r="E1035" s="57" t="s">
        <v>861</v>
      </c>
      <c r="F1035" s="15" t="s">
        <v>4122</v>
      </c>
      <c r="G1035" s="15"/>
      <c r="H1035" s="15"/>
      <c r="I1035" s="15"/>
      <c r="J1035" s="15" t="s">
        <v>2283</v>
      </c>
      <c r="K1035" s="17"/>
      <c r="L1035" s="17"/>
      <c r="M1035" s="18"/>
      <c r="N1035" s="17"/>
      <c r="O1035" s="17"/>
      <c r="P1035" s="19" t="s">
        <v>39</v>
      </c>
      <c r="Q1035" s="12"/>
      <c r="R1035" s="12" t="s">
        <v>4123</v>
      </c>
      <c r="S1035" s="12"/>
      <c r="T1035" s="12" t="s">
        <v>4124</v>
      </c>
      <c r="U1035" s="12"/>
      <c r="V1035" s="21" t="s">
        <v>31</v>
      </c>
      <c r="Z1035" s="12"/>
      <c r="AA1035" s="29"/>
      <c r="AB1035" s="18" t="s">
        <v>4125</v>
      </c>
      <c r="AC1035" s="12"/>
      <c r="AD1035" s="12"/>
      <c r="AE1035" s="12"/>
    </row>
    <row r="1036" customFormat="false" ht="15.75" hidden="false" customHeight="false" outlineLevel="0" collapsed="false">
      <c r="A1036" s="12"/>
      <c r="B1036" s="54"/>
      <c r="C1036" s="55" t="s">
        <v>4126</v>
      </c>
      <c r="D1036" s="15"/>
      <c r="E1036" s="16" t="s">
        <v>4127</v>
      </c>
      <c r="F1036" s="15" t="s">
        <v>4128</v>
      </c>
      <c r="G1036" s="107" t="s">
        <v>3110</v>
      </c>
      <c r="H1036" s="26"/>
      <c r="I1036" s="26" t="s">
        <v>610</v>
      </c>
      <c r="J1036" s="15" t="s">
        <v>58</v>
      </c>
      <c r="K1036" s="32"/>
      <c r="L1036" s="17"/>
      <c r="M1036" s="18"/>
      <c r="N1036" s="17"/>
      <c r="O1036" s="17"/>
      <c r="P1036" s="19" t="s">
        <v>39</v>
      </c>
      <c r="Q1036" s="12"/>
      <c r="R1036" s="12"/>
      <c r="S1036" s="12"/>
      <c r="T1036" s="12"/>
      <c r="U1036" s="12"/>
      <c r="V1036" s="21"/>
      <c r="Z1036" s="12"/>
      <c r="AA1036" s="29"/>
      <c r="AB1036" s="18" t="s">
        <v>4129</v>
      </c>
      <c r="AC1036" s="12"/>
      <c r="AD1036" s="12"/>
      <c r="AE1036" s="12"/>
    </row>
    <row r="1037" customFormat="false" ht="15.75" hidden="false" customHeight="false" outlineLevel="0" collapsed="false">
      <c r="A1037" s="12"/>
      <c r="B1037" s="54"/>
      <c r="C1037" s="55" t="s">
        <v>4130</v>
      </c>
      <c r="D1037" s="24"/>
      <c r="E1037" s="57" t="s">
        <v>4131</v>
      </c>
      <c r="F1037" s="15" t="s">
        <v>4132</v>
      </c>
      <c r="G1037" s="15"/>
      <c r="H1037" s="15"/>
      <c r="I1037" s="26" t="s">
        <v>127</v>
      </c>
      <c r="J1037" s="15" t="s">
        <v>58</v>
      </c>
      <c r="K1037" s="17"/>
      <c r="L1037" s="17"/>
      <c r="M1037" s="18"/>
      <c r="N1037" s="17"/>
      <c r="O1037" s="17"/>
      <c r="P1037" s="19" t="s">
        <v>39</v>
      </c>
      <c r="Q1037" s="12"/>
      <c r="R1037" s="12" t="s">
        <v>4133</v>
      </c>
      <c r="S1037" s="12"/>
      <c r="T1037" s="12"/>
      <c r="U1037" s="12"/>
      <c r="V1037" s="21"/>
      <c r="Z1037" s="12"/>
      <c r="AA1037" s="29"/>
      <c r="AB1037" s="18" t="s">
        <v>4134</v>
      </c>
      <c r="AC1037" s="12"/>
      <c r="AD1037" s="12"/>
      <c r="AE1037" s="12"/>
    </row>
    <row r="1038" customFormat="false" ht="15.75" hidden="false" customHeight="false" outlineLevel="0" collapsed="false">
      <c r="A1038" s="12"/>
      <c r="B1038" s="54"/>
      <c r="C1038" s="55" t="s">
        <v>4135</v>
      </c>
      <c r="D1038" s="15"/>
      <c r="E1038" s="16" t="s">
        <v>3240</v>
      </c>
      <c r="F1038" s="15" t="s">
        <v>4136</v>
      </c>
      <c r="G1038" s="15"/>
      <c r="H1038" s="15"/>
      <c r="I1038" s="26" t="s">
        <v>166</v>
      </c>
      <c r="J1038" s="15" t="s">
        <v>58</v>
      </c>
      <c r="K1038" s="32"/>
      <c r="L1038" s="17"/>
      <c r="M1038" s="18"/>
      <c r="N1038" s="17"/>
      <c r="O1038" s="17"/>
      <c r="P1038" s="19" t="s">
        <v>39</v>
      </c>
      <c r="Q1038" s="20"/>
      <c r="R1038" s="20"/>
      <c r="S1038" s="20"/>
      <c r="T1038" s="20"/>
      <c r="U1038" s="20"/>
      <c r="V1038" s="45"/>
      <c r="Z1038" s="20"/>
      <c r="AA1038" s="22"/>
      <c r="AB1038" s="18" t="s">
        <v>4137</v>
      </c>
      <c r="AC1038" s="20"/>
      <c r="AD1038" s="20"/>
      <c r="AE1038" s="20"/>
    </row>
    <row r="1039" customFormat="false" ht="15.75" hidden="false" customHeight="false" outlineLevel="0" collapsed="false">
      <c r="A1039" s="12"/>
      <c r="B1039" s="54"/>
      <c r="C1039" s="55" t="s">
        <v>4138</v>
      </c>
      <c r="D1039" s="15"/>
      <c r="E1039" s="16" t="s">
        <v>4139</v>
      </c>
      <c r="F1039" s="15" t="s">
        <v>4140</v>
      </c>
      <c r="G1039" s="15"/>
      <c r="H1039" s="15"/>
      <c r="I1039" s="26"/>
      <c r="J1039" s="15" t="s">
        <v>58</v>
      </c>
      <c r="K1039" s="32"/>
      <c r="L1039" s="17"/>
      <c r="M1039" s="18"/>
      <c r="N1039" s="17"/>
      <c r="O1039" s="17"/>
      <c r="P1039" s="19" t="s">
        <v>39</v>
      </c>
      <c r="Q1039" s="12"/>
      <c r="R1039" s="12"/>
      <c r="S1039" s="12"/>
      <c r="T1039" s="12"/>
      <c r="U1039" s="12"/>
      <c r="V1039" s="21"/>
      <c r="Z1039" s="12"/>
      <c r="AA1039" s="29"/>
      <c r="AB1039" s="18" t="s">
        <v>4137</v>
      </c>
      <c r="AC1039" s="12"/>
      <c r="AD1039" s="12"/>
      <c r="AE1039" s="12"/>
    </row>
    <row r="1040" customFormat="false" ht="15.75" hidden="false" customHeight="false" outlineLevel="0" collapsed="false">
      <c r="A1040" s="12"/>
      <c r="B1040" s="54"/>
      <c r="C1040" s="55" t="s">
        <v>4141</v>
      </c>
      <c r="D1040" s="15"/>
      <c r="E1040" s="16" t="s">
        <v>3180</v>
      </c>
      <c r="F1040" s="15" t="s">
        <v>4142</v>
      </c>
      <c r="G1040" s="15"/>
      <c r="H1040" s="15"/>
      <c r="I1040" s="26" t="s">
        <v>886</v>
      </c>
      <c r="J1040" s="15" t="s">
        <v>58</v>
      </c>
      <c r="K1040" s="15" t="n">
        <v>2011</v>
      </c>
      <c r="L1040" s="17"/>
      <c r="M1040" s="18"/>
      <c r="N1040" s="17"/>
      <c r="O1040" s="17"/>
      <c r="P1040" s="19" t="s">
        <v>39</v>
      </c>
      <c r="Q1040" s="12"/>
      <c r="R1040" s="12"/>
      <c r="S1040" s="12"/>
      <c r="T1040" s="12"/>
      <c r="U1040" s="12"/>
      <c r="V1040" s="21"/>
      <c r="Z1040" s="12"/>
      <c r="AA1040" s="29"/>
      <c r="AB1040" s="18" t="s">
        <v>4137</v>
      </c>
      <c r="AC1040" s="12"/>
      <c r="AD1040" s="12"/>
      <c r="AE1040" s="12"/>
    </row>
    <row r="1041" customFormat="false" ht="15.75" hidden="false" customHeight="false" outlineLevel="0" collapsed="false">
      <c r="A1041" s="12"/>
      <c r="B1041" s="54"/>
      <c r="C1041" s="55" t="s">
        <v>3210</v>
      </c>
      <c r="D1041" s="15"/>
      <c r="E1041" s="16" t="s">
        <v>4143</v>
      </c>
      <c r="F1041" s="15" t="s">
        <v>4144</v>
      </c>
      <c r="G1041" s="15"/>
      <c r="H1041" s="15"/>
      <c r="I1041" s="17" t="s">
        <v>36</v>
      </c>
      <c r="J1041" s="15" t="s">
        <v>58</v>
      </c>
      <c r="K1041" s="15" t="n">
        <v>2007</v>
      </c>
      <c r="L1041" s="17"/>
      <c r="M1041" s="18"/>
      <c r="N1041" s="17"/>
      <c r="O1041" s="17"/>
      <c r="P1041" s="19" t="s">
        <v>39</v>
      </c>
      <c r="Q1041" s="20"/>
      <c r="R1041" s="20"/>
      <c r="S1041" s="20"/>
      <c r="T1041" s="20"/>
      <c r="U1041" s="20"/>
      <c r="V1041" s="45"/>
      <c r="Z1041" s="20"/>
      <c r="AA1041" s="22"/>
      <c r="AB1041" s="18" t="s">
        <v>4137</v>
      </c>
      <c r="AC1041" s="20"/>
      <c r="AD1041" s="20"/>
      <c r="AE1041" s="20"/>
    </row>
    <row r="1042" customFormat="false" ht="15.75" hidden="false" customHeight="false" outlineLevel="0" collapsed="false">
      <c r="A1042" s="12"/>
      <c r="B1042" s="54"/>
      <c r="C1042" s="55" t="s">
        <v>4084</v>
      </c>
      <c r="D1042" s="15"/>
      <c r="E1042" s="57" t="s">
        <v>4145</v>
      </c>
      <c r="F1042" s="15" t="s">
        <v>4146</v>
      </c>
      <c r="G1042" s="15"/>
      <c r="H1042" s="15"/>
      <c r="I1042" s="26" t="s">
        <v>882</v>
      </c>
      <c r="J1042" s="15" t="s">
        <v>58</v>
      </c>
      <c r="K1042" s="15" t="n">
        <v>2008</v>
      </c>
      <c r="L1042" s="17"/>
      <c r="M1042" s="18"/>
      <c r="N1042" s="17"/>
      <c r="O1042" s="17"/>
      <c r="P1042" s="19" t="s">
        <v>39</v>
      </c>
      <c r="Q1042" s="12"/>
      <c r="R1042" s="12" t="s">
        <v>4087</v>
      </c>
      <c r="S1042" s="12"/>
      <c r="T1042" s="12" t="s">
        <v>4088</v>
      </c>
      <c r="U1042" s="12"/>
      <c r="V1042" s="21" t="s">
        <v>31</v>
      </c>
      <c r="Z1042" s="12"/>
      <c r="AA1042" s="29"/>
      <c r="AB1042" s="18" t="s">
        <v>4147</v>
      </c>
      <c r="AC1042" s="12"/>
      <c r="AD1042" s="12"/>
      <c r="AE1042" s="12"/>
    </row>
    <row r="1043" customFormat="false" ht="15.75" hidden="false" customHeight="false" outlineLevel="0" collapsed="false">
      <c r="A1043" s="12"/>
      <c r="B1043" s="13"/>
      <c r="C1043" s="14" t="s">
        <v>4148</v>
      </c>
      <c r="D1043" s="15"/>
      <c r="E1043" s="86" t="s">
        <v>4149</v>
      </c>
      <c r="F1043" s="15" t="s">
        <v>4150</v>
      </c>
      <c r="G1043" s="15"/>
      <c r="H1043" s="15"/>
      <c r="I1043" s="26" t="s">
        <v>882</v>
      </c>
      <c r="J1043" s="15" t="s">
        <v>2035</v>
      </c>
      <c r="K1043" s="15" t="n">
        <v>2014</v>
      </c>
      <c r="L1043" s="17"/>
      <c r="M1043" s="18"/>
      <c r="N1043" s="17"/>
      <c r="O1043" s="17"/>
      <c r="P1043" s="19" t="s">
        <v>39</v>
      </c>
      <c r="Q1043" s="12"/>
      <c r="R1043" s="12" t="s">
        <v>4151</v>
      </c>
      <c r="S1043" s="12"/>
      <c r="T1043" s="12" t="s">
        <v>4152</v>
      </c>
      <c r="U1043" s="12"/>
      <c r="V1043" s="21" t="s">
        <v>31</v>
      </c>
      <c r="Z1043" s="12"/>
      <c r="AA1043" s="29"/>
      <c r="AB1043" s="49" t="s">
        <v>4153</v>
      </c>
      <c r="AC1043" s="12"/>
      <c r="AD1043" s="12"/>
      <c r="AE1043" s="12"/>
    </row>
    <row r="1044" customFormat="false" ht="15.75" hidden="false" customHeight="false" outlineLevel="0" collapsed="false">
      <c r="A1044" s="12"/>
      <c r="B1044" s="12"/>
      <c r="C1044" s="23" t="s">
        <v>4154</v>
      </c>
      <c r="D1044" s="24"/>
      <c r="E1044" s="25" t="s">
        <v>4155</v>
      </c>
      <c r="F1044" s="17"/>
      <c r="G1044" s="17" t="s">
        <v>197</v>
      </c>
      <c r="H1044" s="17"/>
      <c r="I1044" s="26" t="s">
        <v>198</v>
      </c>
      <c r="J1044" s="17" t="s">
        <v>618</v>
      </c>
      <c r="K1044" s="17"/>
      <c r="L1044" s="17"/>
      <c r="M1044" s="27"/>
      <c r="N1044" s="17"/>
      <c r="O1044" s="17"/>
      <c r="P1044" s="28" t="s">
        <v>46</v>
      </c>
      <c r="Q1044" s="12"/>
      <c r="R1044" s="12"/>
      <c r="S1044" s="12"/>
      <c r="T1044" s="12"/>
      <c r="U1044" s="12"/>
      <c r="V1044" s="21"/>
      <c r="Z1044" s="12"/>
      <c r="AA1044" s="29"/>
      <c r="AB1044" s="65"/>
      <c r="AC1044" s="12"/>
      <c r="AD1044" s="12"/>
      <c r="AE1044" s="12"/>
    </row>
    <row r="1045" customFormat="false" ht="15.75" hidden="false" customHeight="false" outlineLevel="0" collapsed="false">
      <c r="A1045" s="12"/>
      <c r="B1045" s="54"/>
      <c r="C1045" s="55" t="s">
        <v>4156</v>
      </c>
      <c r="D1045" s="24"/>
      <c r="E1045" s="57" t="s">
        <v>4157</v>
      </c>
      <c r="F1045" s="15" t="s">
        <v>4158</v>
      </c>
      <c r="G1045" s="15"/>
      <c r="H1045" s="15"/>
      <c r="I1045" s="26" t="s">
        <v>198</v>
      </c>
      <c r="J1045" s="15" t="s">
        <v>57</v>
      </c>
      <c r="K1045" s="17"/>
      <c r="L1045" s="17"/>
      <c r="M1045" s="18"/>
      <c r="N1045" s="17"/>
      <c r="O1045" s="17"/>
      <c r="P1045" s="19" t="s">
        <v>39</v>
      </c>
      <c r="Q1045" s="47"/>
      <c r="R1045" s="47" t="s">
        <v>3055</v>
      </c>
      <c r="S1045" s="47"/>
      <c r="T1045" s="47" t="s">
        <v>3056</v>
      </c>
      <c r="V1045" s="21" t="s">
        <v>31</v>
      </c>
      <c r="AA1045" s="63"/>
      <c r="AB1045" s="18" t="s">
        <v>4159</v>
      </c>
    </row>
    <row r="1046" customFormat="false" ht="15.75" hidden="false" customHeight="false" outlineLevel="0" collapsed="false">
      <c r="A1046" s="12"/>
      <c r="B1046" s="12"/>
      <c r="C1046" s="23" t="s">
        <v>4160</v>
      </c>
      <c r="D1046" s="24"/>
      <c r="E1046" s="25" t="s">
        <v>4161</v>
      </c>
      <c r="F1046" s="17"/>
      <c r="G1046" s="17" t="s">
        <v>197</v>
      </c>
      <c r="H1046" s="17"/>
      <c r="I1046" s="26" t="s">
        <v>198</v>
      </c>
      <c r="J1046" s="17" t="s">
        <v>48</v>
      </c>
      <c r="K1046" s="17"/>
      <c r="L1046" s="17"/>
      <c r="M1046" s="27"/>
      <c r="N1046" s="17"/>
      <c r="O1046" s="17"/>
      <c r="P1046" s="28" t="s">
        <v>46</v>
      </c>
      <c r="Q1046" s="12"/>
      <c r="R1046" s="12"/>
      <c r="S1046" s="12"/>
      <c r="T1046" s="12"/>
      <c r="U1046" s="12"/>
      <c r="V1046" s="21"/>
      <c r="Z1046" s="12"/>
      <c r="AA1046" s="29"/>
      <c r="AB1046" s="12"/>
      <c r="AC1046" s="12"/>
      <c r="AD1046" s="12"/>
      <c r="AE1046" s="12"/>
    </row>
    <row r="1047" customFormat="false" ht="15.75" hidden="false" customHeight="false" outlineLevel="0" collapsed="false">
      <c r="A1047" s="12"/>
      <c r="B1047" s="20"/>
      <c r="C1047" s="48" t="s">
        <v>4162</v>
      </c>
      <c r="D1047" s="24" t="s">
        <v>61</v>
      </c>
      <c r="E1047" s="49" t="s">
        <v>4163</v>
      </c>
      <c r="F1047" s="49" t="s">
        <v>4164</v>
      </c>
      <c r="G1047" s="17"/>
      <c r="H1047" s="17"/>
      <c r="I1047" s="26" t="s">
        <v>166</v>
      </c>
      <c r="J1047" s="32" t="s">
        <v>1816</v>
      </c>
      <c r="K1047" s="17"/>
      <c r="L1047" s="17"/>
      <c r="M1047" s="50"/>
      <c r="N1047" s="17"/>
      <c r="O1047" s="17"/>
      <c r="P1047" s="40" t="s">
        <v>168</v>
      </c>
      <c r="Q1047" s="12"/>
      <c r="R1047" s="12" t="s">
        <v>4165</v>
      </c>
      <c r="S1047" s="12"/>
      <c r="T1047" s="12" t="s">
        <v>4166</v>
      </c>
      <c r="U1047" s="12" t="s">
        <v>4167</v>
      </c>
      <c r="V1047" s="21" t="s">
        <v>31</v>
      </c>
      <c r="Z1047" s="12"/>
      <c r="AA1047" s="29" t="n">
        <v>3</v>
      </c>
      <c r="AB1047" s="12" t="s">
        <v>4168</v>
      </c>
      <c r="AC1047" s="12"/>
      <c r="AD1047" s="12"/>
      <c r="AE1047" s="12"/>
      <c r="AF1047" s="12"/>
      <c r="AG1047" s="12"/>
    </row>
    <row r="1048" customFormat="false" ht="15.75" hidden="false" customHeight="false" outlineLevel="0" collapsed="false">
      <c r="A1048" s="12" t="str">
        <f aca="false">IF((AA1048&gt;=4), "Y", "N")</f>
        <v>Y</v>
      </c>
      <c r="B1048" s="13"/>
      <c r="C1048" s="31" t="s">
        <v>4169</v>
      </c>
      <c r="D1048" s="16" t="s">
        <v>61</v>
      </c>
      <c r="E1048" s="32" t="s">
        <v>4170</v>
      </c>
      <c r="F1048" s="17" t="s">
        <v>4171</v>
      </c>
      <c r="G1048" s="17"/>
      <c r="H1048" s="17"/>
      <c r="I1048" s="26" t="s">
        <v>266</v>
      </c>
      <c r="J1048" s="32" t="s">
        <v>1816</v>
      </c>
      <c r="K1048" s="33" t="n">
        <v>2002</v>
      </c>
      <c r="L1048" s="33" t="s">
        <v>73</v>
      </c>
      <c r="M1048" s="27"/>
      <c r="N1048" s="17" t="s">
        <v>4172</v>
      </c>
      <c r="O1048" s="17"/>
      <c r="P1048" s="40" t="s">
        <v>268</v>
      </c>
      <c r="Q1048" s="12"/>
      <c r="R1048" s="12"/>
      <c r="S1048" s="12"/>
      <c r="T1048" s="12"/>
      <c r="U1048" s="12"/>
      <c r="V1048" s="21"/>
      <c r="Z1048" s="12"/>
      <c r="AA1048" s="29" t="str">
        <f aca="false">IF(P1048="OD500 MX", "5", " ")</f>
        <v>5</v>
      </c>
      <c r="AB1048" s="12" t="s">
        <v>1591</v>
      </c>
      <c r="AC1048" s="12"/>
      <c r="AD1048" s="12"/>
      <c r="AE1048" s="12"/>
      <c r="AF1048" s="12"/>
      <c r="AG1048" s="12"/>
    </row>
    <row r="1049" customFormat="false" ht="15.75" hidden="false" customHeight="false" outlineLevel="0" collapsed="false">
      <c r="A1049" s="12" t="str">
        <f aca="false">IF((AA1049&gt;=4), "Y", "N")</f>
        <v>Y</v>
      </c>
      <c r="B1049" s="13"/>
      <c r="C1049" s="31" t="s">
        <v>4173</v>
      </c>
      <c r="D1049" s="24" t="s">
        <v>94</v>
      </c>
      <c r="E1049" s="32" t="s">
        <v>4174</v>
      </c>
      <c r="F1049" s="17" t="s">
        <v>4175</v>
      </c>
      <c r="G1049" s="17"/>
      <c r="H1049" s="17"/>
      <c r="I1049" s="26" t="s">
        <v>266</v>
      </c>
      <c r="J1049" s="32" t="s">
        <v>1816</v>
      </c>
      <c r="K1049" s="33" t="n">
        <v>2013</v>
      </c>
      <c r="L1049" s="33" t="s">
        <v>109</v>
      </c>
      <c r="M1049" s="27"/>
      <c r="N1049" s="17" t="s">
        <v>4176</v>
      </c>
      <c r="O1049" s="17"/>
      <c r="P1049" s="40" t="s">
        <v>268</v>
      </c>
      <c r="Q1049" s="12"/>
      <c r="R1049" s="12"/>
      <c r="S1049" s="12"/>
      <c r="T1049" s="12"/>
      <c r="U1049" s="12"/>
      <c r="V1049" s="21"/>
      <c r="Z1049" s="12"/>
      <c r="AA1049" s="29" t="str">
        <f aca="false">IF(P1049="OD500 MX", "5", " ")</f>
        <v>5</v>
      </c>
      <c r="AB1049" s="12" t="s">
        <v>4177</v>
      </c>
      <c r="AC1049" s="59" t="s">
        <v>4178</v>
      </c>
      <c r="AD1049" s="12"/>
      <c r="AE1049" s="12"/>
      <c r="AF1049" s="12"/>
      <c r="AG1049" s="12"/>
    </row>
    <row r="1050" customFormat="false" ht="15.75" hidden="false" customHeight="false" outlineLevel="0" collapsed="false">
      <c r="A1050" s="12" t="str">
        <f aca="false">IF((AA1050&gt;=4), "Y", "N")</f>
        <v>Y</v>
      </c>
      <c r="B1050" s="13"/>
      <c r="C1050" s="31" t="s">
        <v>4179</v>
      </c>
      <c r="D1050" s="16" t="s">
        <v>94</v>
      </c>
      <c r="E1050" s="32" t="s">
        <v>4180</v>
      </c>
      <c r="F1050" s="32" t="s">
        <v>4181</v>
      </c>
      <c r="G1050" s="32" t="s">
        <v>1611</v>
      </c>
      <c r="H1050" s="17" t="s">
        <v>297</v>
      </c>
      <c r="I1050" s="17" t="s">
        <v>36</v>
      </c>
      <c r="J1050" s="32" t="s">
        <v>1816</v>
      </c>
      <c r="K1050" s="33" t="n">
        <v>1965</v>
      </c>
      <c r="L1050" s="33" t="s">
        <v>275</v>
      </c>
      <c r="M1050" s="27"/>
      <c r="N1050" s="34" t="s">
        <v>4182</v>
      </c>
      <c r="O1050" s="17"/>
      <c r="P1050" s="19" t="s">
        <v>76</v>
      </c>
      <c r="Q1050" s="20"/>
      <c r="R1050" s="20" t="s">
        <v>4183</v>
      </c>
      <c r="S1050" s="20"/>
      <c r="T1050" s="20" t="s">
        <v>4184</v>
      </c>
      <c r="U1050" s="20"/>
      <c r="V1050" s="21" t="s">
        <v>31</v>
      </c>
      <c r="Z1050" s="20"/>
      <c r="AA1050" s="22" t="str">
        <f aca="false">IF(P1050="OD500 US (submitted)", "5", " ")</f>
        <v>5</v>
      </c>
      <c r="AB1050" s="20" t="s">
        <v>1591</v>
      </c>
      <c r="AC1050" s="20"/>
      <c r="AD1050" s="20"/>
      <c r="AE1050" s="20"/>
      <c r="AF1050" s="13"/>
      <c r="AG1050" s="13"/>
    </row>
    <row r="1051" customFormat="false" ht="15.75" hidden="false" customHeight="false" outlineLevel="0" collapsed="false">
      <c r="A1051" s="12"/>
      <c r="B1051" s="20"/>
      <c r="C1051" s="48" t="s">
        <v>4185</v>
      </c>
      <c r="D1051" s="24" t="s">
        <v>61</v>
      </c>
      <c r="E1051" s="49" t="s">
        <v>4186</v>
      </c>
      <c r="F1051" s="49" t="s">
        <v>4187</v>
      </c>
      <c r="G1051" s="17"/>
      <c r="H1051" s="17"/>
      <c r="I1051" s="26" t="s">
        <v>166</v>
      </c>
      <c r="J1051" s="32" t="s">
        <v>1816</v>
      </c>
      <c r="K1051" s="17"/>
      <c r="L1051" s="17"/>
      <c r="M1051" s="46"/>
      <c r="N1051" s="17"/>
      <c r="O1051" s="17"/>
      <c r="P1051" s="40" t="s">
        <v>168</v>
      </c>
      <c r="Q1051" s="12"/>
      <c r="R1051" s="12" t="s">
        <v>4188</v>
      </c>
      <c r="S1051" s="12"/>
      <c r="T1051" s="12" t="s">
        <v>4189</v>
      </c>
      <c r="U1051" s="12"/>
      <c r="V1051" s="21" t="s">
        <v>31</v>
      </c>
      <c r="Z1051" s="12"/>
      <c r="AA1051" s="29" t="n">
        <v>2</v>
      </c>
      <c r="AB1051" s="12" t="s">
        <v>4190</v>
      </c>
      <c r="AC1051" s="12"/>
      <c r="AD1051" s="12"/>
      <c r="AE1051" s="12"/>
      <c r="AF1051" s="47"/>
      <c r="AG1051" s="47"/>
    </row>
    <row r="1052" customFormat="false" ht="15.75" hidden="false" customHeight="false" outlineLevel="0" collapsed="false">
      <c r="A1052" s="12" t="str">
        <f aca="false">IF((AA1052&gt;=4), "Y", "N")</f>
        <v>Y</v>
      </c>
      <c r="B1052" s="13"/>
      <c r="C1052" s="31" t="s">
        <v>4191</v>
      </c>
      <c r="D1052" s="16" t="s">
        <v>94</v>
      </c>
      <c r="E1052" s="32" t="s">
        <v>4192</v>
      </c>
      <c r="F1052" s="17" t="s">
        <v>4193</v>
      </c>
      <c r="G1052" s="17"/>
      <c r="H1052" s="17"/>
      <c r="I1052" s="17" t="s">
        <v>36</v>
      </c>
      <c r="J1052" s="32" t="s">
        <v>1816</v>
      </c>
      <c r="K1052" s="33" t="n">
        <v>1989</v>
      </c>
      <c r="L1052" s="33" t="s">
        <v>275</v>
      </c>
      <c r="M1052" s="27"/>
      <c r="N1052" s="17" t="s">
        <v>4194</v>
      </c>
      <c r="O1052" s="17"/>
      <c r="P1052" s="40" t="s">
        <v>268</v>
      </c>
      <c r="Q1052" s="12"/>
      <c r="R1052" s="12"/>
      <c r="S1052" s="12"/>
      <c r="T1052" s="12"/>
      <c r="U1052" s="12"/>
      <c r="V1052" s="21"/>
      <c r="Z1052" s="12"/>
      <c r="AA1052" s="29" t="str">
        <f aca="false">IF(P1052="OD500 MX", "5", " ")</f>
        <v>5</v>
      </c>
      <c r="AB1052" s="12"/>
      <c r="AC1052" s="12"/>
      <c r="AD1052" s="12"/>
      <c r="AE1052" s="12"/>
    </row>
    <row r="1053" customFormat="false" ht="15.75" hidden="false" customHeight="false" outlineLevel="0" collapsed="false">
      <c r="A1053" s="12"/>
      <c r="B1053" s="12"/>
      <c r="C1053" s="23" t="s">
        <v>4195</v>
      </c>
      <c r="D1053" s="24" t="s">
        <v>667</v>
      </c>
      <c r="E1053" s="25" t="s">
        <v>4196</v>
      </c>
      <c r="F1053" s="17" t="s">
        <v>4197</v>
      </c>
      <c r="G1053" s="17" t="s">
        <v>537</v>
      </c>
      <c r="H1053" s="17"/>
      <c r="I1053" s="26" t="s">
        <v>198</v>
      </c>
      <c r="J1053" s="32" t="s">
        <v>1816</v>
      </c>
      <c r="K1053" s="17" t="n">
        <v>2013</v>
      </c>
      <c r="L1053" s="17" t="s">
        <v>109</v>
      </c>
      <c r="M1053" s="27"/>
      <c r="N1053" s="17"/>
      <c r="O1053" s="17"/>
      <c r="P1053" s="28" t="s">
        <v>46</v>
      </c>
      <c r="Q1053" s="17"/>
      <c r="R1053" s="17"/>
      <c r="S1053" s="17"/>
      <c r="T1053" s="17"/>
      <c r="U1053" s="17"/>
      <c r="V1053" s="27"/>
      <c r="Z1053" s="17"/>
      <c r="AA1053" s="29"/>
      <c r="AB1053" s="17" t="s">
        <v>4198</v>
      </c>
      <c r="AC1053" s="17"/>
      <c r="AD1053" s="17"/>
      <c r="AE1053" s="17"/>
    </row>
    <row r="1054" customFormat="false" ht="15.75" hidden="false" customHeight="false" outlineLevel="0" collapsed="false">
      <c r="A1054" s="12" t="str">
        <f aca="false">IF((AA1054&gt;=4), "Y", "N")</f>
        <v>Y</v>
      </c>
      <c r="B1054" s="13"/>
      <c r="C1054" s="31" t="s">
        <v>4199</v>
      </c>
      <c r="D1054" s="24" t="s">
        <v>94</v>
      </c>
      <c r="E1054" s="32" t="s">
        <v>4200</v>
      </c>
      <c r="F1054" s="17"/>
      <c r="G1054" s="17"/>
      <c r="H1054" s="17"/>
      <c r="I1054" s="26" t="s">
        <v>266</v>
      </c>
      <c r="J1054" s="32" t="s">
        <v>1816</v>
      </c>
      <c r="K1054" s="33" t="n">
        <v>1998</v>
      </c>
      <c r="L1054" s="33"/>
      <c r="M1054" s="27"/>
      <c r="N1054" s="17" t="s">
        <v>4201</v>
      </c>
      <c r="O1054" s="17"/>
      <c r="P1054" s="40" t="s">
        <v>268</v>
      </c>
      <c r="Q1054" s="12"/>
      <c r="R1054" s="12"/>
      <c r="S1054" s="12"/>
      <c r="T1054" s="12"/>
      <c r="U1054" s="12"/>
      <c r="V1054" s="21"/>
      <c r="Z1054" s="12"/>
      <c r="AA1054" s="29" t="str">
        <f aca="false">IF(P1054="OD500 MX", "5", " ")</f>
        <v>5</v>
      </c>
      <c r="AB1054" s="12"/>
      <c r="AC1054" s="12"/>
      <c r="AD1054" s="12"/>
      <c r="AE1054" s="12"/>
    </row>
    <row r="1055" customFormat="false" ht="15.75" hidden="false" customHeight="false" outlineLevel="0" collapsed="false">
      <c r="A1055" s="12" t="str">
        <f aca="false">IF((AA1055&gt;=4), "Y", "N")</f>
        <v>Y</v>
      </c>
      <c r="B1055" s="13" t="s">
        <v>32</v>
      </c>
      <c r="C1055" s="31" t="s">
        <v>4202</v>
      </c>
      <c r="D1055" s="24" t="s">
        <v>521</v>
      </c>
      <c r="E1055" s="32" t="s">
        <v>4203</v>
      </c>
      <c r="F1055" s="17" t="s">
        <v>4204</v>
      </c>
      <c r="G1055" s="17"/>
      <c r="H1055" s="17"/>
      <c r="I1055" s="26" t="s">
        <v>266</v>
      </c>
      <c r="J1055" s="32" t="s">
        <v>1816</v>
      </c>
      <c r="K1055" s="33" t="n">
        <v>1992</v>
      </c>
      <c r="L1055" s="33" t="s">
        <v>275</v>
      </c>
      <c r="M1055" s="27"/>
      <c r="N1055" s="17" t="s">
        <v>4205</v>
      </c>
      <c r="O1055" s="17"/>
      <c r="P1055" s="40" t="s">
        <v>268</v>
      </c>
      <c r="V1055" s="60"/>
      <c r="AA1055" s="29" t="str">
        <f aca="false">IF(P1055="OD500 MX", "5", " ")</f>
        <v>5</v>
      </c>
      <c r="AB1055" s="17" t="s">
        <v>4206</v>
      </c>
      <c r="AC1055" s="69" t="s">
        <v>4207</v>
      </c>
    </row>
    <row r="1056" customFormat="false" ht="15.75" hidden="false" customHeight="false" outlineLevel="0" collapsed="false">
      <c r="A1056" s="12" t="str">
        <f aca="false">IF((AA1056&gt;=4), "Y", "N")</f>
        <v>Y</v>
      </c>
      <c r="B1056" s="13"/>
      <c r="C1056" s="31" t="s">
        <v>4208</v>
      </c>
      <c r="D1056" s="24" t="s">
        <v>94</v>
      </c>
      <c r="E1056" s="32" t="s">
        <v>4209</v>
      </c>
      <c r="F1056" s="17"/>
      <c r="G1056" s="17"/>
      <c r="H1056" s="17"/>
      <c r="I1056" s="26" t="s">
        <v>266</v>
      </c>
      <c r="J1056" s="32" t="s">
        <v>1816</v>
      </c>
      <c r="K1056" s="33" t="n">
        <v>1951</v>
      </c>
      <c r="L1056" s="33"/>
      <c r="M1056" s="27"/>
      <c r="N1056" s="17" t="s">
        <v>4210</v>
      </c>
      <c r="O1056" s="17"/>
      <c r="P1056" s="40" t="s">
        <v>268</v>
      </c>
      <c r="Q1056" s="12"/>
      <c r="R1056" s="12"/>
      <c r="S1056" s="12"/>
      <c r="T1056" s="12"/>
      <c r="U1056" s="12"/>
      <c r="V1056" s="21"/>
      <c r="Z1056" s="12"/>
      <c r="AA1056" s="29" t="str">
        <f aca="false">IF(P1056="OD500 MX", "5", " ")</f>
        <v>5</v>
      </c>
      <c r="AB1056" s="12"/>
      <c r="AC1056" s="12"/>
      <c r="AD1056" s="12"/>
      <c r="AE1056" s="12"/>
    </row>
    <row r="1057" customFormat="false" ht="15.75" hidden="false" customHeight="false" outlineLevel="0" collapsed="false">
      <c r="A1057" s="12"/>
      <c r="B1057" s="12"/>
      <c r="C1057" s="23" t="s">
        <v>4211</v>
      </c>
      <c r="D1057" s="24"/>
      <c r="E1057" s="17"/>
      <c r="F1057" s="17"/>
      <c r="G1057" s="17"/>
      <c r="H1057" s="17"/>
      <c r="I1057" s="17" t="s">
        <v>260</v>
      </c>
      <c r="J1057" s="32" t="s">
        <v>1816</v>
      </c>
      <c r="K1057" s="17"/>
      <c r="L1057" s="17"/>
      <c r="M1057" s="27"/>
      <c r="N1057" s="17"/>
      <c r="O1057" s="17"/>
      <c r="P1057" s="40" t="s">
        <v>261</v>
      </c>
      <c r="Q1057" s="12"/>
      <c r="R1057" s="12"/>
      <c r="S1057" s="12"/>
      <c r="T1057" s="12"/>
      <c r="U1057" s="12"/>
      <c r="V1057" s="21"/>
      <c r="Z1057" s="12"/>
      <c r="AA1057" s="29"/>
      <c r="AB1057" s="12"/>
      <c r="AC1057" s="12"/>
      <c r="AD1057" s="12"/>
      <c r="AE1057" s="12"/>
    </row>
    <row r="1058" customFormat="false" ht="15.75" hidden="false" customHeight="false" outlineLevel="0" collapsed="false">
      <c r="A1058" s="12"/>
      <c r="B1058" s="12"/>
      <c r="C1058" s="23" t="s">
        <v>4212</v>
      </c>
      <c r="D1058" s="24"/>
      <c r="E1058" s="17"/>
      <c r="F1058" s="17"/>
      <c r="G1058" s="17"/>
      <c r="H1058" s="17"/>
      <c r="I1058" s="17" t="s">
        <v>260</v>
      </c>
      <c r="J1058" s="32" t="s">
        <v>1816</v>
      </c>
      <c r="K1058" s="17"/>
      <c r="L1058" s="17"/>
      <c r="M1058" s="27"/>
      <c r="N1058" s="17"/>
      <c r="O1058" s="17"/>
      <c r="P1058" s="40" t="s">
        <v>261</v>
      </c>
      <c r="Q1058" s="12"/>
      <c r="R1058" s="12"/>
      <c r="S1058" s="12"/>
      <c r="T1058" s="12"/>
      <c r="U1058" s="12"/>
      <c r="V1058" s="21"/>
      <c r="Z1058" s="12"/>
      <c r="AA1058" s="29"/>
      <c r="AB1058" s="12"/>
      <c r="AC1058" s="12"/>
      <c r="AD1058" s="12"/>
      <c r="AE1058" s="12"/>
    </row>
    <row r="1059" customFormat="false" ht="15.75" hidden="false" customHeight="false" outlineLevel="0" collapsed="false">
      <c r="A1059" s="12"/>
      <c r="B1059" s="12"/>
      <c r="C1059" s="23" t="s">
        <v>4213</v>
      </c>
      <c r="D1059" s="24"/>
      <c r="E1059" s="17"/>
      <c r="F1059" s="17"/>
      <c r="G1059" s="17"/>
      <c r="H1059" s="17"/>
      <c r="I1059" s="17" t="s">
        <v>260</v>
      </c>
      <c r="J1059" s="32" t="s">
        <v>1816</v>
      </c>
      <c r="K1059" s="17"/>
      <c r="L1059" s="17"/>
      <c r="M1059" s="27"/>
      <c r="N1059" s="17"/>
      <c r="O1059" s="17"/>
      <c r="P1059" s="40" t="s">
        <v>261</v>
      </c>
      <c r="Q1059" s="12"/>
      <c r="R1059" s="12"/>
      <c r="S1059" s="12"/>
      <c r="T1059" s="12"/>
      <c r="U1059" s="12"/>
      <c r="V1059" s="21"/>
      <c r="Z1059" s="12"/>
      <c r="AA1059" s="29"/>
      <c r="AB1059" s="12"/>
      <c r="AC1059" s="12"/>
      <c r="AD1059" s="12"/>
      <c r="AE1059" s="12"/>
    </row>
    <row r="1060" customFormat="false" ht="15.75" hidden="false" customHeight="false" outlineLevel="0" collapsed="false">
      <c r="A1060" s="12"/>
      <c r="B1060" s="12"/>
      <c r="C1060" s="23" t="s">
        <v>4214</v>
      </c>
      <c r="D1060" s="24"/>
      <c r="E1060" s="17"/>
      <c r="F1060" s="17"/>
      <c r="G1060" s="17"/>
      <c r="H1060" s="17"/>
      <c r="I1060" s="17" t="s">
        <v>260</v>
      </c>
      <c r="J1060" s="32" t="s">
        <v>1816</v>
      </c>
      <c r="K1060" s="17"/>
      <c r="L1060" s="17"/>
      <c r="M1060" s="27"/>
      <c r="N1060" s="17"/>
      <c r="O1060" s="17"/>
      <c r="P1060" s="40" t="s">
        <v>261</v>
      </c>
      <c r="V1060" s="60"/>
      <c r="AA1060" s="63"/>
    </row>
    <row r="1061" customFormat="false" ht="15.75" hidden="false" customHeight="false" outlineLevel="0" collapsed="false">
      <c r="A1061" s="12"/>
      <c r="B1061" s="12"/>
      <c r="C1061" s="23" t="s">
        <v>4215</v>
      </c>
      <c r="D1061" s="24"/>
      <c r="E1061" s="17"/>
      <c r="F1061" s="17"/>
      <c r="G1061" s="17"/>
      <c r="H1061" s="17"/>
      <c r="I1061" s="17" t="s">
        <v>260</v>
      </c>
      <c r="J1061" s="32" t="s">
        <v>1816</v>
      </c>
      <c r="K1061" s="17"/>
      <c r="L1061" s="17"/>
      <c r="M1061" s="27"/>
      <c r="N1061" s="17"/>
      <c r="O1061" s="17"/>
      <c r="P1061" s="40" t="s">
        <v>261</v>
      </c>
      <c r="Q1061" s="12"/>
      <c r="R1061" s="12"/>
      <c r="S1061" s="12"/>
      <c r="T1061" s="12"/>
      <c r="U1061" s="12"/>
      <c r="V1061" s="21"/>
      <c r="Z1061" s="12"/>
      <c r="AA1061" s="29"/>
      <c r="AB1061" s="12"/>
      <c r="AC1061" s="12"/>
      <c r="AD1061" s="12"/>
      <c r="AE1061" s="12"/>
    </row>
    <row r="1062" customFormat="false" ht="15.75" hidden="false" customHeight="false" outlineLevel="0" collapsed="false">
      <c r="A1062" s="12" t="str">
        <f aca="false">IF((AA1062&gt;=4), "Y", "N")</f>
        <v>Y</v>
      </c>
      <c r="B1062" s="12"/>
      <c r="C1062" s="23" t="s">
        <v>4216</v>
      </c>
      <c r="D1062" s="16" t="s">
        <v>94</v>
      </c>
      <c r="E1062" s="25" t="s">
        <v>4217</v>
      </c>
      <c r="F1062" s="17" t="s">
        <v>4218</v>
      </c>
      <c r="G1062" s="17" t="s">
        <v>1202</v>
      </c>
      <c r="H1062" s="26" t="s">
        <v>353</v>
      </c>
      <c r="I1062" s="17" t="s">
        <v>36</v>
      </c>
      <c r="J1062" s="32" t="s">
        <v>1816</v>
      </c>
      <c r="K1062" s="17" t="n">
        <v>1914</v>
      </c>
      <c r="L1062" s="33" t="s">
        <v>275</v>
      </c>
      <c r="M1062" s="27"/>
      <c r="N1062" s="79" t="s">
        <v>4219</v>
      </c>
      <c r="O1062" s="17"/>
      <c r="P1062" s="40" t="s">
        <v>111</v>
      </c>
      <c r="Q1062" s="12"/>
      <c r="R1062" s="12"/>
      <c r="S1062" s="12"/>
      <c r="T1062" s="12"/>
      <c r="U1062" s="12"/>
      <c r="V1062" s="21"/>
      <c r="Z1062" s="12"/>
      <c r="AA1062" s="29" t="n">
        <v>5</v>
      </c>
      <c r="AB1062" s="12"/>
      <c r="AC1062" s="12"/>
      <c r="AD1062" s="12"/>
      <c r="AE1062" s="12"/>
    </row>
    <row r="1063" customFormat="false" ht="15.75" hidden="false" customHeight="false" outlineLevel="0" collapsed="false">
      <c r="A1063" s="12" t="str">
        <f aca="false">IF((AA1063&gt;=4), "Y", "N")</f>
        <v>Y</v>
      </c>
      <c r="B1063" s="12"/>
      <c r="C1063" s="23" t="s">
        <v>4220</v>
      </c>
      <c r="D1063" s="24" t="s">
        <v>94</v>
      </c>
      <c r="E1063" s="25" t="s">
        <v>4221</v>
      </c>
      <c r="F1063" s="17" t="s">
        <v>4222</v>
      </c>
      <c r="G1063" s="17" t="s">
        <v>296</v>
      </c>
      <c r="H1063" s="26" t="s">
        <v>297</v>
      </c>
      <c r="I1063" s="17" t="s">
        <v>36</v>
      </c>
      <c r="J1063" s="32" t="s">
        <v>1816</v>
      </c>
      <c r="K1063" s="17" t="n">
        <v>1963</v>
      </c>
      <c r="L1063" s="33" t="s">
        <v>275</v>
      </c>
      <c r="M1063" s="27"/>
      <c r="N1063" s="17"/>
      <c r="O1063" s="17"/>
      <c r="P1063" s="40" t="s">
        <v>111</v>
      </c>
      <c r="Q1063" s="12"/>
      <c r="R1063" s="12"/>
      <c r="S1063" s="12"/>
      <c r="T1063" s="12"/>
      <c r="U1063" s="12"/>
      <c r="V1063" s="21"/>
      <c r="Z1063" s="12"/>
      <c r="AA1063" s="29" t="n">
        <v>5</v>
      </c>
      <c r="AB1063" s="12"/>
      <c r="AC1063" s="12"/>
      <c r="AD1063" s="12"/>
      <c r="AE1063" s="12"/>
    </row>
    <row r="1064" customFormat="false" ht="15.75" hidden="false" customHeight="false" outlineLevel="0" collapsed="false">
      <c r="A1064" s="12" t="str">
        <f aca="false">IF((AA1064&gt;=4), "Y", "N")</f>
        <v>Y</v>
      </c>
      <c r="B1064" s="13"/>
      <c r="C1064" s="31" t="s">
        <v>4223</v>
      </c>
      <c r="D1064" s="24" t="s">
        <v>94</v>
      </c>
      <c r="E1064" s="32" t="s">
        <v>4224</v>
      </c>
      <c r="F1064" s="17"/>
      <c r="G1064" s="17"/>
      <c r="H1064" s="17"/>
      <c r="I1064" s="26" t="s">
        <v>266</v>
      </c>
      <c r="J1064" s="32" t="s">
        <v>1816</v>
      </c>
      <c r="K1064" s="33" t="n">
        <v>2008</v>
      </c>
      <c r="L1064" s="33" t="s">
        <v>99</v>
      </c>
      <c r="M1064" s="27"/>
      <c r="N1064" s="17" t="s">
        <v>4225</v>
      </c>
      <c r="O1064" s="17"/>
      <c r="P1064" s="40" t="s">
        <v>268</v>
      </c>
      <c r="Q1064" s="17"/>
      <c r="R1064" s="17"/>
      <c r="S1064" s="17"/>
      <c r="T1064" s="17"/>
      <c r="U1064" s="17"/>
      <c r="V1064" s="27"/>
      <c r="Z1064" s="17"/>
      <c r="AA1064" s="29" t="str">
        <f aca="false">IF(P1064="OD500 MX", "5", " ")</f>
        <v>5</v>
      </c>
      <c r="AB1064" s="17"/>
      <c r="AC1064" s="17"/>
      <c r="AD1064" s="17"/>
      <c r="AE1064" s="17"/>
    </row>
    <row r="1065" customFormat="false" ht="15.75" hidden="false" customHeight="false" outlineLevel="0" collapsed="false">
      <c r="A1065" s="12" t="str">
        <f aca="false">IF((AA1065&gt;=4), "Y", "N")</f>
        <v>Y</v>
      </c>
      <c r="B1065" s="13"/>
      <c r="C1065" s="31" t="s">
        <v>4226</v>
      </c>
      <c r="D1065" s="24" t="s">
        <v>94</v>
      </c>
      <c r="E1065" s="32" t="s">
        <v>4227</v>
      </c>
      <c r="F1065" s="17"/>
      <c r="G1065" s="17"/>
      <c r="H1065" s="17"/>
      <c r="I1065" s="26" t="s">
        <v>266</v>
      </c>
      <c r="J1065" s="32" t="s">
        <v>1816</v>
      </c>
      <c r="K1065" s="33" t="n">
        <v>2009</v>
      </c>
      <c r="L1065" s="33" t="s">
        <v>99</v>
      </c>
      <c r="M1065" s="27"/>
      <c r="N1065" s="17" t="s">
        <v>4228</v>
      </c>
      <c r="O1065" s="17"/>
      <c r="P1065" s="40" t="s">
        <v>268</v>
      </c>
      <c r="V1065" s="60"/>
      <c r="AA1065" s="29" t="str">
        <f aca="false">IF(P1065="OD500 MX", "5", " ")</f>
        <v>5</v>
      </c>
      <c r="AB1065" s="17"/>
    </row>
    <row r="1066" customFormat="false" ht="15.75" hidden="false" customHeight="false" outlineLevel="0" collapsed="false">
      <c r="A1066" s="12"/>
      <c r="B1066" s="12"/>
      <c r="C1066" s="23" t="s">
        <v>4229</v>
      </c>
      <c r="D1066" s="24"/>
      <c r="E1066" s="17"/>
      <c r="F1066" s="17"/>
      <c r="G1066" s="17"/>
      <c r="H1066" s="17"/>
      <c r="I1066" s="17" t="s">
        <v>260</v>
      </c>
      <c r="J1066" s="32" t="s">
        <v>1816</v>
      </c>
      <c r="K1066" s="17"/>
      <c r="L1066" s="17"/>
      <c r="M1066" s="27"/>
      <c r="N1066" s="17"/>
      <c r="O1066" s="17"/>
      <c r="P1066" s="40" t="s">
        <v>261</v>
      </c>
      <c r="V1066" s="60"/>
      <c r="AA1066" s="63"/>
    </row>
    <row r="1067" customFormat="false" ht="15.75" hidden="false" customHeight="false" outlineLevel="0" collapsed="false">
      <c r="A1067" s="12" t="str">
        <f aca="false">IF((AA1067&gt;=4), "Y", "N")</f>
        <v>Y</v>
      </c>
      <c r="B1067" s="12"/>
      <c r="C1067" s="23" t="s">
        <v>4230</v>
      </c>
      <c r="D1067" s="24" t="s">
        <v>51</v>
      </c>
      <c r="E1067" s="25" t="s">
        <v>4231</v>
      </c>
      <c r="F1067" s="17" t="s">
        <v>4232</v>
      </c>
      <c r="G1067" s="17" t="s">
        <v>368</v>
      </c>
      <c r="H1067" s="17" t="s">
        <v>369</v>
      </c>
      <c r="I1067" s="17" t="s">
        <v>36</v>
      </c>
      <c r="J1067" s="32" t="s">
        <v>1816</v>
      </c>
      <c r="K1067" s="17" t="n">
        <v>1983</v>
      </c>
      <c r="L1067" s="38" t="s">
        <v>99</v>
      </c>
      <c r="M1067" s="27"/>
      <c r="N1067" s="17" t="s">
        <v>504</v>
      </c>
      <c r="O1067" s="17"/>
      <c r="P1067" s="40" t="s">
        <v>111</v>
      </c>
      <c r="V1067" s="60"/>
      <c r="AA1067" s="63" t="n">
        <v>5</v>
      </c>
    </row>
    <row r="1068" customFormat="false" ht="15.75" hidden="false" customHeight="false" outlineLevel="0" collapsed="false">
      <c r="A1068" s="12" t="str">
        <f aca="false">IF((AA1068&gt;=4), "Y", "N")</f>
        <v>Y</v>
      </c>
      <c r="B1068" s="13"/>
      <c r="C1068" s="31" t="s">
        <v>4233</v>
      </c>
      <c r="D1068" s="16" t="s">
        <v>51</v>
      </c>
      <c r="E1068" s="32" t="s">
        <v>4234</v>
      </c>
      <c r="F1068" s="17"/>
      <c r="G1068" s="17"/>
      <c r="H1068" s="17"/>
      <c r="I1068" s="26" t="s">
        <v>266</v>
      </c>
      <c r="J1068" s="32" t="s">
        <v>1816</v>
      </c>
      <c r="K1068" s="33" t="n">
        <v>1984</v>
      </c>
      <c r="L1068" s="33" t="s">
        <v>99</v>
      </c>
      <c r="M1068" s="27"/>
      <c r="N1068" s="17" t="s">
        <v>478</v>
      </c>
      <c r="O1068" s="17"/>
      <c r="P1068" s="40" t="s">
        <v>268</v>
      </c>
      <c r="Q1068" s="12"/>
      <c r="R1068" s="12"/>
      <c r="S1068" s="12"/>
      <c r="T1068" s="12"/>
      <c r="U1068" s="12"/>
      <c r="V1068" s="21"/>
      <c r="Z1068" s="12"/>
      <c r="AA1068" s="29" t="str">
        <f aca="false">IF(P1068="OD500 MX", "5", " ")</f>
        <v>5</v>
      </c>
      <c r="AB1068" s="12"/>
      <c r="AC1068" s="12"/>
      <c r="AD1068" s="12"/>
      <c r="AE1068" s="12"/>
    </row>
    <row r="1069" customFormat="false" ht="15.75" hidden="false" customHeight="false" outlineLevel="0" collapsed="false">
      <c r="A1069" s="12" t="str">
        <f aca="false">IF((AA1069&gt;=4), "Y", "N")</f>
        <v>Y</v>
      </c>
      <c r="B1069" s="12"/>
      <c r="C1069" s="23" t="s">
        <v>4235</v>
      </c>
      <c r="D1069" s="16" t="s">
        <v>94</v>
      </c>
      <c r="E1069" s="25" t="s">
        <v>4236</v>
      </c>
      <c r="F1069" s="17" t="s">
        <v>4237</v>
      </c>
      <c r="G1069" s="17" t="s">
        <v>296</v>
      </c>
      <c r="H1069" s="17" t="s">
        <v>297</v>
      </c>
      <c r="I1069" s="17" t="s">
        <v>36</v>
      </c>
      <c r="J1069" s="32" t="s">
        <v>1816</v>
      </c>
      <c r="K1069" s="17" t="n">
        <v>1965</v>
      </c>
      <c r="L1069" s="38" t="s">
        <v>482</v>
      </c>
      <c r="M1069" s="27"/>
      <c r="N1069" s="37" t="s">
        <v>663</v>
      </c>
      <c r="O1069" s="17"/>
      <c r="P1069" s="40" t="s">
        <v>111</v>
      </c>
      <c r="Q1069" s="12"/>
      <c r="R1069" s="12"/>
      <c r="S1069" s="12"/>
      <c r="T1069" s="12"/>
      <c r="U1069" s="12"/>
      <c r="V1069" s="21"/>
      <c r="Z1069" s="12"/>
      <c r="AA1069" s="29" t="n">
        <v>4</v>
      </c>
      <c r="AB1069" s="12"/>
      <c r="AC1069" s="12"/>
      <c r="AD1069" s="12"/>
      <c r="AE1069" s="12"/>
    </row>
    <row r="1070" customFormat="false" ht="15.75" hidden="false" customHeight="false" outlineLevel="0" collapsed="false">
      <c r="A1070" s="12"/>
      <c r="B1070" s="12"/>
      <c r="C1070" s="23" t="s">
        <v>4238</v>
      </c>
      <c r="D1070" s="24"/>
      <c r="E1070" s="17"/>
      <c r="F1070" s="17"/>
      <c r="G1070" s="17"/>
      <c r="H1070" s="17"/>
      <c r="I1070" s="17" t="s">
        <v>260</v>
      </c>
      <c r="J1070" s="32" t="s">
        <v>1816</v>
      </c>
      <c r="K1070" s="17"/>
      <c r="L1070" s="17"/>
      <c r="M1070" s="27"/>
      <c r="N1070" s="17"/>
      <c r="O1070" s="17"/>
      <c r="P1070" s="40" t="s">
        <v>261</v>
      </c>
      <c r="Q1070" s="20"/>
      <c r="R1070" s="20"/>
      <c r="S1070" s="20"/>
      <c r="T1070" s="20"/>
      <c r="U1070" s="20"/>
      <c r="V1070" s="45"/>
      <c r="Z1070" s="20"/>
      <c r="AA1070" s="22"/>
      <c r="AB1070" s="20"/>
      <c r="AC1070" s="20"/>
      <c r="AD1070" s="20"/>
      <c r="AE1070" s="20"/>
    </row>
    <row r="1071" customFormat="false" ht="15.75" hidden="false" customHeight="false" outlineLevel="0" collapsed="false">
      <c r="A1071" s="12"/>
      <c r="B1071" s="12"/>
      <c r="C1071" s="23" t="s">
        <v>4239</v>
      </c>
      <c r="D1071" s="24"/>
      <c r="E1071" s="17"/>
      <c r="F1071" s="17"/>
      <c r="G1071" s="17"/>
      <c r="H1071" s="17"/>
      <c r="I1071" s="17" t="s">
        <v>260</v>
      </c>
      <c r="J1071" s="32" t="s">
        <v>1816</v>
      </c>
      <c r="K1071" s="17"/>
      <c r="L1071" s="17"/>
      <c r="M1071" s="27"/>
      <c r="N1071" s="17"/>
      <c r="O1071" s="17"/>
      <c r="P1071" s="40" t="s">
        <v>261</v>
      </c>
      <c r="Q1071" s="12"/>
      <c r="R1071" s="12"/>
      <c r="S1071" s="12"/>
      <c r="T1071" s="12"/>
      <c r="U1071" s="12"/>
      <c r="V1071" s="21"/>
      <c r="Z1071" s="12"/>
      <c r="AA1071" s="29"/>
      <c r="AB1071" s="12"/>
      <c r="AC1071" s="12"/>
      <c r="AD1071" s="12"/>
      <c r="AE1071" s="12"/>
    </row>
    <row r="1072" customFormat="false" ht="15.75" hidden="false" customHeight="false" outlineLevel="0" collapsed="false">
      <c r="A1072" s="12" t="str">
        <f aca="false">IF((AA1072&gt;=4), "Y", "N")</f>
        <v>Y</v>
      </c>
      <c r="B1072" s="13"/>
      <c r="C1072" s="31" t="s">
        <v>4240</v>
      </c>
      <c r="D1072" s="24" t="s">
        <v>94</v>
      </c>
      <c r="E1072" s="32" t="s">
        <v>4241</v>
      </c>
      <c r="F1072" s="17"/>
      <c r="G1072" s="17"/>
      <c r="H1072" s="17"/>
      <c r="I1072" s="26" t="s">
        <v>266</v>
      </c>
      <c r="J1072" s="32" t="s">
        <v>1816</v>
      </c>
      <c r="K1072" s="33" t="n">
        <v>2009</v>
      </c>
      <c r="L1072" s="33" t="s">
        <v>99</v>
      </c>
      <c r="M1072" s="27"/>
      <c r="N1072" s="17" t="s">
        <v>4242</v>
      </c>
      <c r="O1072" s="17"/>
      <c r="P1072" s="40" t="s">
        <v>268</v>
      </c>
      <c r="Q1072" s="20"/>
      <c r="R1072" s="20"/>
      <c r="S1072" s="20"/>
      <c r="T1072" s="20"/>
      <c r="U1072" s="20"/>
      <c r="V1072" s="45"/>
      <c r="Z1072" s="20"/>
      <c r="AA1072" s="29" t="str">
        <f aca="false">IF(P1072="OD500 MX", "5", " ")</f>
        <v>5</v>
      </c>
      <c r="AB1072" s="20"/>
      <c r="AC1072" s="20"/>
      <c r="AD1072" s="20"/>
      <c r="AE1072" s="20"/>
    </row>
    <row r="1073" customFormat="false" ht="15.75" hidden="false" customHeight="false" outlineLevel="0" collapsed="false">
      <c r="A1073" s="12"/>
      <c r="B1073" s="12"/>
      <c r="C1073" s="23" t="s">
        <v>4243</v>
      </c>
      <c r="D1073" s="24"/>
      <c r="E1073" s="25" t="s">
        <v>4244</v>
      </c>
      <c r="F1073" s="17"/>
      <c r="G1073" s="17" t="s">
        <v>44</v>
      </c>
      <c r="H1073" s="17"/>
      <c r="I1073" s="26" t="s">
        <v>45</v>
      </c>
      <c r="J1073" s="32" t="s">
        <v>1816</v>
      </c>
      <c r="K1073" s="17"/>
      <c r="L1073" s="17"/>
      <c r="M1073" s="27"/>
      <c r="N1073" s="17"/>
      <c r="O1073" s="17"/>
      <c r="P1073" s="28" t="s">
        <v>46</v>
      </c>
      <c r="V1073" s="60"/>
      <c r="AA1073" s="63"/>
    </row>
    <row r="1074" customFormat="false" ht="15.75" hidden="false" customHeight="false" outlineLevel="0" collapsed="false">
      <c r="A1074" s="12"/>
      <c r="B1074" s="12"/>
      <c r="C1074" s="23" t="s">
        <v>4245</v>
      </c>
      <c r="D1074" s="24"/>
      <c r="E1074" s="25" t="s">
        <v>4246</v>
      </c>
      <c r="F1074" s="17"/>
      <c r="G1074" s="17" t="s">
        <v>4247</v>
      </c>
      <c r="H1074" s="17"/>
      <c r="I1074" s="26" t="s">
        <v>1564</v>
      </c>
      <c r="J1074" s="32" t="s">
        <v>1816</v>
      </c>
      <c r="K1074" s="17"/>
      <c r="L1074" s="17"/>
      <c r="M1074" s="27"/>
      <c r="N1074" s="17"/>
      <c r="O1074" s="17"/>
      <c r="P1074" s="28" t="s">
        <v>46</v>
      </c>
      <c r="V1074" s="60"/>
      <c r="AA1074" s="63"/>
    </row>
    <row r="1075" customFormat="false" ht="15.75" hidden="false" customHeight="false" outlineLevel="0" collapsed="false">
      <c r="A1075" s="12" t="str">
        <f aca="false">IF((AA1075&gt;=4), "Y", "N")</f>
        <v>Y</v>
      </c>
      <c r="B1075" s="13"/>
      <c r="C1075" s="31" t="s">
        <v>4248</v>
      </c>
      <c r="D1075" s="24" t="s">
        <v>94</v>
      </c>
      <c r="E1075" s="32" t="s">
        <v>4249</v>
      </c>
      <c r="F1075" s="17"/>
      <c r="G1075" s="17"/>
      <c r="H1075" s="17"/>
      <c r="I1075" s="26" t="s">
        <v>266</v>
      </c>
      <c r="J1075" s="32" t="s">
        <v>1816</v>
      </c>
      <c r="K1075" s="33" t="n">
        <v>2011</v>
      </c>
      <c r="L1075" s="38" t="s">
        <v>482</v>
      </c>
      <c r="M1075" s="27"/>
      <c r="N1075" s="17" t="s">
        <v>1477</v>
      </c>
      <c r="O1075" s="17"/>
      <c r="P1075" s="40" t="s">
        <v>268</v>
      </c>
      <c r="Q1075" s="12"/>
      <c r="R1075" s="12"/>
      <c r="S1075" s="12"/>
      <c r="T1075" s="12"/>
      <c r="U1075" s="12"/>
      <c r="V1075" s="21"/>
      <c r="Z1075" s="12"/>
      <c r="AA1075" s="29" t="str">
        <f aca="false">IF(P1075="OD500 MX", "5", " ")</f>
        <v>5</v>
      </c>
      <c r="AB1075" s="12"/>
      <c r="AC1075" s="12"/>
      <c r="AD1075" s="12"/>
      <c r="AE1075" s="12"/>
    </row>
    <row r="1076" customFormat="false" ht="15.75" hidden="false" customHeight="false" outlineLevel="0" collapsed="false">
      <c r="A1076" s="12" t="str">
        <f aca="false">IF((AA1076&gt;=4), "Y", "N")</f>
        <v>Y</v>
      </c>
      <c r="B1076" s="12"/>
      <c r="C1076" s="23" t="s">
        <v>4248</v>
      </c>
      <c r="D1076" s="24" t="s">
        <v>61</v>
      </c>
      <c r="E1076" s="25" t="s">
        <v>4250</v>
      </c>
      <c r="F1076" s="17" t="s">
        <v>4251</v>
      </c>
      <c r="G1076" s="17" t="s">
        <v>145</v>
      </c>
      <c r="H1076" s="17" t="s">
        <v>146</v>
      </c>
      <c r="I1076" s="17" t="s">
        <v>36</v>
      </c>
      <c r="J1076" s="32" t="s">
        <v>1816</v>
      </c>
      <c r="K1076" s="17" t="n">
        <v>1845</v>
      </c>
      <c r="L1076" s="33" t="s">
        <v>275</v>
      </c>
      <c r="M1076" s="27"/>
      <c r="N1076" s="17"/>
      <c r="O1076" s="17"/>
      <c r="P1076" s="40" t="s">
        <v>111</v>
      </c>
      <c r="Q1076" s="12"/>
      <c r="R1076" s="12" t="s">
        <v>4252</v>
      </c>
      <c r="S1076" s="12"/>
      <c r="T1076" s="12" t="s">
        <v>4253</v>
      </c>
      <c r="U1076" s="12" t="s">
        <v>4254</v>
      </c>
      <c r="V1076" s="21" t="s">
        <v>31</v>
      </c>
      <c r="Z1076" s="12"/>
      <c r="AA1076" s="29" t="n">
        <v>4</v>
      </c>
      <c r="AB1076" s="12" t="s">
        <v>4255</v>
      </c>
      <c r="AC1076" s="12"/>
      <c r="AD1076" s="12"/>
      <c r="AE1076" s="12"/>
    </row>
    <row r="1077" customFormat="false" ht="15.75" hidden="false" customHeight="false" outlineLevel="0" collapsed="false">
      <c r="A1077" s="12"/>
      <c r="B1077" s="12"/>
      <c r="C1077" s="23" t="s">
        <v>4248</v>
      </c>
      <c r="D1077" s="24"/>
      <c r="E1077" s="17"/>
      <c r="F1077" s="17"/>
      <c r="G1077" s="17"/>
      <c r="H1077" s="17"/>
      <c r="I1077" s="17" t="s">
        <v>260</v>
      </c>
      <c r="J1077" s="32" t="s">
        <v>1816</v>
      </c>
      <c r="K1077" s="17"/>
      <c r="L1077" s="17"/>
      <c r="M1077" s="27"/>
      <c r="N1077" s="17"/>
      <c r="O1077" s="17"/>
      <c r="P1077" s="40" t="s">
        <v>261</v>
      </c>
      <c r="V1077" s="60"/>
      <c r="AA1077" s="63"/>
    </row>
    <row r="1078" customFormat="false" ht="15.75" hidden="false" customHeight="false" outlineLevel="0" collapsed="false">
      <c r="A1078" s="12" t="str">
        <f aca="false">IF((AA1078&gt;=4), "Y", "N")</f>
        <v>Y</v>
      </c>
      <c r="B1078" s="13"/>
      <c r="C1078" s="31" t="s">
        <v>4256</v>
      </c>
      <c r="D1078" s="16" t="s">
        <v>94</v>
      </c>
      <c r="E1078" s="32" t="s">
        <v>4257</v>
      </c>
      <c r="F1078" s="17"/>
      <c r="G1078" s="17"/>
      <c r="H1078" s="17"/>
      <c r="I1078" s="26" t="s">
        <v>266</v>
      </c>
      <c r="J1078" s="32" t="s">
        <v>1816</v>
      </c>
      <c r="K1078" s="33" t="n">
        <v>2010</v>
      </c>
      <c r="L1078" s="33" t="s">
        <v>109</v>
      </c>
      <c r="M1078" s="27"/>
      <c r="N1078" s="17" t="s">
        <v>4258</v>
      </c>
      <c r="O1078" s="17"/>
      <c r="P1078" s="40" t="s">
        <v>268</v>
      </c>
      <c r="V1078" s="60"/>
      <c r="AA1078" s="29" t="str">
        <f aca="false">IF(P1078="OD500 MX", "5", " ")</f>
        <v>5</v>
      </c>
      <c r="AB1078" s="17"/>
    </row>
    <row r="1079" customFormat="false" ht="15.75" hidden="false" customHeight="false" outlineLevel="0" collapsed="false">
      <c r="A1079" s="12" t="str">
        <f aca="false">IF((AA1079&gt;=4), "Y", "N")</f>
        <v>Y</v>
      </c>
      <c r="B1079" s="13"/>
      <c r="C1079" s="31" t="s">
        <v>4259</v>
      </c>
      <c r="D1079" s="16" t="s">
        <v>51</v>
      </c>
      <c r="E1079" s="32" t="s">
        <v>4260</v>
      </c>
      <c r="F1079" s="17"/>
      <c r="G1079" s="17"/>
      <c r="H1079" s="17"/>
      <c r="I1079" s="26" t="s">
        <v>266</v>
      </c>
      <c r="J1079" s="32" t="s">
        <v>1816</v>
      </c>
      <c r="K1079" s="33" t="n">
        <v>2003</v>
      </c>
      <c r="L1079" s="33" t="s">
        <v>99</v>
      </c>
      <c r="M1079" s="27"/>
      <c r="N1079" s="17" t="s">
        <v>1477</v>
      </c>
      <c r="O1079" s="17"/>
      <c r="P1079" s="40" t="s">
        <v>268</v>
      </c>
      <c r="Q1079" s="12"/>
      <c r="R1079" s="12"/>
      <c r="S1079" s="12"/>
      <c r="T1079" s="12"/>
      <c r="U1079" s="12"/>
      <c r="V1079" s="21"/>
      <c r="Z1079" s="12"/>
      <c r="AA1079" s="29" t="str">
        <f aca="false">IF(P1079="OD500 MX", "5", " ")</f>
        <v>5</v>
      </c>
      <c r="AB1079" s="12"/>
      <c r="AC1079" s="12"/>
      <c r="AD1079" s="12"/>
      <c r="AE1079" s="12"/>
    </row>
    <row r="1080" customFormat="false" ht="15.75" hidden="false" customHeight="false" outlineLevel="0" collapsed="false">
      <c r="A1080" s="12" t="str">
        <f aca="false">IF((AA1080&gt;=4), "Y", "N")</f>
        <v>Y</v>
      </c>
      <c r="B1080" s="13"/>
      <c r="C1080" s="31" t="s">
        <v>4261</v>
      </c>
      <c r="D1080" s="24" t="s">
        <v>94</v>
      </c>
      <c r="E1080" s="32" t="s">
        <v>4262</v>
      </c>
      <c r="F1080" s="17"/>
      <c r="G1080" s="17"/>
      <c r="H1080" s="17"/>
      <c r="I1080" s="26" t="s">
        <v>266</v>
      </c>
      <c r="J1080" s="32" t="s">
        <v>1816</v>
      </c>
      <c r="K1080" s="33" t="n">
        <v>2007</v>
      </c>
      <c r="L1080" s="33" t="s">
        <v>109</v>
      </c>
      <c r="M1080" s="27"/>
      <c r="N1080" s="17" t="s">
        <v>4263</v>
      </c>
      <c r="O1080" s="17"/>
      <c r="P1080" s="40" t="s">
        <v>268</v>
      </c>
      <c r="Q1080" s="17"/>
      <c r="R1080" s="17"/>
      <c r="S1080" s="17"/>
      <c r="T1080" s="17"/>
      <c r="U1080" s="17"/>
      <c r="V1080" s="27"/>
      <c r="Z1080" s="17"/>
      <c r="AA1080" s="29" t="str">
        <f aca="false">IF(P1080="OD500 MX", "5", " ")</f>
        <v>5</v>
      </c>
      <c r="AB1080" s="17"/>
      <c r="AC1080" s="17"/>
      <c r="AD1080" s="17"/>
      <c r="AE1080" s="17"/>
    </row>
    <row r="1081" customFormat="false" ht="15.75" hidden="false" customHeight="false" outlineLevel="0" collapsed="false">
      <c r="A1081" s="12"/>
      <c r="B1081" s="12"/>
      <c r="C1081" s="23" t="s">
        <v>4264</v>
      </c>
      <c r="D1081" s="24"/>
      <c r="E1081" s="17"/>
      <c r="F1081" s="17"/>
      <c r="G1081" s="17"/>
      <c r="H1081" s="17"/>
      <c r="I1081" s="17" t="s">
        <v>260</v>
      </c>
      <c r="J1081" s="32" t="s">
        <v>1816</v>
      </c>
      <c r="K1081" s="17"/>
      <c r="L1081" s="17"/>
      <c r="M1081" s="27"/>
      <c r="N1081" s="17"/>
      <c r="O1081" s="17"/>
      <c r="P1081" s="40" t="s">
        <v>261</v>
      </c>
      <c r="Q1081" s="17"/>
      <c r="R1081" s="17"/>
      <c r="S1081" s="17"/>
      <c r="T1081" s="17"/>
      <c r="U1081" s="17"/>
      <c r="V1081" s="27"/>
      <c r="Z1081" s="17"/>
      <c r="AA1081" s="29"/>
      <c r="AB1081" s="17"/>
      <c r="AC1081" s="17"/>
      <c r="AD1081" s="17"/>
      <c r="AE1081" s="17"/>
    </row>
    <row r="1082" customFormat="false" ht="15.75" hidden="false" customHeight="false" outlineLevel="0" collapsed="false">
      <c r="A1082" s="12" t="str">
        <f aca="false">IF((AA1082&gt;=4), "Y", "N")</f>
        <v>Y</v>
      </c>
      <c r="B1082" s="13"/>
      <c r="C1082" s="31" t="s">
        <v>4265</v>
      </c>
      <c r="D1082" s="24" t="s">
        <v>94</v>
      </c>
      <c r="E1082" s="32" t="s">
        <v>4266</v>
      </c>
      <c r="F1082" s="17"/>
      <c r="G1082" s="17"/>
      <c r="H1082" s="17"/>
      <c r="I1082" s="26" t="s">
        <v>266</v>
      </c>
      <c r="J1082" s="32" t="s">
        <v>1816</v>
      </c>
      <c r="K1082" s="33" t="n">
        <v>2013</v>
      </c>
      <c r="L1082" s="33" t="s">
        <v>109</v>
      </c>
      <c r="M1082" s="27"/>
      <c r="N1082" s="17" t="s">
        <v>4267</v>
      </c>
      <c r="O1082" s="17"/>
      <c r="P1082" s="40" t="s">
        <v>268</v>
      </c>
      <c r="Q1082" s="17"/>
      <c r="R1082" s="17"/>
      <c r="S1082" s="17"/>
      <c r="T1082" s="17"/>
      <c r="U1082" s="17"/>
      <c r="V1082" s="27"/>
      <c r="Z1082" s="17"/>
      <c r="AA1082" s="29" t="str">
        <f aca="false">IF(P1082="OD500 MX", "5", " ")</f>
        <v>5</v>
      </c>
      <c r="AB1082" s="17"/>
      <c r="AC1082" s="17"/>
      <c r="AD1082" s="17"/>
      <c r="AE1082" s="17"/>
    </row>
    <row r="1083" customFormat="false" ht="15.75" hidden="false" customHeight="false" outlineLevel="0" collapsed="false">
      <c r="A1083" s="12" t="str">
        <f aca="false">IF((AA1083&gt;=4), "Y", "N")</f>
        <v>Y</v>
      </c>
      <c r="B1083" s="12"/>
      <c r="C1083" s="23" t="s">
        <v>4268</v>
      </c>
      <c r="D1083" s="24" t="s">
        <v>94</v>
      </c>
      <c r="E1083" s="25" t="s">
        <v>4269</v>
      </c>
      <c r="F1083" s="17" t="s">
        <v>4270</v>
      </c>
      <c r="G1083" s="17" t="s">
        <v>1611</v>
      </c>
      <c r="H1083" s="17" t="s">
        <v>297</v>
      </c>
      <c r="I1083" s="17" t="s">
        <v>36</v>
      </c>
      <c r="J1083" s="32" t="s">
        <v>1816</v>
      </c>
      <c r="K1083" s="17" t="n">
        <v>1983</v>
      </c>
      <c r="L1083" s="33" t="s">
        <v>275</v>
      </c>
      <c r="M1083" s="27"/>
      <c r="N1083" s="17"/>
      <c r="O1083" s="17"/>
      <c r="P1083" s="40" t="s">
        <v>111</v>
      </c>
      <c r="V1083" s="60"/>
      <c r="AA1083" s="63" t="n">
        <v>5</v>
      </c>
    </row>
    <row r="1084" customFormat="false" ht="15.75" hidden="false" customHeight="false" outlineLevel="0" collapsed="false">
      <c r="A1084" s="12"/>
      <c r="B1084" s="12"/>
      <c r="C1084" s="23" t="s">
        <v>4271</v>
      </c>
      <c r="D1084" s="24"/>
      <c r="E1084" s="17"/>
      <c r="F1084" s="17"/>
      <c r="G1084" s="17"/>
      <c r="H1084" s="17"/>
      <c r="I1084" s="17" t="s">
        <v>260</v>
      </c>
      <c r="J1084" s="32" t="s">
        <v>1816</v>
      </c>
      <c r="K1084" s="17"/>
      <c r="L1084" s="17"/>
      <c r="M1084" s="27"/>
      <c r="N1084" s="17"/>
      <c r="O1084" s="17"/>
      <c r="P1084" s="40" t="s">
        <v>261</v>
      </c>
      <c r="Q1084" s="12"/>
      <c r="R1084" s="12"/>
      <c r="S1084" s="12"/>
      <c r="T1084" s="12"/>
      <c r="U1084" s="12"/>
      <c r="V1084" s="21"/>
      <c r="Z1084" s="12"/>
      <c r="AA1084" s="29"/>
      <c r="AB1084" s="12"/>
      <c r="AC1084" s="12"/>
      <c r="AD1084" s="12"/>
      <c r="AE1084" s="12"/>
    </row>
    <row r="1085" customFormat="false" ht="15.75" hidden="false" customHeight="false" outlineLevel="0" collapsed="false">
      <c r="A1085" s="12" t="str">
        <f aca="false">IF((AA1085&gt;=4), "Y", "N")</f>
        <v>Y</v>
      </c>
      <c r="B1085" s="13"/>
      <c r="C1085" s="31" t="s">
        <v>4272</v>
      </c>
      <c r="D1085" s="16" t="s">
        <v>51</v>
      </c>
      <c r="E1085" s="32" t="s">
        <v>4273</v>
      </c>
      <c r="F1085" s="17"/>
      <c r="G1085" s="17"/>
      <c r="H1085" s="17"/>
      <c r="I1085" s="26" t="s">
        <v>266</v>
      </c>
      <c r="J1085" s="32" t="s">
        <v>1816</v>
      </c>
      <c r="K1085" s="33" t="n">
        <v>1999</v>
      </c>
      <c r="L1085" s="33" t="s">
        <v>99</v>
      </c>
      <c r="M1085" s="27"/>
      <c r="N1085" s="17" t="s">
        <v>4274</v>
      </c>
      <c r="O1085" s="17"/>
      <c r="P1085" s="40" t="s">
        <v>268</v>
      </c>
      <c r="Q1085" s="12"/>
      <c r="R1085" s="12"/>
      <c r="S1085" s="12"/>
      <c r="T1085" s="12"/>
      <c r="U1085" s="12"/>
      <c r="V1085" s="21"/>
      <c r="Z1085" s="12"/>
      <c r="AA1085" s="29" t="str">
        <f aca="false">IF(P1085="OD500 MX", "5", " ")</f>
        <v>5</v>
      </c>
      <c r="AB1085" s="12"/>
      <c r="AC1085" s="12"/>
      <c r="AD1085" s="12"/>
      <c r="AE1085" s="12"/>
    </row>
    <row r="1086" customFormat="false" ht="15.75" hidden="false" customHeight="false" outlineLevel="0" collapsed="false">
      <c r="A1086" s="12" t="str">
        <f aca="false">IF((AA1086&gt;=4), "Y", "N")</f>
        <v>Y</v>
      </c>
      <c r="B1086" s="12"/>
      <c r="C1086" s="23" t="s">
        <v>4275</v>
      </c>
      <c r="D1086" s="24" t="s">
        <v>94</v>
      </c>
      <c r="E1086" s="25" t="s">
        <v>4276</v>
      </c>
      <c r="F1086" s="17" t="s">
        <v>4277</v>
      </c>
      <c r="G1086" s="17" t="s">
        <v>368</v>
      </c>
      <c r="H1086" s="17" t="s">
        <v>369</v>
      </c>
      <c r="I1086" s="17" t="s">
        <v>36</v>
      </c>
      <c r="J1086" s="32" t="s">
        <v>1816</v>
      </c>
      <c r="K1086" s="17" t="n">
        <v>1969</v>
      </c>
      <c r="L1086" s="33" t="s">
        <v>275</v>
      </c>
      <c r="M1086" s="27"/>
      <c r="N1086" s="17" t="s">
        <v>315</v>
      </c>
      <c r="O1086" s="17"/>
      <c r="P1086" s="40" t="s">
        <v>111</v>
      </c>
      <c r="Q1086" s="17"/>
      <c r="R1086" s="17"/>
      <c r="S1086" s="17"/>
      <c r="T1086" s="17"/>
      <c r="U1086" s="17"/>
      <c r="V1086" s="27"/>
      <c r="Z1086" s="17"/>
      <c r="AA1086" s="29" t="n">
        <v>5</v>
      </c>
      <c r="AB1086" s="17"/>
      <c r="AC1086" s="17"/>
      <c r="AD1086" s="17"/>
      <c r="AE1086" s="17"/>
    </row>
    <row r="1087" customFormat="false" ht="15.75" hidden="false" customHeight="false" outlineLevel="0" collapsed="false">
      <c r="A1087" s="12"/>
      <c r="B1087" s="12"/>
      <c r="C1087" s="23" t="s">
        <v>4278</v>
      </c>
      <c r="D1087" s="24"/>
      <c r="E1087" s="17"/>
      <c r="F1087" s="17"/>
      <c r="G1087" s="17"/>
      <c r="H1087" s="17"/>
      <c r="I1087" s="17" t="s">
        <v>260</v>
      </c>
      <c r="J1087" s="32" t="s">
        <v>1816</v>
      </c>
      <c r="K1087" s="17"/>
      <c r="L1087" s="17"/>
      <c r="M1087" s="27"/>
      <c r="N1087" s="17"/>
      <c r="O1087" s="17"/>
      <c r="P1087" s="40" t="s">
        <v>261</v>
      </c>
      <c r="Q1087" s="12"/>
      <c r="R1087" s="12"/>
      <c r="S1087" s="12"/>
      <c r="T1087" s="12"/>
      <c r="U1087" s="12"/>
      <c r="V1087" s="21"/>
      <c r="Z1087" s="12"/>
      <c r="AA1087" s="29"/>
      <c r="AB1087" s="12"/>
      <c r="AC1087" s="12"/>
      <c r="AD1087" s="12"/>
      <c r="AE1087" s="12"/>
    </row>
    <row r="1088" customFormat="false" ht="15.75" hidden="false" customHeight="false" outlineLevel="0" collapsed="false">
      <c r="A1088" s="12" t="str">
        <f aca="false">IF((AA1088&gt;=4), "Y", "N")</f>
        <v>Y</v>
      </c>
      <c r="B1088" s="12"/>
      <c r="C1088" s="23" t="s">
        <v>4279</v>
      </c>
      <c r="D1088" s="24" t="s">
        <v>94</v>
      </c>
      <c r="E1088" s="25" t="s">
        <v>4280</v>
      </c>
      <c r="F1088" s="17" t="s">
        <v>4281</v>
      </c>
      <c r="G1088" s="17" t="s">
        <v>1041</v>
      </c>
      <c r="H1088" s="17" t="s">
        <v>439</v>
      </c>
      <c r="I1088" s="17" t="s">
        <v>36</v>
      </c>
      <c r="J1088" s="32" t="s">
        <v>1816</v>
      </c>
      <c r="K1088" s="17" t="n">
        <v>1995</v>
      </c>
      <c r="L1088" s="38" t="s">
        <v>99</v>
      </c>
      <c r="M1088" s="27"/>
      <c r="N1088" s="17" t="s">
        <v>315</v>
      </c>
      <c r="O1088" s="17"/>
      <c r="P1088" s="40" t="s">
        <v>111</v>
      </c>
      <c r="Q1088" s="12"/>
      <c r="R1088" s="12"/>
      <c r="S1088" s="12"/>
      <c r="T1088" s="12"/>
      <c r="U1088" s="12"/>
      <c r="V1088" s="21"/>
      <c r="Z1088" s="12"/>
      <c r="AA1088" s="29" t="n">
        <v>5</v>
      </c>
      <c r="AB1088" s="12"/>
      <c r="AC1088" s="12"/>
      <c r="AD1088" s="12"/>
      <c r="AE1088" s="12"/>
    </row>
    <row r="1089" customFormat="false" ht="15.75" hidden="false" customHeight="false" outlineLevel="0" collapsed="false">
      <c r="A1089" s="12"/>
      <c r="B1089" s="12"/>
      <c r="C1089" s="23" t="s">
        <v>4282</v>
      </c>
      <c r="D1089" s="24" t="s">
        <v>94</v>
      </c>
      <c r="E1089" s="25" t="s">
        <v>4283</v>
      </c>
      <c r="F1089" s="17" t="s">
        <v>4284</v>
      </c>
      <c r="G1089" s="17" t="s">
        <v>4285</v>
      </c>
      <c r="H1089" s="17" t="s">
        <v>1364</v>
      </c>
      <c r="I1089" s="17" t="s">
        <v>36</v>
      </c>
      <c r="J1089" s="32" t="s">
        <v>1816</v>
      </c>
      <c r="K1089" s="17" t="n">
        <v>2004</v>
      </c>
      <c r="L1089" s="38" t="s">
        <v>99</v>
      </c>
      <c r="M1089" s="27"/>
      <c r="N1089" s="37" t="s">
        <v>331</v>
      </c>
      <c r="O1089" s="17"/>
      <c r="P1089" s="40" t="s">
        <v>111</v>
      </c>
      <c r="Q1089" s="12"/>
      <c r="R1089" s="12"/>
      <c r="S1089" s="12"/>
      <c r="T1089" s="12"/>
      <c r="U1089" s="12"/>
      <c r="V1089" s="21"/>
      <c r="Z1089" s="12"/>
      <c r="AA1089" s="29" t="n">
        <v>1</v>
      </c>
      <c r="AB1089" s="12"/>
      <c r="AC1089" s="12"/>
      <c r="AD1089" s="12"/>
      <c r="AE1089" s="12"/>
    </row>
    <row r="1090" customFormat="false" ht="15.75" hidden="false" customHeight="false" outlineLevel="0" collapsed="false">
      <c r="A1090" s="12" t="str">
        <f aca="false">IF((AA1090&gt;=4), "Y", "N")</f>
        <v>Y</v>
      </c>
      <c r="B1090" s="12"/>
      <c r="C1090" s="23" t="s">
        <v>4286</v>
      </c>
      <c r="D1090" s="24" t="s">
        <v>94</v>
      </c>
      <c r="E1090" s="25" t="s">
        <v>4287</v>
      </c>
      <c r="F1090" s="17" t="s">
        <v>4288</v>
      </c>
      <c r="G1090" s="17" t="s">
        <v>4289</v>
      </c>
      <c r="H1090" s="17" t="s">
        <v>120</v>
      </c>
      <c r="I1090" s="17" t="s">
        <v>36</v>
      </c>
      <c r="J1090" s="32" t="s">
        <v>1816</v>
      </c>
      <c r="K1090" s="17" t="n">
        <v>2001</v>
      </c>
      <c r="L1090" s="38" t="s">
        <v>330</v>
      </c>
      <c r="M1090" s="27"/>
      <c r="N1090" s="37" t="s">
        <v>663</v>
      </c>
      <c r="O1090" s="17"/>
      <c r="P1090" s="40" t="s">
        <v>111</v>
      </c>
      <c r="Q1090" s="12"/>
      <c r="R1090" s="12"/>
      <c r="S1090" s="12"/>
      <c r="T1090" s="12"/>
      <c r="U1090" s="12"/>
      <c r="V1090" s="21"/>
      <c r="Z1090" s="12"/>
      <c r="AA1090" s="29" t="n">
        <v>5</v>
      </c>
      <c r="AB1090" s="12"/>
      <c r="AC1090" s="12"/>
      <c r="AD1090" s="12"/>
      <c r="AE1090" s="12"/>
    </row>
    <row r="1091" customFormat="false" ht="15.75" hidden="false" customHeight="false" outlineLevel="0" collapsed="false">
      <c r="A1091" s="12" t="str">
        <f aca="false">IF((AA1091&gt;=4), "Y", "N")</f>
        <v>Y</v>
      </c>
      <c r="B1091" s="13"/>
      <c r="C1091" s="31" t="s">
        <v>4290</v>
      </c>
      <c r="D1091" s="16" t="s">
        <v>94</v>
      </c>
      <c r="E1091" s="32" t="s">
        <v>4291</v>
      </c>
      <c r="F1091" s="32" t="s">
        <v>4292</v>
      </c>
      <c r="G1091" s="32" t="s">
        <v>4293</v>
      </c>
      <c r="H1091" s="26" t="s">
        <v>423</v>
      </c>
      <c r="I1091" s="17" t="s">
        <v>36</v>
      </c>
      <c r="J1091" s="32" t="s">
        <v>1816</v>
      </c>
      <c r="K1091" s="33" t="n">
        <v>2000</v>
      </c>
      <c r="L1091" s="33" t="s">
        <v>109</v>
      </c>
      <c r="M1091" s="27"/>
      <c r="N1091" s="17"/>
      <c r="O1091" s="17"/>
      <c r="P1091" s="19" t="s">
        <v>76</v>
      </c>
      <c r="Q1091" s="12"/>
      <c r="R1091" s="12" t="s">
        <v>4294</v>
      </c>
      <c r="S1091" s="12"/>
      <c r="T1091" s="12" t="s">
        <v>4295</v>
      </c>
      <c r="U1091" s="12"/>
      <c r="V1091" s="21" t="s">
        <v>31</v>
      </c>
      <c r="Z1091" s="12"/>
      <c r="AA1091" s="22" t="str">
        <f aca="false">IF(P1091="OD500 US (submitted)", "5", " ")</f>
        <v>5</v>
      </c>
      <c r="AB1091" s="12"/>
      <c r="AC1091" s="12"/>
      <c r="AD1091" s="12"/>
      <c r="AE1091" s="12"/>
    </row>
    <row r="1092" customFormat="false" ht="15.75" hidden="false" customHeight="false" outlineLevel="0" collapsed="false">
      <c r="A1092" s="12"/>
      <c r="B1092" s="12"/>
      <c r="C1092" s="23" t="s">
        <v>4296</v>
      </c>
      <c r="D1092" s="24"/>
      <c r="E1092" s="17"/>
      <c r="F1092" s="17"/>
      <c r="G1092" s="17"/>
      <c r="H1092" s="17"/>
      <c r="I1092" s="17" t="s">
        <v>260</v>
      </c>
      <c r="J1092" s="32" t="s">
        <v>1816</v>
      </c>
      <c r="K1092" s="17"/>
      <c r="L1092" s="17"/>
      <c r="M1092" s="27"/>
      <c r="N1092" s="17"/>
      <c r="O1092" s="17"/>
      <c r="P1092" s="40" t="s">
        <v>261</v>
      </c>
      <c r="Q1092" s="12"/>
      <c r="R1092" s="12"/>
      <c r="S1092" s="12"/>
      <c r="T1092" s="12"/>
      <c r="U1092" s="12"/>
      <c r="V1092" s="21"/>
      <c r="Z1092" s="12"/>
      <c r="AA1092" s="29"/>
      <c r="AB1092" s="12"/>
      <c r="AC1092" s="12"/>
      <c r="AD1092" s="12"/>
      <c r="AE1092" s="12"/>
    </row>
    <row r="1093" customFormat="false" ht="15.75" hidden="false" customHeight="false" outlineLevel="0" collapsed="false">
      <c r="A1093" s="12" t="str">
        <f aca="false">IF((AA1093&gt;=4), "Y", "N")</f>
        <v>Y</v>
      </c>
      <c r="B1093" s="13"/>
      <c r="C1093" s="31" t="s">
        <v>4297</v>
      </c>
      <c r="D1093" s="24" t="s">
        <v>94</v>
      </c>
      <c r="E1093" s="32" t="s">
        <v>4298</v>
      </c>
      <c r="F1093" s="17"/>
      <c r="G1093" s="17"/>
      <c r="H1093" s="17"/>
      <c r="I1093" s="26" t="s">
        <v>266</v>
      </c>
      <c r="J1093" s="32" t="s">
        <v>1816</v>
      </c>
      <c r="K1093" s="33" t="n">
        <v>2010</v>
      </c>
      <c r="L1093" s="33" t="s">
        <v>99</v>
      </c>
      <c r="M1093" s="27"/>
      <c r="N1093" s="17" t="s">
        <v>4299</v>
      </c>
      <c r="O1093" s="17"/>
      <c r="P1093" s="40" t="s">
        <v>268</v>
      </c>
      <c r="Q1093" s="20"/>
      <c r="R1093" s="20"/>
      <c r="S1093" s="20"/>
      <c r="T1093" s="20"/>
      <c r="U1093" s="20"/>
      <c r="V1093" s="45"/>
      <c r="Z1093" s="20"/>
      <c r="AA1093" s="29" t="str">
        <f aca="false">IF(P1093="OD500 MX", "5", " ")</f>
        <v>5</v>
      </c>
      <c r="AB1093" s="20"/>
      <c r="AC1093" s="20"/>
      <c r="AD1093" s="20"/>
      <c r="AE1093" s="20"/>
    </row>
    <row r="1094" customFormat="false" ht="15.75" hidden="false" customHeight="false" outlineLevel="0" collapsed="false">
      <c r="A1094" s="12" t="str">
        <f aca="false">IF((AA1094&gt;=4), "Y", "N")</f>
        <v>Y</v>
      </c>
      <c r="B1094" s="13"/>
      <c r="C1094" s="31" t="s">
        <v>4300</v>
      </c>
      <c r="D1094" s="24" t="s">
        <v>94</v>
      </c>
      <c r="E1094" s="32" t="s">
        <v>4301</v>
      </c>
      <c r="F1094" s="17"/>
      <c r="G1094" s="17"/>
      <c r="H1094" s="17"/>
      <c r="I1094" s="26" t="s">
        <v>266</v>
      </c>
      <c r="J1094" s="32" t="s">
        <v>1816</v>
      </c>
      <c r="K1094" s="32"/>
      <c r="L1094" s="33"/>
      <c r="M1094" s="27"/>
      <c r="N1094" s="17" t="s">
        <v>4302</v>
      </c>
      <c r="O1094" s="17"/>
      <c r="P1094" s="40" t="s">
        <v>268</v>
      </c>
      <c r="Q1094" s="12"/>
      <c r="R1094" s="12"/>
      <c r="S1094" s="12"/>
      <c r="T1094" s="12"/>
      <c r="U1094" s="12"/>
      <c r="V1094" s="21"/>
      <c r="Z1094" s="12"/>
      <c r="AA1094" s="29" t="str">
        <f aca="false">IF(P1094="OD500 MX", "5", " ")</f>
        <v>5</v>
      </c>
      <c r="AB1094" s="12"/>
      <c r="AC1094" s="12"/>
      <c r="AD1094" s="12"/>
      <c r="AE1094" s="12"/>
    </row>
    <row r="1095" customFormat="false" ht="15.75" hidden="false" customHeight="false" outlineLevel="0" collapsed="false">
      <c r="A1095" s="12"/>
      <c r="B1095" s="12"/>
      <c r="C1095" s="23" t="s">
        <v>4303</v>
      </c>
      <c r="D1095" s="24"/>
      <c r="E1095" s="25" t="s">
        <v>4304</v>
      </c>
      <c r="F1095" s="17" t="s">
        <v>4305</v>
      </c>
      <c r="G1095" s="17" t="s">
        <v>145</v>
      </c>
      <c r="H1095" s="26" t="s">
        <v>146</v>
      </c>
      <c r="I1095" s="17" t="s">
        <v>36</v>
      </c>
      <c r="J1095" s="32" t="s">
        <v>1816</v>
      </c>
      <c r="K1095" s="17" t="n">
        <v>1989</v>
      </c>
      <c r="L1095" s="33"/>
      <c r="M1095" s="27"/>
      <c r="N1095" s="17"/>
      <c r="O1095" s="17"/>
      <c r="P1095" s="40" t="s">
        <v>111</v>
      </c>
      <c r="Q1095" s="12"/>
      <c r="R1095" s="12"/>
      <c r="S1095" s="12"/>
      <c r="T1095" s="12"/>
      <c r="U1095" s="12"/>
      <c r="V1095" s="21"/>
      <c r="Z1095" s="12"/>
      <c r="AA1095" s="29" t="n">
        <v>3</v>
      </c>
      <c r="AB1095" s="12"/>
      <c r="AC1095" s="12"/>
      <c r="AD1095" s="12"/>
      <c r="AE1095" s="12"/>
    </row>
    <row r="1096" customFormat="false" ht="15.75" hidden="false" customHeight="false" outlineLevel="0" collapsed="false">
      <c r="A1096" s="12"/>
      <c r="B1096" s="12"/>
      <c r="C1096" s="23" t="s">
        <v>4306</v>
      </c>
      <c r="D1096" s="24"/>
      <c r="E1096" s="17"/>
      <c r="F1096" s="17"/>
      <c r="G1096" s="17"/>
      <c r="H1096" s="17"/>
      <c r="I1096" s="17" t="s">
        <v>260</v>
      </c>
      <c r="J1096" s="32" t="s">
        <v>1816</v>
      </c>
      <c r="K1096" s="17"/>
      <c r="L1096" s="17"/>
      <c r="M1096" s="27"/>
      <c r="N1096" s="17"/>
      <c r="O1096" s="17"/>
      <c r="P1096" s="40" t="s">
        <v>261</v>
      </c>
      <c r="Q1096" s="12"/>
      <c r="R1096" s="12"/>
      <c r="S1096" s="12"/>
      <c r="T1096" s="12"/>
      <c r="U1096" s="12"/>
      <c r="V1096" s="21"/>
      <c r="Z1096" s="12"/>
      <c r="AA1096" s="29"/>
      <c r="AB1096" s="12"/>
      <c r="AC1096" s="12"/>
      <c r="AD1096" s="12"/>
      <c r="AE1096" s="12"/>
    </row>
    <row r="1097" customFormat="false" ht="15.75" hidden="false" customHeight="false" outlineLevel="0" collapsed="false">
      <c r="A1097" s="12"/>
      <c r="B1097" s="12"/>
      <c r="C1097" s="23" t="s">
        <v>410</v>
      </c>
      <c r="D1097" s="24"/>
      <c r="E1097" s="17"/>
      <c r="F1097" s="17"/>
      <c r="G1097" s="17"/>
      <c r="H1097" s="17"/>
      <c r="I1097" s="17" t="s">
        <v>260</v>
      </c>
      <c r="J1097" s="32" t="s">
        <v>1816</v>
      </c>
      <c r="K1097" s="17"/>
      <c r="L1097" s="17"/>
      <c r="M1097" s="27"/>
      <c r="N1097" s="17"/>
      <c r="O1097" s="17"/>
      <c r="P1097" s="40" t="s">
        <v>261</v>
      </c>
      <c r="Q1097" s="12"/>
      <c r="R1097" s="12"/>
      <c r="S1097" s="12"/>
      <c r="T1097" s="12"/>
      <c r="U1097" s="12"/>
      <c r="V1097" s="21"/>
      <c r="Z1097" s="12"/>
      <c r="AA1097" s="29"/>
      <c r="AB1097" s="12"/>
      <c r="AC1097" s="12"/>
      <c r="AD1097" s="12"/>
      <c r="AE1097" s="12"/>
    </row>
    <row r="1098" customFormat="false" ht="15.75" hidden="false" customHeight="false" outlineLevel="0" collapsed="false">
      <c r="A1098" s="12" t="str">
        <f aca="false">IF((AA1098&gt;=4), "Y", "N")</f>
        <v>Y</v>
      </c>
      <c r="B1098" s="13"/>
      <c r="C1098" s="31" t="s">
        <v>4307</v>
      </c>
      <c r="D1098" s="16" t="s">
        <v>51</v>
      </c>
      <c r="E1098" s="32" t="s">
        <v>4308</v>
      </c>
      <c r="F1098" s="17"/>
      <c r="G1098" s="17"/>
      <c r="H1098" s="17"/>
      <c r="I1098" s="26" t="s">
        <v>266</v>
      </c>
      <c r="J1098" s="32" t="s">
        <v>1816</v>
      </c>
      <c r="K1098" s="32"/>
      <c r="L1098" s="33" t="s">
        <v>109</v>
      </c>
      <c r="M1098" s="27"/>
      <c r="N1098" s="17" t="s">
        <v>4309</v>
      </c>
      <c r="O1098" s="17"/>
      <c r="P1098" s="40" t="s">
        <v>268</v>
      </c>
      <c r="Q1098" s="20"/>
      <c r="R1098" s="20"/>
      <c r="S1098" s="20"/>
      <c r="T1098" s="20"/>
      <c r="U1098" s="20"/>
      <c r="V1098" s="45"/>
      <c r="Z1098" s="20"/>
      <c r="AA1098" s="29" t="str">
        <f aca="false">IF(P1098="OD500 MX", "5", " ")</f>
        <v>5</v>
      </c>
      <c r="AB1098" s="20"/>
      <c r="AC1098" s="20"/>
      <c r="AD1098" s="20"/>
      <c r="AE1098" s="20"/>
    </row>
    <row r="1099" customFormat="false" ht="15.75" hidden="false" customHeight="false" outlineLevel="0" collapsed="false">
      <c r="A1099" s="12" t="str">
        <f aca="false">IF((AA1099&gt;=4), "Y", "N")</f>
        <v>Y</v>
      </c>
      <c r="B1099" s="12"/>
      <c r="C1099" s="23" t="s">
        <v>4310</v>
      </c>
      <c r="D1099" s="24" t="s">
        <v>94</v>
      </c>
      <c r="E1099" s="25" t="s">
        <v>4311</v>
      </c>
      <c r="F1099" s="17" t="s">
        <v>4312</v>
      </c>
      <c r="G1099" s="17" t="s">
        <v>145</v>
      </c>
      <c r="H1099" s="26" t="s">
        <v>146</v>
      </c>
      <c r="I1099" s="17" t="s">
        <v>36</v>
      </c>
      <c r="J1099" s="32" t="s">
        <v>1816</v>
      </c>
      <c r="K1099" s="17" t="n">
        <v>1926</v>
      </c>
      <c r="L1099" s="33" t="s">
        <v>275</v>
      </c>
      <c r="M1099" s="27"/>
      <c r="N1099" s="17"/>
      <c r="O1099" s="17"/>
      <c r="P1099" s="40" t="s">
        <v>111</v>
      </c>
      <c r="Q1099" s="12"/>
      <c r="R1099" s="12"/>
      <c r="S1099" s="12"/>
      <c r="T1099" s="12"/>
      <c r="U1099" s="12"/>
      <c r="V1099" s="21"/>
      <c r="Z1099" s="12"/>
      <c r="AA1099" s="29" t="n">
        <v>5</v>
      </c>
      <c r="AB1099" s="12"/>
      <c r="AC1099" s="12"/>
      <c r="AD1099" s="12"/>
      <c r="AE1099" s="12"/>
    </row>
    <row r="1100" customFormat="false" ht="15.75" hidden="false" customHeight="false" outlineLevel="0" collapsed="false">
      <c r="A1100" s="12"/>
      <c r="B1100" s="12"/>
      <c r="C1100" s="23" t="s">
        <v>4313</v>
      </c>
      <c r="D1100" s="24"/>
      <c r="E1100" s="17"/>
      <c r="F1100" s="17"/>
      <c r="G1100" s="17"/>
      <c r="H1100" s="17"/>
      <c r="I1100" s="17" t="s">
        <v>260</v>
      </c>
      <c r="J1100" s="32" t="s">
        <v>1816</v>
      </c>
      <c r="K1100" s="17"/>
      <c r="L1100" s="17"/>
      <c r="M1100" s="27"/>
      <c r="N1100" s="17"/>
      <c r="O1100" s="17"/>
      <c r="P1100" s="40" t="s">
        <v>261</v>
      </c>
      <c r="Q1100" s="12"/>
      <c r="R1100" s="12"/>
      <c r="S1100" s="12"/>
      <c r="T1100" s="12"/>
      <c r="U1100" s="12"/>
      <c r="V1100" s="21"/>
      <c r="Z1100" s="12"/>
      <c r="AA1100" s="29"/>
      <c r="AB1100" s="12"/>
      <c r="AC1100" s="12"/>
      <c r="AD1100" s="12"/>
      <c r="AE1100" s="12"/>
    </row>
    <row r="1101" customFormat="false" ht="15.75" hidden="false" customHeight="false" outlineLevel="0" collapsed="false">
      <c r="A1101" s="12" t="str">
        <f aca="false">IF((AA1101&gt;=4), "Y", "N")</f>
        <v>Y</v>
      </c>
      <c r="B1101" s="13"/>
      <c r="C1101" s="31" t="s">
        <v>4314</v>
      </c>
      <c r="D1101" s="24" t="s">
        <v>94</v>
      </c>
      <c r="E1101" s="32" t="s">
        <v>4315</v>
      </c>
      <c r="F1101" s="17"/>
      <c r="G1101" s="17"/>
      <c r="H1101" s="17"/>
      <c r="I1101" s="26" t="s">
        <v>266</v>
      </c>
      <c r="J1101" s="32" t="s">
        <v>1816</v>
      </c>
      <c r="K1101" s="33" t="n">
        <v>1970</v>
      </c>
      <c r="L1101" s="33" t="s">
        <v>275</v>
      </c>
      <c r="M1101" s="27"/>
      <c r="N1101" s="17" t="s">
        <v>4316</v>
      </c>
      <c r="O1101" s="17"/>
      <c r="P1101" s="40" t="s">
        <v>268</v>
      </c>
      <c r="Q1101" s="12"/>
      <c r="R1101" s="12"/>
      <c r="S1101" s="12"/>
      <c r="T1101" s="12"/>
      <c r="U1101" s="12"/>
      <c r="V1101" s="21"/>
      <c r="Z1101" s="12"/>
      <c r="AA1101" s="29" t="str">
        <f aca="false">IF(P1101="OD500 MX", "5", " ")</f>
        <v>5</v>
      </c>
      <c r="AB1101" s="12"/>
      <c r="AC1101" s="12"/>
      <c r="AD1101" s="12"/>
      <c r="AE1101" s="12"/>
    </row>
    <row r="1102" customFormat="false" ht="15.75" hidden="false" customHeight="false" outlineLevel="0" collapsed="false">
      <c r="A1102" s="12"/>
      <c r="B1102" s="12"/>
      <c r="C1102" s="23" t="s">
        <v>4317</v>
      </c>
      <c r="D1102" s="24"/>
      <c r="E1102" s="17"/>
      <c r="F1102" s="17"/>
      <c r="G1102" s="17"/>
      <c r="H1102" s="17"/>
      <c r="I1102" s="17" t="s">
        <v>260</v>
      </c>
      <c r="J1102" s="32" t="s">
        <v>1816</v>
      </c>
      <c r="K1102" s="17"/>
      <c r="L1102" s="17"/>
      <c r="M1102" s="27"/>
      <c r="N1102" s="17"/>
      <c r="O1102" s="17"/>
      <c r="P1102" s="40" t="s">
        <v>261</v>
      </c>
      <c r="Q1102" s="12"/>
      <c r="R1102" s="12"/>
      <c r="S1102" s="12"/>
      <c r="T1102" s="12"/>
      <c r="U1102" s="12"/>
      <c r="V1102" s="21"/>
      <c r="Z1102" s="12"/>
      <c r="AA1102" s="29"/>
      <c r="AB1102" s="12"/>
      <c r="AC1102" s="12"/>
      <c r="AD1102" s="12"/>
      <c r="AE1102" s="12"/>
    </row>
    <row r="1103" customFormat="false" ht="15.75" hidden="false" customHeight="false" outlineLevel="0" collapsed="false">
      <c r="A1103" s="12" t="str">
        <f aca="false">IF((AA1103&gt;=4), "Y", "N")</f>
        <v>Y</v>
      </c>
      <c r="B1103" s="12"/>
      <c r="C1103" s="23" t="s">
        <v>4318</v>
      </c>
      <c r="D1103" s="24" t="s">
        <v>94</v>
      </c>
      <c r="E1103" s="25" t="s">
        <v>4319</v>
      </c>
      <c r="F1103" s="17" t="s">
        <v>4320</v>
      </c>
      <c r="G1103" s="17" t="s">
        <v>145</v>
      </c>
      <c r="H1103" s="26" t="s">
        <v>146</v>
      </c>
      <c r="I1103" s="17" t="s">
        <v>36</v>
      </c>
      <c r="J1103" s="32" t="s">
        <v>1816</v>
      </c>
      <c r="K1103" s="17" t="n">
        <v>1961</v>
      </c>
      <c r="L1103" s="38" t="s">
        <v>482</v>
      </c>
      <c r="M1103" s="27"/>
      <c r="N1103" s="39" t="s">
        <v>663</v>
      </c>
      <c r="O1103" s="17"/>
      <c r="P1103" s="40" t="s">
        <v>111</v>
      </c>
      <c r="Q1103" s="17"/>
      <c r="R1103" s="17"/>
      <c r="S1103" s="17"/>
      <c r="T1103" s="17"/>
      <c r="U1103" s="17"/>
      <c r="V1103" s="27"/>
      <c r="Z1103" s="17"/>
      <c r="AA1103" s="29" t="n">
        <v>4</v>
      </c>
      <c r="AB1103" s="17"/>
      <c r="AC1103" s="17"/>
      <c r="AD1103" s="17"/>
      <c r="AE1103" s="17"/>
    </row>
    <row r="1104" customFormat="false" ht="15.75" hidden="false" customHeight="false" outlineLevel="0" collapsed="false">
      <c r="A1104" s="12" t="str">
        <f aca="false">IF((AA1104&gt;=4), "Y", "N")</f>
        <v>Y</v>
      </c>
      <c r="B1104" s="12"/>
      <c r="C1104" s="23" t="s">
        <v>4321</v>
      </c>
      <c r="D1104" s="24" t="s">
        <v>94</v>
      </c>
      <c r="E1104" s="25" t="s">
        <v>4322</v>
      </c>
      <c r="F1104" s="17" t="s">
        <v>4323</v>
      </c>
      <c r="G1104" s="17" t="s">
        <v>3710</v>
      </c>
      <c r="H1104" s="26" t="s">
        <v>146</v>
      </c>
      <c r="I1104" s="17" t="s">
        <v>36</v>
      </c>
      <c r="J1104" s="32" t="s">
        <v>1816</v>
      </c>
      <c r="K1104" s="17" t="n">
        <v>1964</v>
      </c>
      <c r="L1104" s="33" t="s">
        <v>275</v>
      </c>
      <c r="M1104" s="27"/>
      <c r="N1104" s="17"/>
      <c r="O1104" s="17"/>
      <c r="P1104" s="40" t="s">
        <v>111</v>
      </c>
      <c r="Q1104" s="20"/>
      <c r="R1104" s="20"/>
      <c r="S1104" s="20"/>
      <c r="T1104" s="20"/>
      <c r="U1104" s="20"/>
      <c r="V1104" s="45"/>
      <c r="Z1104" s="20"/>
      <c r="AA1104" s="22" t="n">
        <v>4</v>
      </c>
      <c r="AB1104" s="20"/>
      <c r="AC1104" s="20"/>
      <c r="AD1104" s="20"/>
      <c r="AE1104" s="20"/>
    </row>
    <row r="1105" customFormat="false" ht="15.75" hidden="false" customHeight="false" outlineLevel="0" collapsed="false">
      <c r="A1105" s="12" t="str">
        <f aca="false">IF((AA1105&gt;=4), "Y", "N")</f>
        <v>Y</v>
      </c>
      <c r="B1105" s="13"/>
      <c r="C1105" s="31" t="s">
        <v>4324</v>
      </c>
      <c r="D1105" s="24" t="s">
        <v>94</v>
      </c>
      <c r="E1105" s="32" t="s">
        <v>4325</v>
      </c>
      <c r="F1105" s="17"/>
      <c r="G1105" s="17"/>
      <c r="H1105" s="17"/>
      <c r="I1105" s="26" t="s">
        <v>266</v>
      </c>
      <c r="J1105" s="32" t="s">
        <v>1816</v>
      </c>
      <c r="K1105" s="32"/>
      <c r="L1105" s="33" t="s">
        <v>109</v>
      </c>
      <c r="M1105" s="27"/>
      <c r="N1105" s="17" t="s">
        <v>4326</v>
      </c>
      <c r="O1105" s="17"/>
      <c r="P1105" s="40" t="s">
        <v>268</v>
      </c>
      <c r="Q1105" s="12"/>
      <c r="R1105" s="12"/>
      <c r="S1105" s="12"/>
      <c r="T1105" s="12"/>
      <c r="U1105" s="12"/>
      <c r="V1105" s="21"/>
      <c r="Z1105" s="12"/>
      <c r="AA1105" s="29" t="str">
        <f aca="false">IF(P1105="OD500 MX", "5", " ")</f>
        <v>5</v>
      </c>
      <c r="AB1105" s="12"/>
      <c r="AC1105" s="12"/>
      <c r="AD1105" s="12"/>
      <c r="AE1105" s="12"/>
    </row>
    <row r="1106" customFormat="false" ht="15.75" hidden="false" customHeight="false" outlineLevel="0" collapsed="false">
      <c r="A1106" s="12" t="str">
        <f aca="false">IF((AA1106&gt;=4), "Y", "N")</f>
        <v>Y</v>
      </c>
      <c r="B1106" s="12"/>
      <c r="C1106" s="23" t="s">
        <v>4327</v>
      </c>
      <c r="D1106" s="24" t="s">
        <v>94</v>
      </c>
      <c r="E1106" s="25" t="s">
        <v>4328</v>
      </c>
      <c r="F1106" s="17" t="s">
        <v>4329</v>
      </c>
      <c r="G1106" s="17" t="s">
        <v>145</v>
      </c>
      <c r="H1106" s="26" t="s">
        <v>146</v>
      </c>
      <c r="I1106" s="17" t="s">
        <v>36</v>
      </c>
      <c r="J1106" s="32" t="s">
        <v>1816</v>
      </c>
      <c r="K1106" s="17" t="n">
        <v>1984</v>
      </c>
      <c r="L1106" s="33" t="s">
        <v>275</v>
      </c>
      <c r="M1106" s="27"/>
      <c r="N1106" s="65" t="s">
        <v>4330</v>
      </c>
      <c r="O1106" s="17"/>
      <c r="P1106" s="40" t="s">
        <v>111</v>
      </c>
      <c r="Q1106" s="20"/>
      <c r="R1106" s="20"/>
      <c r="S1106" s="20"/>
      <c r="T1106" s="20"/>
      <c r="U1106" s="20"/>
      <c r="V1106" s="45"/>
      <c r="Z1106" s="20"/>
      <c r="AA1106" s="22" t="n">
        <v>4</v>
      </c>
      <c r="AB1106" s="20"/>
      <c r="AC1106" s="20"/>
      <c r="AD1106" s="20"/>
      <c r="AE1106" s="20"/>
    </row>
    <row r="1107" customFormat="false" ht="15.75" hidden="false" customHeight="false" outlineLevel="0" collapsed="false">
      <c r="A1107" s="12"/>
      <c r="B1107" s="12"/>
      <c r="C1107" s="23" t="s">
        <v>4331</v>
      </c>
      <c r="D1107" s="24"/>
      <c r="E1107" s="25" t="s">
        <v>4332</v>
      </c>
      <c r="F1107" s="17"/>
      <c r="G1107" s="17" t="s">
        <v>134</v>
      </c>
      <c r="H1107" s="17"/>
      <c r="I1107" s="26" t="s">
        <v>65</v>
      </c>
      <c r="J1107" s="32" t="s">
        <v>1816</v>
      </c>
      <c r="K1107" s="17"/>
      <c r="L1107" s="17"/>
      <c r="M1107" s="27"/>
      <c r="N1107" s="17"/>
      <c r="O1107" s="17"/>
      <c r="P1107" s="28" t="s">
        <v>46</v>
      </c>
      <c r="Q1107" s="12"/>
      <c r="R1107" s="12"/>
      <c r="S1107" s="12"/>
      <c r="T1107" s="12"/>
      <c r="U1107" s="12"/>
      <c r="V1107" s="21"/>
      <c r="Z1107" s="12"/>
      <c r="AA1107" s="29"/>
      <c r="AB1107" s="12"/>
      <c r="AC1107" s="12"/>
      <c r="AD1107" s="12"/>
      <c r="AE1107" s="12"/>
    </row>
    <row r="1108" customFormat="false" ht="15.75" hidden="false" customHeight="false" outlineLevel="0" collapsed="false">
      <c r="A1108" s="12" t="str">
        <f aca="false">IF((AA1108&gt;=4), "Y", "N")</f>
        <v>Y</v>
      </c>
      <c r="B1108" s="13" t="s">
        <v>32</v>
      </c>
      <c r="C1108" s="31" t="s">
        <v>4333</v>
      </c>
      <c r="D1108" s="16" t="s">
        <v>94</v>
      </c>
      <c r="E1108" s="32" t="s">
        <v>4334</v>
      </c>
      <c r="F1108" s="32" t="s">
        <v>4335</v>
      </c>
      <c r="G1108" s="32" t="s">
        <v>145</v>
      </c>
      <c r="H1108" s="26" t="s">
        <v>146</v>
      </c>
      <c r="I1108" s="17" t="s">
        <v>36</v>
      </c>
      <c r="J1108" s="32" t="s">
        <v>1816</v>
      </c>
      <c r="K1108" s="33" t="n">
        <v>1885</v>
      </c>
      <c r="L1108" s="33" t="s">
        <v>275</v>
      </c>
      <c r="M1108" s="27" t="s">
        <v>74</v>
      </c>
      <c r="N1108" s="39" t="s">
        <v>4336</v>
      </c>
      <c r="O1108" s="17" t="s">
        <v>4337</v>
      </c>
      <c r="P1108" s="19" t="s">
        <v>76</v>
      </c>
      <c r="Q1108" s="12"/>
      <c r="R1108" s="12" t="s">
        <v>4338</v>
      </c>
      <c r="S1108" s="12"/>
      <c r="T1108" s="12" t="s">
        <v>4339</v>
      </c>
      <c r="U1108" s="12"/>
      <c r="V1108" s="21" t="s">
        <v>31</v>
      </c>
      <c r="Z1108" s="12"/>
      <c r="AA1108" s="22" t="str">
        <f aca="false">IF(P1108="OD500 US (submitted)", "5", " ")</f>
        <v>5</v>
      </c>
      <c r="AB1108" s="12"/>
      <c r="AC1108" s="12"/>
      <c r="AD1108" s="12"/>
      <c r="AE1108" s="12"/>
    </row>
    <row r="1109" customFormat="false" ht="15.75" hidden="false" customHeight="false" outlineLevel="0" collapsed="false">
      <c r="A1109" s="12"/>
      <c r="B1109" s="12"/>
      <c r="C1109" s="23" t="s">
        <v>4121</v>
      </c>
      <c r="D1109" s="24"/>
      <c r="E1109" s="25" t="s">
        <v>4340</v>
      </c>
      <c r="F1109" s="17"/>
      <c r="G1109" s="17" t="s">
        <v>3259</v>
      </c>
      <c r="H1109" s="17"/>
      <c r="I1109" s="26" t="s">
        <v>724</v>
      </c>
      <c r="J1109" s="32" t="s">
        <v>1816</v>
      </c>
      <c r="K1109" s="17"/>
      <c r="L1109" s="17"/>
      <c r="M1109" s="27"/>
      <c r="N1109" s="17"/>
      <c r="O1109" s="17"/>
      <c r="P1109" s="28" t="s">
        <v>46</v>
      </c>
      <c r="Q1109" s="12"/>
      <c r="R1109" s="12"/>
      <c r="S1109" s="12"/>
      <c r="T1109" s="12"/>
      <c r="U1109" s="12"/>
      <c r="V1109" s="21"/>
      <c r="Z1109" s="12"/>
      <c r="AA1109" s="29"/>
      <c r="AB1109" s="12"/>
      <c r="AC1109" s="12"/>
      <c r="AD1109" s="12"/>
      <c r="AE1109" s="12"/>
    </row>
    <row r="1110" customFormat="false" ht="15.75" hidden="false" customHeight="false" outlineLevel="0" collapsed="false">
      <c r="A1110" s="12"/>
      <c r="B1110" s="12"/>
      <c r="C1110" s="23" t="s">
        <v>4341</v>
      </c>
      <c r="D1110" s="24"/>
      <c r="E1110" s="25" t="s">
        <v>4342</v>
      </c>
      <c r="F1110" s="17"/>
      <c r="G1110" s="17" t="s">
        <v>4343</v>
      </c>
      <c r="H1110" s="17"/>
      <c r="I1110" s="26" t="s">
        <v>3238</v>
      </c>
      <c r="J1110" s="32" t="s">
        <v>1816</v>
      </c>
      <c r="K1110" s="17"/>
      <c r="L1110" s="17"/>
      <c r="M1110" s="27"/>
      <c r="N1110" s="17"/>
      <c r="O1110" s="17"/>
      <c r="P1110" s="28" t="s">
        <v>46</v>
      </c>
      <c r="Q1110" s="12"/>
      <c r="R1110" s="12"/>
      <c r="S1110" s="12"/>
      <c r="T1110" s="12"/>
      <c r="U1110" s="12"/>
      <c r="V1110" s="21"/>
      <c r="Z1110" s="12"/>
      <c r="AA1110" s="29"/>
      <c r="AB1110" s="12"/>
      <c r="AC1110" s="12"/>
      <c r="AD1110" s="12"/>
      <c r="AE1110" s="12"/>
    </row>
    <row r="1111" customFormat="false" ht="15.75" hidden="false" customHeight="false" outlineLevel="0" collapsed="false">
      <c r="A1111" s="12"/>
      <c r="B1111" s="12"/>
      <c r="C1111" s="23" t="s">
        <v>4344</v>
      </c>
      <c r="D1111" s="24"/>
      <c r="E1111" s="17"/>
      <c r="F1111" s="17"/>
      <c r="G1111" s="17"/>
      <c r="H1111" s="17"/>
      <c r="I1111" s="17" t="s">
        <v>260</v>
      </c>
      <c r="J1111" s="32" t="s">
        <v>1816</v>
      </c>
      <c r="K1111" s="17"/>
      <c r="L1111" s="17"/>
      <c r="M1111" s="27"/>
      <c r="N1111" s="17"/>
      <c r="O1111" s="17"/>
      <c r="P1111" s="40" t="s">
        <v>261</v>
      </c>
      <c r="Q1111" s="17"/>
      <c r="R1111" s="17"/>
      <c r="S1111" s="17"/>
      <c r="T1111" s="17"/>
      <c r="U1111" s="17"/>
      <c r="V1111" s="27"/>
      <c r="Z1111" s="17"/>
      <c r="AA1111" s="29"/>
      <c r="AB1111" s="17"/>
      <c r="AC1111" s="17"/>
      <c r="AD1111" s="17"/>
      <c r="AE1111" s="17"/>
    </row>
    <row r="1112" customFormat="false" ht="15.75" hidden="false" customHeight="false" outlineLevel="0" collapsed="false">
      <c r="A1112" s="12" t="str">
        <f aca="false">IF((AA1112&gt;=4), "Y", "N")</f>
        <v>Y</v>
      </c>
      <c r="B1112" s="12"/>
      <c r="C1112" s="23" t="s">
        <v>4345</v>
      </c>
      <c r="D1112" s="24" t="s">
        <v>51</v>
      </c>
      <c r="E1112" s="25" t="s">
        <v>4346</v>
      </c>
      <c r="F1112" s="17" t="s">
        <v>4347</v>
      </c>
      <c r="G1112" s="17" t="s">
        <v>1905</v>
      </c>
      <c r="H1112" s="26" t="s">
        <v>72</v>
      </c>
      <c r="I1112" s="17" t="s">
        <v>36</v>
      </c>
      <c r="J1112" s="32" t="s">
        <v>1816</v>
      </c>
      <c r="K1112" s="17" t="n">
        <v>1946</v>
      </c>
      <c r="L1112" s="33" t="s">
        <v>275</v>
      </c>
      <c r="M1112" s="27"/>
      <c r="N1112" s="17"/>
      <c r="O1112" s="17"/>
      <c r="P1112" s="40" t="s">
        <v>111</v>
      </c>
      <c r="Q1112" s="20"/>
      <c r="R1112" s="20"/>
      <c r="S1112" s="20"/>
      <c r="T1112" s="20"/>
      <c r="U1112" s="20"/>
      <c r="V1112" s="45"/>
      <c r="Z1112" s="20"/>
      <c r="AA1112" s="22" t="n">
        <v>5</v>
      </c>
      <c r="AB1112" s="20"/>
      <c r="AC1112" s="20"/>
      <c r="AD1112" s="20"/>
      <c r="AE1112" s="20"/>
    </row>
    <row r="1113" customFormat="false" ht="15.75" hidden="false" customHeight="false" outlineLevel="0" collapsed="false">
      <c r="A1113" s="12" t="str">
        <f aca="false">IF((AA1113&gt;=4), "Y", "N")</f>
        <v>Y</v>
      </c>
      <c r="B1113" s="13"/>
      <c r="C1113" s="31" t="s">
        <v>4348</v>
      </c>
      <c r="D1113" s="16" t="s">
        <v>94</v>
      </c>
      <c r="E1113" s="32" t="s">
        <v>4349</v>
      </c>
      <c r="F1113" s="32" t="s">
        <v>4350</v>
      </c>
      <c r="G1113" s="32" t="s">
        <v>368</v>
      </c>
      <c r="H1113" s="26" t="s">
        <v>369</v>
      </c>
      <c r="I1113" s="17" t="s">
        <v>36</v>
      </c>
      <c r="J1113" s="32" t="s">
        <v>1816</v>
      </c>
      <c r="K1113" s="33" t="n">
        <v>2011</v>
      </c>
      <c r="L1113" s="33"/>
      <c r="M1113" s="27"/>
      <c r="N1113" s="39"/>
      <c r="O1113" s="17"/>
      <c r="P1113" s="19" t="s">
        <v>76</v>
      </c>
      <c r="Q1113" s="12"/>
      <c r="R1113" s="12" t="s">
        <v>4351</v>
      </c>
      <c r="S1113" s="12"/>
      <c r="T1113" s="12" t="s">
        <v>4352</v>
      </c>
      <c r="U1113" s="12"/>
      <c r="V1113" s="21" t="s">
        <v>31</v>
      </c>
      <c r="Z1113" s="12"/>
      <c r="AA1113" s="22" t="str">
        <f aca="false">IF(P1113="OD500 US (submitted)", "5", " ")</f>
        <v>5</v>
      </c>
      <c r="AB1113" s="12"/>
      <c r="AC1113" s="12"/>
      <c r="AD1113" s="12"/>
      <c r="AE1113" s="12"/>
    </row>
    <row r="1114" customFormat="false" ht="15.75" hidden="false" customHeight="false" outlineLevel="0" collapsed="false">
      <c r="A1114" s="12"/>
      <c r="B1114" s="12"/>
      <c r="C1114" s="23" t="s">
        <v>4353</v>
      </c>
      <c r="D1114" s="24"/>
      <c r="E1114" s="17"/>
      <c r="F1114" s="17"/>
      <c r="G1114" s="17"/>
      <c r="H1114" s="17"/>
      <c r="I1114" s="17" t="s">
        <v>260</v>
      </c>
      <c r="J1114" s="32" t="s">
        <v>1816</v>
      </c>
      <c r="K1114" s="17"/>
      <c r="L1114" s="17"/>
      <c r="M1114" s="27"/>
      <c r="N1114" s="17"/>
      <c r="O1114" s="17"/>
      <c r="P1114" s="40" t="s">
        <v>261</v>
      </c>
      <c r="Q1114" s="17"/>
      <c r="R1114" s="17"/>
      <c r="S1114" s="17"/>
      <c r="T1114" s="17"/>
      <c r="U1114" s="17"/>
      <c r="V1114" s="27"/>
      <c r="Z1114" s="17"/>
      <c r="AA1114" s="29"/>
      <c r="AB1114" s="17"/>
      <c r="AC1114" s="17"/>
      <c r="AD1114" s="17"/>
      <c r="AE1114" s="17"/>
    </row>
    <row r="1115" customFormat="false" ht="101.3" hidden="false" customHeight="false" outlineLevel="0" collapsed="false">
      <c r="A1115" s="12" t="str">
        <f aca="false">IF((AA1115&gt;=4), "Y", "N")</f>
        <v>Y</v>
      </c>
      <c r="B1115" s="13"/>
      <c r="C1115" s="31" t="s">
        <v>4354</v>
      </c>
      <c r="D1115" s="24" t="s">
        <v>94</v>
      </c>
      <c r="E1115" s="32" t="s">
        <v>4355</v>
      </c>
      <c r="F1115" s="17"/>
      <c r="G1115" s="17"/>
      <c r="H1115" s="17"/>
      <c r="I1115" s="26" t="s">
        <v>266</v>
      </c>
      <c r="J1115" s="32" t="s">
        <v>1816</v>
      </c>
      <c r="K1115" s="33" t="n">
        <v>2007</v>
      </c>
      <c r="L1115" s="33" t="s">
        <v>109</v>
      </c>
      <c r="M1115" s="27"/>
      <c r="N1115" s="17" t="s">
        <v>4356</v>
      </c>
      <c r="O1115" s="17"/>
      <c r="P1115" s="40" t="s">
        <v>268</v>
      </c>
      <c r="Q1115" s="12"/>
      <c r="R1115" s="12"/>
      <c r="S1115" s="12"/>
      <c r="T1115" s="12"/>
      <c r="U1115" s="12"/>
      <c r="V1115" s="21"/>
      <c r="Z1115" s="12"/>
      <c r="AA1115" s="29" t="str">
        <f aca="false">IF(P1115="OD500 MX", "5", " ")</f>
        <v>5</v>
      </c>
      <c r="AB1115" s="12"/>
      <c r="AC1115" s="12"/>
      <c r="AD1115" s="12"/>
      <c r="AE1115" s="12"/>
    </row>
    <row r="1116" customFormat="false" ht="15.75" hidden="false" customHeight="false" outlineLevel="0" collapsed="false">
      <c r="A1116" s="12"/>
      <c r="B1116" s="12"/>
      <c r="C1116" s="23" t="s">
        <v>4357</v>
      </c>
      <c r="D1116" s="24"/>
      <c r="E1116" s="17"/>
      <c r="F1116" s="17"/>
      <c r="G1116" s="17"/>
      <c r="H1116" s="17"/>
      <c r="I1116" s="17" t="s">
        <v>260</v>
      </c>
      <c r="J1116" s="32" t="s">
        <v>1816</v>
      </c>
      <c r="K1116" s="17"/>
      <c r="L1116" s="17"/>
      <c r="M1116" s="27"/>
      <c r="N1116" s="17"/>
      <c r="O1116" s="17"/>
      <c r="P1116" s="40" t="s">
        <v>261</v>
      </c>
      <c r="Q1116" s="20"/>
      <c r="R1116" s="20"/>
      <c r="S1116" s="20"/>
      <c r="T1116" s="20"/>
      <c r="U1116" s="20"/>
      <c r="V1116" s="45"/>
      <c r="Z1116" s="20"/>
      <c r="AA1116" s="22"/>
      <c r="AB1116" s="20"/>
      <c r="AC1116" s="20"/>
      <c r="AD1116" s="20"/>
      <c r="AE1116" s="20"/>
    </row>
    <row r="1117" customFormat="false" ht="15.75" hidden="false" customHeight="false" outlineLevel="0" collapsed="false">
      <c r="A1117" s="12" t="str">
        <f aca="false">IF((AA1117&gt;=4), "Y", "N")</f>
        <v>Y</v>
      </c>
      <c r="B1117" s="13"/>
      <c r="C1117" s="31" t="s">
        <v>4358</v>
      </c>
      <c r="D1117" s="24" t="s">
        <v>94</v>
      </c>
      <c r="E1117" s="32" t="s">
        <v>4359</v>
      </c>
      <c r="F1117" s="17"/>
      <c r="G1117" s="17"/>
      <c r="H1117" s="17"/>
      <c r="I1117" s="26" t="s">
        <v>266</v>
      </c>
      <c r="J1117" s="32" t="s">
        <v>1816</v>
      </c>
      <c r="K1117" s="33" t="n">
        <v>2012</v>
      </c>
      <c r="L1117" s="33" t="s">
        <v>109</v>
      </c>
      <c r="M1117" s="27"/>
      <c r="N1117" s="17" t="s">
        <v>4360</v>
      </c>
      <c r="O1117" s="17"/>
      <c r="P1117" s="40" t="s">
        <v>268</v>
      </c>
      <c r="Q1117" s="12"/>
      <c r="R1117" s="12"/>
      <c r="S1117" s="12"/>
      <c r="T1117" s="12"/>
      <c r="U1117" s="12"/>
      <c r="V1117" s="21"/>
      <c r="Z1117" s="12"/>
      <c r="AA1117" s="29" t="str">
        <f aca="false">IF(P1117="OD500 MX", "5", " ")</f>
        <v>5</v>
      </c>
      <c r="AB1117" s="12"/>
      <c r="AC1117" s="12"/>
      <c r="AD1117" s="12"/>
      <c r="AE1117" s="12"/>
    </row>
    <row r="1118" customFormat="false" ht="15.75" hidden="false" customHeight="false" outlineLevel="0" collapsed="false">
      <c r="A1118" s="12"/>
      <c r="B1118" s="12"/>
      <c r="C1118" s="23" t="s">
        <v>4361</v>
      </c>
      <c r="D1118" s="24" t="s">
        <v>94</v>
      </c>
      <c r="E1118" s="25" t="s">
        <v>4362</v>
      </c>
      <c r="F1118" s="17" t="s">
        <v>4363</v>
      </c>
      <c r="G1118" s="17" t="s">
        <v>368</v>
      </c>
      <c r="H1118" s="26" t="s">
        <v>369</v>
      </c>
      <c r="I1118" s="17" t="s">
        <v>36</v>
      </c>
      <c r="J1118" s="32" t="s">
        <v>1816</v>
      </c>
      <c r="K1118" s="17" t="n">
        <v>1979</v>
      </c>
      <c r="L1118" s="33" t="s">
        <v>275</v>
      </c>
      <c r="M1118" s="27"/>
      <c r="N1118" s="17"/>
      <c r="O1118" s="17"/>
      <c r="P1118" s="40" t="s">
        <v>111</v>
      </c>
      <c r="Q1118" s="12"/>
      <c r="R1118" s="12"/>
      <c r="S1118" s="12"/>
      <c r="T1118" s="12"/>
      <c r="U1118" s="12"/>
      <c r="V1118" s="21"/>
      <c r="Z1118" s="12"/>
      <c r="AA1118" s="29" t="n">
        <v>3</v>
      </c>
      <c r="AB1118" s="12"/>
      <c r="AC1118" s="12"/>
      <c r="AD1118" s="12"/>
      <c r="AE1118" s="12"/>
    </row>
    <row r="1119" customFormat="false" ht="15.75" hidden="false" customHeight="false" outlineLevel="0" collapsed="false">
      <c r="A1119" s="12" t="str">
        <f aca="false">IF((AA1119&gt;=4), "Y", "N")</f>
        <v>Y</v>
      </c>
      <c r="B1119" s="12"/>
      <c r="C1119" s="23" t="s">
        <v>4364</v>
      </c>
      <c r="D1119" s="24" t="s">
        <v>94</v>
      </c>
      <c r="E1119" s="25" t="s">
        <v>4365</v>
      </c>
      <c r="F1119" s="17" t="s">
        <v>4366</v>
      </c>
      <c r="G1119" s="17" t="s">
        <v>296</v>
      </c>
      <c r="H1119" s="26" t="s">
        <v>297</v>
      </c>
      <c r="I1119" s="17" t="s">
        <v>36</v>
      </c>
      <c r="J1119" s="32" t="s">
        <v>1816</v>
      </c>
      <c r="K1119" s="17" t="n">
        <v>1973</v>
      </c>
      <c r="L1119" s="38" t="s">
        <v>73</v>
      </c>
      <c r="M1119" s="27"/>
      <c r="N1119" s="39" t="s">
        <v>4367</v>
      </c>
      <c r="O1119" s="17"/>
      <c r="P1119" s="40" t="s">
        <v>111</v>
      </c>
      <c r="Q1119" s="17"/>
      <c r="R1119" s="17"/>
      <c r="S1119" s="17"/>
      <c r="T1119" s="17"/>
      <c r="U1119" s="17"/>
      <c r="V1119" s="27"/>
      <c r="Z1119" s="17"/>
      <c r="AA1119" s="29" t="n">
        <v>5</v>
      </c>
      <c r="AB1119" s="17"/>
      <c r="AC1119" s="17"/>
      <c r="AD1119" s="17"/>
      <c r="AE1119" s="17"/>
    </row>
    <row r="1120" customFormat="false" ht="15.75" hidden="false" customHeight="false" outlineLevel="0" collapsed="false">
      <c r="A1120" s="12" t="str">
        <f aca="false">IF((AA1120&gt;=4), "Y", "N")</f>
        <v>Y</v>
      </c>
      <c r="B1120" s="13"/>
      <c r="C1120" s="31" t="s">
        <v>4368</v>
      </c>
      <c r="D1120" s="24" t="s">
        <v>94</v>
      </c>
      <c r="E1120" s="32" t="s">
        <v>4369</v>
      </c>
      <c r="F1120" s="17"/>
      <c r="G1120" s="17"/>
      <c r="H1120" s="17"/>
      <c r="I1120" s="26" t="s">
        <v>266</v>
      </c>
      <c r="J1120" s="32" t="s">
        <v>1816</v>
      </c>
      <c r="K1120" s="33" t="n">
        <v>2001</v>
      </c>
      <c r="L1120" s="33" t="s">
        <v>109</v>
      </c>
      <c r="M1120" s="27"/>
      <c r="N1120" s="17" t="s">
        <v>4370</v>
      </c>
      <c r="O1120" s="17"/>
      <c r="P1120" s="40" t="s">
        <v>268</v>
      </c>
      <c r="Q1120" s="12"/>
      <c r="R1120" s="12"/>
      <c r="S1120" s="12"/>
      <c r="T1120" s="12"/>
      <c r="U1120" s="12"/>
      <c r="V1120" s="21"/>
      <c r="Z1120" s="12"/>
      <c r="AA1120" s="29" t="str">
        <f aca="false">IF(P1120="OD500 MX", "5", " ")</f>
        <v>5</v>
      </c>
      <c r="AB1120" s="12"/>
      <c r="AC1120" s="12"/>
      <c r="AD1120" s="12"/>
      <c r="AE1120" s="12"/>
    </row>
    <row r="1121" customFormat="false" ht="15.75" hidden="false" customHeight="false" outlineLevel="0" collapsed="false">
      <c r="A1121" s="12"/>
      <c r="B1121" s="12"/>
      <c r="C1121" s="23" t="s">
        <v>4371</v>
      </c>
      <c r="D1121" s="24"/>
      <c r="E1121" s="25" t="s">
        <v>4372</v>
      </c>
      <c r="F1121" s="17"/>
      <c r="G1121" s="17" t="s">
        <v>4373</v>
      </c>
      <c r="H1121" s="17"/>
      <c r="I1121" s="26" t="s">
        <v>198</v>
      </c>
      <c r="J1121" s="32" t="s">
        <v>1816</v>
      </c>
      <c r="K1121" s="17"/>
      <c r="L1121" s="17"/>
      <c r="M1121" s="27"/>
      <c r="N1121" s="17"/>
      <c r="O1121" s="17"/>
      <c r="P1121" s="28" t="s">
        <v>46</v>
      </c>
      <c r="Q1121" s="12"/>
      <c r="R1121" s="12"/>
      <c r="S1121" s="12"/>
      <c r="T1121" s="12"/>
      <c r="U1121" s="12"/>
      <c r="V1121" s="21"/>
      <c r="Z1121" s="12"/>
      <c r="AA1121" s="29"/>
      <c r="AB1121" s="12"/>
      <c r="AC1121" s="12"/>
      <c r="AD1121" s="12"/>
      <c r="AE1121" s="12"/>
    </row>
    <row r="1122" customFormat="false" ht="15.75" hidden="false" customHeight="false" outlineLevel="0" collapsed="false">
      <c r="A1122" s="12" t="s">
        <v>31</v>
      </c>
      <c r="B1122" s="54" t="s">
        <v>32</v>
      </c>
      <c r="C1122" s="55" t="s">
        <v>4374</v>
      </c>
      <c r="D1122" s="15" t="s">
        <v>51</v>
      </c>
      <c r="E1122" s="57" t="s">
        <v>4375</v>
      </c>
      <c r="F1122" s="15" t="s">
        <v>4376</v>
      </c>
      <c r="G1122" s="15"/>
      <c r="H1122" s="15"/>
      <c r="I1122" s="26" t="s">
        <v>561</v>
      </c>
      <c r="J1122" s="32" t="s">
        <v>1816</v>
      </c>
      <c r="K1122" s="15" t="n">
        <v>2015</v>
      </c>
      <c r="L1122" s="17" t="s">
        <v>109</v>
      </c>
      <c r="M1122" s="18"/>
      <c r="N1122" s="17"/>
      <c r="O1122" s="17"/>
      <c r="P1122" s="19" t="s">
        <v>39</v>
      </c>
      <c r="Q1122" s="20"/>
      <c r="R1122" s="20" t="s">
        <v>4377</v>
      </c>
      <c r="S1122" s="20"/>
      <c r="T1122" s="20" t="s">
        <v>4378</v>
      </c>
      <c r="U1122" s="20"/>
      <c r="V1122" s="21" t="s">
        <v>31</v>
      </c>
      <c r="Z1122" s="20"/>
      <c r="AA1122" s="22" t="n">
        <v>5</v>
      </c>
      <c r="AB1122" s="20"/>
      <c r="AC1122" s="20"/>
      <c r="AD1122" s="20"/>
      <c r="AE1122" s="20"/>
    </row>
    <row r="1123" customFormat="false" ht="15.75" hidden="false" customHeight="false" outlineLevel="0" collapsed="false">
      <c r="A1123" s="12"/>
      <c r="B1123" s="13" t="s">
        <v>528</v>
      </c>
      <c r="C1123" s="14" t="s">
        <v>4379</v>
      </c>
      <c r="D1123" s="24" t="s">
        <v>4380</v>
      </c>
      <c r="E1123" s="25" t="s">
        <v>4381</v>
      </c>
      <c r="F1123" s="17" t="s">
        <v>4382</v>
      </c>
      <c r="G1123" s="17" t="s">
        <v>3213</v>
      </c>
      <c r="H1123" s="17" t="s">
        <v>369</v>
      </c>
      <c r="I1123" s="17" t="s">
        <v>36</v>
      </c>
      <c r="J1123" s="32" t="s">
        <v>1816</v>
      </c>
      <c r="K1123" s="17" t="n">
        <v>1920</v>
      </c>
      <c r="L1123" s="17"/>
      <c r="M1123" s="27" t="s">
        <v>4383</v>
      </c>
      <c r="N1123" s="17" t="s">
        <v>1403</v>
      </c>
      <c r="O1123" s="17" t="s">
        <v>4384</v>
      </c>
      <c r="P1123" s="40" t="s">
        <v>150</v>
      </c>
      <c r="Q1123" s="12"/>
      <c r="R1123" s="12"/>
      <c r="S1123" s="12"/>
      <c r="T1123" s="12"/>
      <c r="U1123" s="12"/>
      <c r="V1123" s="21"/>
      <c r="Z1123" s="12"/>
      <c r="AA1123" s="29" t="n">
        <v>5</v>
      </c>
      <c r="AB1123" s="12" t="s">
        <v>4385</v>
      </c>
      <c r="AC1123" s="12"/>
      <c r="AD1123" s="12"/>
      <c r="AE1123" s="12"/>
    </row>
    <row r="1124" customFormat="false" ht="15.75" hidden="false" customHeight="false" outlineLevel="0" collapsed="false">
      <c r="A1124" s="12"/>
      <c r="B1124" s="13" t="s">
        <v>528</v>
      </c>
      <c r="C1124" s="14" t="s">
        <v>4386</v>
      </c>
      <c r="D1124" s="24" t="s">
        <v>1429</v>
      </c>
      <c r="E1124" s="25" t="s">
        <v>4387</v>
      </c>
      <c r="F1124" s="17" t="s">
        <v>4388</v>
      </c>
      <c r="G1124" s="17" t="s">
        <v>476</v>
      </c>
      <c r="H1124" s="17" t="s">
        <v>477</v>
      </c>
      <c r="I1124" s="17" t="s">
        <v>36</v>
      </c>
      <c r="J1124" s="32" t="s">
        <v>1816</v>
      </c>
      <c r="K1124" s="17" t="n">
        <v>1968</v>
      </c>
      <c r="L1124" s="17" t="s">
        <v>99</v>
      </c>
      <c r="M1124" s="27" t="s">
        <v>74</v>
      </c>
      <c r="N1124" s="17" t="s">
        <v>4389</v>
      </c>
      <c r="O1124" s="68"/>
      <c r="P1124" s="40" t="s">
        <v>150</v>
      </c>
      <c r="Q1124" s="12"/>
      <c r="R1124" s="12"/>
      <c r="S1124" s="12"/>
      <c r="T1124" s="12"/>
      <c r="U1124" s="12"/>
      <c r="V1124" s="21"/>
      <c r="Z1124" s="12"/>
      <c r="AA1124" s="29" t="n">
        <v>5</v>
      </c>
      <c r="AB1124" s="12" t="s">
        <v>1427</v>
      </c>
      <c r="AC1124" s="12"/>
      <c r="AD1124" s="12"/>
      <c r="AE1124" s="12"/>
    </row>
    <row r="1125" customFormat="false" ht="15.75" hidden="false" customHeight="false" outlineLevel="0" collapsed="false">
      <c r="A1125" s="12"/>
      <c r="B1125" s="13" t="s">
        <v>528</v>
      </c>
      <c r="C1125" s="14" t="s">
        <v>4390</v>
      </c>
      <c r="D1125" s="24" t="s">
        <v>4391</v>
      </c>
      <c r="E1125" s="25" t="s">
        <v>4392</v>
      </c>
      <c r="F1125" s="17" t="s">
        <v>4393</v>
      </c>
      <c r="G1125" s="17" t="s">
        <v>3213</v>
      </c>
      <c r="H1125" s="17" t="s">
        <v>369</v>
      </c>
      <c r="I1125" s="17" t="s">
        <v>36</v>
      </c>
      <c r="J1125" s="32" t="s">
        <v>1816</v>
      </c>
      <c r="K1125" s="17"/>
      <c r="L1125" s="17"/>
      <c r="M1125" s="27" t="s">
        <v>147</v>
      </c>
      <c r="N1125" s="17" t="s">
        <v>4394</v>
      </c>
      <c r="O1125" s="17" t="s">
        <v>157</v>
      </c>
      <c r="P1125" s="40" t="s">
        <v>150</v>
      </c>
      <c r="Q1125" s="12"/>
      <c r="R1125" s="12"/>
      <c r="S1125" s="12"/>
      <c r="T1125" s="12"/>
      <c r="U1125" s="12"/>
      <c r="V1125" s="21"/>
      <c r="Z1125" s="12"/>
      <c r="AA1125" s="29" t="n">
        <v>5</v>
      </c>
      <c r="AB1125" s="12" t="s">
        <v>533</v>
      </c>
      <c r="AC1125" s="12"/>
      <c r="AD1125" s="12"/>
      <c r="AE1125" s="12"/>
    </row>
    <row r="1126" customFormat="false" ht="15.75" hidden="false" customHeight="false" outlineLevel="0" collapsed="false">
      <c r="A1126" s="12"/>
      <c r="B1126" s="13" t="s">
        <v>528</v>
      </c>
      <c r="C1126" s="14" t="s">
        <v>4395</v>
      </c>
      <c r="D1126" s="24" t="s">
        <v>94</v>
      </c>
      <c r="E1126" s="25" t="s">
        <v>4396</v>
      </c>
      <c r="F1126" s="17" t="s">
        <v>4397</v>
      </c>
      <c r="G1126" s="17" t="s">
        <v>145</v>
      </c>
      <c r="H1126" s="17" t="s">
        <v>146</v>
      </c>
      <c r="I1126" s="17" t="s">
        <v>36</v>
      </c>
      <c r="J1126" s="32" t="s">
        <v>1816</v>
      </c>
      <c r="K1126" s="17" t="n">
        <v>1982</v>
      </c>
      <c r="L1126" s="17" t="s">
        <v>73</v>
      </c>
      <c r="M1126" s="27" t="s">
        <v>74</v>
      </c>
      <c r="N1126" s="68" t="s">
        <v>1403</v>
      </c>
      <c r="O1126" s="68" t="s">
        <v>157</v>
      </c>
      <c r="P1126" s="40" t="s">
        <v>150</v>
      </c>
      <c r="Q1126" s="12"/>
      <c r="R1126" s="12"/>
      <c r="S1126" s="12"/>
      <c r="T1126" s="12"/>
      <c r="U1126" s="12"/>
      <c r="V1126" s="21"/>
      <c r="Z1126" s="12"/>
      <c r="AA1126" s="29" t="n">
        <v>3</v>
      </c>
      <c r="AB1126" s="12" t="s">
        <v>4398</v>
      </c>
      <c r="AC1126" s="12"/>
      <c r="AD1126" s="12"/>
      <c r="AE1126" s="12"/>
    </row>
    <row r="1127" customFormat="false" ht="15.75" hidden="false" customHeight="false" outlineLevel="0" collapsed="false">
      <c r="A1127" s="12"/>
      <c r="B1127" s="13" t="s">
        <v>528</v>
      </c>
      <c r="C1127" s="14" t="s">
        <v>4399</v>
      </c>
      <c r="D1127" s="24" t="s">
        <v>4380</v>
      </c>
      <c r="E1127" s="25" t="s">
        <v>4400</v>
      </c>
      <c r="F1127" s="17" t="s">
        <v>4401</v>
      </c>
      <c r="G1127" s="17" t="s">
        <v>3213</v>
      </c>
      <c r="H1127" s="17" t="s">
        <v>369</v>
      </c>
      <c r="I1127" s="17" t="s">
        <v>36</v>
      </c>
      <c r="J1127" s="32" t="s">
        <v>1816</v>
      </c>
      <c r="K1127" s="17" t="n">
        <v>1961</v>
      </c>
      <c r="L1127" s="17" t="s">
        <v>73</v>
      </c>
      <c r="M1127" s="27" t="s">
        <v>147</v>
      </c>
      <c r="N1127" s="17" t="s">
        <v>4402</v>
      </c>
      <c r="O1127" s="17" t="s">
        <v>157</v>
      </c>
      <c r="P1127" s="40" t="s">
        <v>150</v>
      </c>
      <c r="Q1127" s="12"/>
      <c r="R1127" s="12"/>
      <c r="S1127" s="12"/>
      <c r="T1127" s="12"/>
      <c r="U1127" s="12"/>
      <c r="V1127" s="21"/>
      <c r="Z1127" s="12"/>
      <c r="AA1127" s="29" t="n">
        <v>3</v>
      </c>
      <c r="AB1127" s="12" t="s">
        <v>533</v>
      </c>
      <c r="AC1127" s="12"/>
      <c r="AD1127" s="12"/>
      <c r="AE1127" s="12"/>
    </row>
    <row r="1128" customFormat="false" ht="15.75" hidden="false" customHeight="false" outlineLevel="0" collapsed="false">
      <c r="A1128" s="12"/>
      <c r="B1128" s="13" t="s">
        <v>528</v>
      </c>
      <c r="C1128" s="14" t="s">
        <v>4403</v>
      </c>
      <c r="D1128" s="24" t="s">
        <v>4391</v>
      </c>
      <c r="E1128" s="25" t="s">
        <v>4404</v>
      </c>
      <c r="F1128" s="17" t="s">
        <v>4405</v>
      </c>
      <c r="G1128" s="17" t="s">
        <v>4406</v>
      </c>
      <c r="H1128" s="17" t="s">
        <v>390</v>
      </c>
      <c r="I1128" s="17" t="s">
        <v>36</v>
      </c>
      <c r="J1128" s="32" t="s">
        <v>1816</v>
      </c>
      <c r="K1128" s="17" t="n">
        <v>1949</v>
      </c>
      <c r="L1128" s="17" t="s">
        <v>330</v>
      </c>
      <c r="M1128" s="27" t="s">
        <v>147</v>
      </c>
      <c r="N1128" s="17" t="s">
        <v>1403</v>
      </c>
      <c r="O1128" s="17" t="s">
        <v>157</v>
      </c>
      <c r="P1128" s="40" t="s">
        <v>150</v>
      </c>
      <c r="Q1128" s="12"/>
      <c r="R1128" s="12"/>
      <c r="S1128" s="12"/>
      <c r="T1128" s="12"/>
      <c r="U1128" s="12"/>
      <c r="V1128" s="21"/>
      <c r="Z1128" s="12"/>
      <c r="AA1128" s="29" t="n">
        <v>5</v>
      </c>
      <c r="AB1128" s="12" t="s">
        <v>4398</v>
      </c>
      <c r="AC1128" s="12"/>
      <c r="AD1128" s="12"/>
      <c r="AE1128" s="12"/>
    </row>
    <row r="1129" customFormat="false" ht="15.75" hidden="false" customHeight="false" outlineLevel="0" collapsed="false">
      <c r="A1129" s="12"/>
      <c r="B1129" s="20"/>
      <c r="C1129" s="41" t="s">
        <v>4407</v>
      </c>
      <c r="D1129" s="24" t="s">
        <v>51</v>
      </c>
      <c r="E1129" s="16" t="s">
        <v>4408</v>
      </c>
      <c r="F1129" s="49" t="s">
        <v>4409</v>
      </c>
      <c r="G1129" s="17"/>
      <c r="H1129" s="17"/>
      <c r="I1129" s="26" t="s">
        <v>166</v>
      </c>
      <c r="J1129" s="32" t="s">
        <v>3769</v>
      </c>
      <c r="K1129" s="17"/>
      <c r="L1129" s="17"/>
      <c r="M1129" s="50"/>
      <c r="N1129" s="17"/>
      <c r="O1129" s="17"/>
      <c r="P1129" s="40" t="s">
        <v>168</v>
      </c>
      <c r="Q1129" s="12"/>
      <c r="R1129" s="12"/>
      <c r="S1129" s="12"/>
      <c r="T1129" s="12" t="s">
        <v>4410</v>
      </c>
      <c r="U1129" s="12" t="s">
        <v>4411</v>
      </c>
      <c r="V1129" s="21" t="s">
        <v>31</v>
      </c>
      <c r="Z1129" s="12"/>
      <c r="AA1129" s="29" t="n">
        <v>3</v>
      </c>
      <c r="AB1129" s="50" t="s">
        <v>4412</v>
      </c>
      <c r="AC1129" s="12"/>
      <c r="AD1129" s="12"/>
      <c r="AE1129" s="12"/>
      <c r="AG1129" s="47"/>
    </row>
    <row r="1130" customFormat="false" ht="15.75" hidden="false" customHeight="false" outlineLevel="0" collapsed="false">
      <c r="A1130" s="12"/>
      <c r="B1130" s="13"/>
      <c r="C1130" s="14" t="s">
        <v>4413</v>
      </c>
      <c r="D1130" s="24" t="s">
        <v>61</v>
      </c>
      <c r="E1130" s="16" t="s">
        <v>4414</v>
      </c>
      <c r="F1130" s="16" t="s">
        <v>4415</v>
      </c>
      <c r="G1130" s="17"/>
      <c r="H1130" s="17"/>
      <c r="I1130" s="26" t="s">
        <v>166</v>
      </c>
      <c r="J1130" s="32" t="s">
        <v>4416</v>
      </c>
      <c r="K1130" s="17"/>
      <c r="L1130" s="17"/>
      <c r="M1130" s="78"/>
      <c r="N1130" s="17"/>
      <c r="O1130" s="17"/>
      <c r="P1130" s="40" t="s">
        <v>168</v>
      </c>
      <c r="Q1130" s="12"/>
      <c r="R1130" s="12" t="s">
        <v>4417</v>
      </c>
      <c r="S1130" s="12"/>
      <c r="T1130" s="12" t="s">
        <v>4418</v>
      </c>
      <c r="U1130" s="12"/>
      <c r="V1130" s="21" t="s">
        <v>31</v>
      </c>
      <c r="Z1130" s="12"/>
      <c r="AA1130" s="29" t="n">
        <v>2</v>
      </c>
      <c r="AB1130" s="78" t="s">
        <v>4419</v>
      </c>
      <c r="AC1130" s="12"/>
      <c r="AD1130" s="12"/>
      <c r="AE1130" s="12"/>
      <c r="AF1130" s="47"/>
      <c r="AG1130" s="47"/>
    </row>
    <row r="1131" customFormat="false" ht="15.75" hidden="false" customHeight="false" outlineLevel="0" collapsed="false">
      <c r="A1131" s="12" t="str">
        <f aca="false">IF((AA1131&gt;=4), "Y", "N")</f>
        <v>Y</v>
      </c>
      <c r="B1131" s="13"/>
      <c r="C1131" s="31" t="s">
        <v>4420</v>
      </c>
      <c r="D1131" s="16" t="s">
        <v>94</v>
      </c>
      <c r="E1131" s="32" t="s">
        <v>4421</v>
      </c>
      <c r="F1131" s="17"/>
      <c r="G1131" s="17" t="s">
        <v>2652</v>
      </c>
      <c r="H1131" s="17" t="s">
        <v>4422</v>
      </c>
      <c r="I1131" s="26" t="s">
        <v>266</v>
      </c>
      <c r="J1131" s="32" t="s">
        <v>3769</v>
      </c>
      <c r="K1131" s="33" t="n">
        <v>1959</v>
      </c>
      <c r="L1131" s="33" t="s">
        <v>73</v>
      </c>
      <c r="M1131" s="27"/>
      <c r="N1131" s="17" t="s">
        <v>4423</v>
      </c>
      <c r="O1131" s="17"/>
      <c r="P1131" s="40" t="s">
        <v>268</v>
      </c>
      <c r="Q1131" s="12"/>
      <c r="R1131" s="12"/>
      <c r="S1131" s="12"/>
      <c r="T1131" s="12"/>
      <c r="U1131" s="12"/>
      <c r="V1131" s="21"/>
      <c r="Z1131" s="12"/>
      <c r="AA1131" s="29" t="str">
        <f aca="false">IF(P1131="OD500 MX", "5", " ")</f>
        <v>5</v>
      </c>
      <c r="AB1131" s="12"/>
      <c r="AC1131" s="12"/>
      <c r="AD1131" s="12"/>
      <c r="AE1131" s="12"/>
    </row>
    <row r="1132" customFormat="false" ht="15.75" hidden="false" customHeight="false" outlineLevel="0" collapsed="false">
      <c r="A1132" s="12" t="str">
        <f aca="false">IF((AA1132&gt;=4), "Y", "N")</f>
        <v>Y</v>
      </c>
      <c r="B1132" s="12"/>
      <c r="C1132" s="23" t="s">
        <v>4424</v>
      </c>
      <c r="D1132" s="24" t="s">
        <v>94</v>
      </c>
      <c r="E1132" s="25" t="s">
        <v>4425</v>
      </c>
      <c r="F1132" s="17" t="s">
        <v>4426</v>
      </c>
      <c r="G1132" s="17" t="s">
        <v>2544</v>
      </c>
      <c r="H1132" s="17" t="s">
        <v>423</v>
      </c>
      <c r="I1132" s="17" t="s">
        <v>36</v>
      </c>
      <c r="J1132" s="32" t="s">
        <v>3769</v>
      </c>
      <c r="K1132" s="17" t="n">
        <v>2000</v>
      </c>
      <c r="L1132" s="38" t="s">
        <v>99</v>
      </c>
      <c r="M1132" s="27"/>
      <c r="N1132" s="37" t="s">
        <v>663</v>
      </c>
      <c r="O1132" s="17"/>
      <c r="P1132" s="40" t="s">
        <v>111</v>
      </c>
      <c r="V1132" s="60"/>
      <c r="AA1132" s="63" t="n">
        <v>5</v>
      </c>
    </row>
    <row r="1133" customFormat="false" ht="15.75" hidden="false" customHeight="false" outlineLevel="0" collapsed="false">
      <c r="A1133" s="12" t="str">
        <f aca="false">IF((AA1133&gt;=4), "Y", "N")</f>
        <v>Y</v>
      </c>
      <c r="B1133" s="12"/>
      <c r="C1133" s="23" t="s">
        <v>4427</v>
      </c>
      <c r="D1133" s="16" t="s">
        <v>94</v>
      </c>
      <c r="E1133" s="25" t="s">
        <v>4428</v>
      </c>
      <c r="F1133" s="17" t="s">
        <v>4429</v>
      </c>
      <c r="G1133" s="17" t="s">
        <v>2292</v>
      </c>
      <c r="H1133" s="17" t="s">
        <v>72</v>
      </c>
      <c r="I1133" s="17" t="s">
        <v>36</v>
      </c>
      <c r="J1133" s="32" t="s">
        <v>3769</v>
      </c>
      <c r="K1133" s="17" t="n">
        <v>2001</v>
      </c>
      <c r="L1133" s="33"/>
      <c r="M1133" s="27"/>
      <c r="N1133" s="37" t="s">
        <v>1342</v>
      </c>
      <c r="O1133" s="17"/>
      <c r="P1133" s="40" t="s">
        <v>111</v>
      </c>
      <c r="Q1133" s="12"/>
      <c r="R1133" s="12"/>
      <c r="S1133" s="12"/>
      <c r="T1133" s="12"/>
      <c r="U1133" s="12"/>
      <c r="V1133" s="21"/>
      <c r="Z1133" s="12"/>
      <c r="AA1133" s="29" t="n">
        <v>5</v>
      </c>
      <c r="AB1133" s="12"/>
      <c r="AC1133" s="12"/>
      <c r="AD1133" s="12"/>
      <c r="AE1133" s="12"/>
    </row>
    <row r="1134" customFormat="false" ht="15.75" hidden="false" customHeight="false" outlineLevel="0" collapsed="false">
      <c r="A1134" s="12" t="str">
        <f aca="false">IF((AA1134&gt;=4), "Y", "N")</f>
        <v>Y</v>
      </c>
      <c r="B1134" s="12"/>
      <c r="C1134" s="23" t="s">
        <v>4430</v>
      </c>
      <c r="D1134" s="24" t="s">
        <v>94</v>
      </c>
      <c r="E1134" s="25" t="s">
        <v>4431</v>
      </c>
      <c r="F1134" s="17" t="s">
        <v>4432</v>
      </c>
      <c r="G1134" s="17" t="s">
        <v>4433</v>
      </c>
      <c r="H1134" s="17" t="s">
        <v>390</v>
      </c>
      <c r="I1134" s="17" t="s">
        <v>36</v>
      </c>
      <c r="J1134" s="32" t="s">
        <v>3769</v>
      </c>
      <c r="K1134" s="17" t="n">
        <v>2008</v>
      </c>
      <c r="L1134" s="38" t="s">
        <v>109</v>
      </c>
      <c r="M1134" s="27"/>
      <c r="N1134" s="37" t="s">
        <v>663</v>
      </c>
      <c r="O1134" s="17"/>
      <c r="P1134" s="40" t="s">
        <v>111</v>
      </c>
      <c r="Q1134" s="20"/>
      <c r="R1134" s="20"/>
      <c r="S1134" s="20"/>
      <c r="T1134" s="20"/>
      <c r="U1134" s="20"/>
      <c r="V1134" s="45"/>
      <c r="Z1134" s="20"/>
      <c r="AA1134" s="22" t="n">
        <v>4</v>
      </c>
      <c r="AB1134" s="20"/>
      <c r="AC1134" s="20"/>
      <c r="AD1134" s="20"/>
      <c r="AE1134" s="20"/>
    </row>
    <row r="1135" customFormat="false" ht="15.75" hidden="false" customHeight="false" outlineLevel="0" collapsed="false">
      <c r="A1135" s="12" t="str">
        <f aca="false">IF((AA1135&gt;=4), "Y", "N")</f>
        <v>Y</v>
      </c>
      <c r="B1135" s="12"/>
      <c r="C1135" s="23" t="s">
        <v>4434</v>
      </c>
      <c r="D1135" s="24" t="s">
        <v>94</v>
      </c>
      <c r="E1135" s="25" t="s">
        <v>4435</v>
      </c>
      <c r="F1135" s="17" t="s">
        <v>4436</v>
      </c>
      <c r="G1135" s="17" t="s">
        <v>296</v>
      </c>
      <c r="H1135" s="17" t="s">
        <v>297</v>
      </c>
      <c r="I1135" s="17" t="s">
        <v>36</v>
      </c>
      <c r="J1135" s="32" t="s">
        <v>3769</v>
      </c>
      <c r="K1135" s="17" t="n">
        <v>2006</v>
      </c>
      <c r="L1135" s="38" t="s">
        <v>73</v>
      </c>
      <c r="M1135" s="27"/>
      <c r="N1135" s="37" t="s">
        <v>663</v>
      </c>
      <c r="O1135" s="17"/>
      <c r="P1135" s="40" t="s">
        <v>111</v>
      </c>
      <c r="Q1135" s="17"/>
      <c r="R1135" s="17"/>
      <c r="S1135" s="17"/>
      <c r="T1135" s="17"/>
      <c r="U1135" s="17"/>
      <c r="V1135" s="27"/>
      <c r="Z1135" s="17"/>
      <c r="AA1135" s="29" t="n">
        <v>5</v>
      </c>
      <c r="AB1135" s="17"/>
      <c r="AC1135" s="17"/>
      <c r="AD1135" s="17"/>
      <c r="AE1135" s="17"/>
    </row>
    <row r="1136" customFormat="false" ht="15.75" hidden="false" customHeight="false" outlineLevel="0" collapsed="false">
      <c r="A1136" s="12" t="str">
        <f aca="false">IF((AA1136&gt;=4), "Y", "N")</f>
        <v>Y</v>
      </c>
      <c r="B1136" s="12"/>
      <c r="C1136" s="23" t="s">
        <v>4437</v>
      </c>
      <c r="D1136" s="24" t="s">
        <v>94</v>
      </c>
      <c r="E1136" s="25" t="s">
        <v>4438</v>
      </c>
      <c r="F1136" s="17" t="s">
        <v>4439</v>
      </c>
      <c r="G1136" s="17" t="s">
        <v>1092</v>
      </c>
      <c r="H1136" s="17" t="s">
        <v>1093</v>
      </c>
      <c r="I1136" s="17" t="s">
        <v>36</v>
      </c>
      <c r="J1136" s="32" t="s">
        <v>3769</v>
      </c>
      <c r="K1136" s="17" t="n">
        <v>2008</v>
      </c>
      <c r="L1136" s="38" t="s">
        <v>330</v>
      </c>
      <c r="M1136" s="27"/>
      <c r="N1136" s="37" t="s">
        <v>663</v>
      </c>
      <c r="O1136" s="17"/>
      <c r="P1136" s="40" t="s">
        <v>111</v>
      </c>
      <c r="Q1136" s="12"/>
      <c r="R1136" s="12"/>
      <c r="S1136" s="12"/>
      <c r="T1136" s="12"/>
      <c r="U1136" s="12"/>
      <c r="V1136" s="21"/>
      <c r="Z1136" s="12"/>
      <c r="AA1136" s="29" t="n">
        <v>5</v>
      </c>
      <c r="AB1136" s="12"/>
      <c r="AC1136" s="12"/>
      <c r="AD1136" s="12"/>
      <c r="AE1136" s="12"/>
    </row>
    <row r="1137" customFormat="false" ht="15.75" hidden="false" customHeight="false" outlineLevel="0" collapsed="false">
      <c r="A1137" s="12" t="str">
        <f aca="false">IF((AA1137&gt;=4), "Y", "N")</f>
        <v>Y</v>
      </c>
      <c r="B1137" s="12"/>
      <c r="C1137" s="23" t="s">
        <v>4440</v>
      </c>
      <c r="D1137" s="24" t="s">
        <v>51</v>
      </c>
      <c r="E1137" s="25" t="s">
        <v>4441</v>
      </c>
      <c r="F1137" s="17" t="s">
        <v>4442</v>
      </c>
      <c r="G1137" s="17" t="s">
        <v>3738</v>
      </c>
      <c r="H1137" s="17" t="s">
        <v>336</v>
      </c>
      <c r="I1137" s="17" t="s">
        <v>36</v>
      </c>
      <c r="J1137" s="32" t="s">
        <v>3769</v>
      </c>
      <c r="K1137" s="17" t="n">
        <v>1907</v>
      </c>
      <c r="L1137" s="33" t="s">
        <v>275</v>
      </c>
      <c r="M1137" s="27"/>
      <c r="N1137" s="37" t="s">
        <v>4443</v>
      </c>
      <c r="O1137" s="17"/>
      <c r="P1137" s="40" t="s">
        <v>111</v>
      </c>
      <c r="Q1137" s="12"/>
      <c r="R1137" s="12"/>
      <c r="S1137" s="12"/>
      <c r="T1137" s="12"/>
      <c r="U1137" s="12"/>
      <c r="V1137" s="21"/>
      <c r="Z1137" s="12"/>
      <c r="AA1137" s="29" t="n">
        <v>5</v>
      </c>
      <c r="AB1137" s="12"/>
      <c r="AC1137" s="12"/>
      <c r="AD1137" s="12"/>
      <c r="AE1137" s="12"/>
    </row>
    <row r="1138" customFormat="false" ht="15.75" hidden="false" customHeight="false" outlineLevel="0" collapsed="false">
      <c r="A1138" s="12" t="str">
        <f aca="false">IF((AA1138&gt;=4), "Y", "N")</f>
        <v>Y</v>
      </c>
      <c r="B1138" s="13"/>
      <c r="C1138" s="31" t="s">
        <v>4444</v>
      </c>
      <c r="D1138" s="16" t="s">
        <v>94</v>
      </c>
      <c r="E1138" s="32" t="s">
        <v>4445</v>
      </c>
      <c r="F1138" s="32" t="s">
        <v>4446</v>
      </c>
      <c r="G1138" s="32" t="s">
        <v>97</v>
      </c>
      <c r="H1138" s="17" t="s">
        <v>98</v>
      </c>
      <c r="I1138" s="17" t="s">
        <v>36</v>
      </c>
      <c r="J1138" s="32" t="s">
        <v>3769</v>
      </c>
      <c r="K1138" s="33" t="n">
        <v>2006</v>
      </c>
      <c r="L1138" s="33" t="s">
        <v>99</v>
      </c>
      <c r="M1138" s="27"/>
      <c r="N1138" s="37" t="s">
        <v>663</v>
      </c>
      <c r="O1138" s="17"/>
      <c r="P1138" s="19" t="s">
        <v>76</v>
      </c>
      <c r="R1138" s="0" t="s">
        <v>4447</v>
      </c>
      <c r="T1138" s="0" t="s">
        <v>4448</v>
      </c>
      <c r="V1138" s="21" t="s">
        <v>31</v>
      </c>
      <c r="AA1138" s="22" t="str">
        <f aca="false">IF(P1138="OD500 US (submitted)", "5", " ")</f>
        <v>5</v>
      </c>
    </row>
    <row r="1139" customFormat="false" ht="15.75" hidden="false" customHeight="false" outlineLevel="0" collapsed="false">
      <c r="A1139" s="12" t="str">
        <f aca="false">IF((AA1139&gt;=4), "Y", "N")</f>
        <v>Y</v>
      </c>
      <c r="B1139" s="12"/>
      <c r="C1139" s="23" t="s">
        <v>4449</v>
      </c>
      <c r="D1139" s="24" t="s">
        <v>94</v>
      </c>
      <c r="E1139" s="25" t="s">
        <v>4450</v>
      </c>
      <c r="F1139" s="17" t="s">
        <v>4451</v>
      </c>
      <c r="G1139" s="17" t="s">
        <v>4452</v>
      </c>
      <c r="H1139" s="17" t="s">
        <v>4453</v>
      </c>
      <c r="I1139" s="17" t="s">
        <v>36</v>
      </c>
      <c r="J1139" s="32" t="s">
        <v>3769</v>
      </c>
      <c r="K1139" s="17" t="n">
        <v>1998</v>
      </c>
      <c r="L1139" s="38" t="s">
        <v>99</v>
      </c>
      <c r="M1139" s="27"/>
      <c r="N1139" s="37" t="s">
        <v>663</v>
      </c>
      <c r="O1139" s="17"/>
      <c r="P1139" s="40" t="s">
        <v>111</v>
      </c>
      <c r="Q1139" s="12"/>
      <c r="R1139" s="12"/>
      <c r="S1139" s="12"/>
      <c r="T1139" s="12"/>
      <c r="U1139" s="12"/>
      <c r="V1139" s="21"/>
      <c r="Z1139" s="12"/>
      <c r="AA1139" s="29" t="n">
        <v>4</v>
      </c>
      <c r="AB1139" s="12"/>
      <c r="AC1139" s="12"/>
      <c r="AD1139" s="12"/>
      <c r="AE1139" s="12"/>
    </row>
    <row r="1140" customFormat="false" ht="15.75" hidden="false" customHeight="false" outlineLevel="0" collapsed="false">
      <c r="A1140" s="12" t="str">
        <f aca="false">IF((AA1140&gt;=4), "Y", "N")</f>
        <v>Y</v>
      </c>
      <c r="B1140" s="13"/>
      <c r="C1140" s="31" t="s">
        <v>4454</v>
      </c>
      <c r="D1140" s="16" t="s">
        <v>94</v>
      </c>
      <c r="E1140" s="32" t="s">
        <v>4455</v>
      </c>
      <c r="F1140" s="32" t="s">
        <v>4456</v>
      </c>
      <c r="G1140" s="32" t="s">
        <v>4457</v>
      </c>
      <c r="H1140" s="17" t="s">
        <v>297</v>
      </c>
      <c r="I1140" s="17" t="s">
        <v>36</v>
      </c>
      <c r="J1140" s="32" t="s">
        <v>3769</v>
      </c>
      <c r="K1140" s="33" t="n">
        <v>2008</v>
      </c>
      <c r="L1140" s="33" t="s">
        <v>73</v>
      </c>
      <c r="M1140" s="27"/>
      <c r="N1140" s="37" t="s">
        <v>707</v>
      </c>
      <c r="O1140" s="17"/>
      <c r="P1140" s="19" t="s">
        <v>76</v>
      </c>
      <c r="Q1140" s="12"/>
      <c r="R1140" s="12" t="s">
        <v>4458</v>
      </c>
      <c r="S1140" s="12"/>
      <c r="T1140" s="12" t="s">
        <v>4459</v>
      </c>
      <c r="U1140" s="12"/>
      <c r="V1140" s="21" t="s">
        <v>31</v>
      </c>
      <c r="Z1140" s="12"/>
      <c r="AA1140" s="22" t="str">
        <f aca="false">IF(P1140="OD500 US (submitted)", "5", " ")</f>
        <v>5</v>
      </c>
      <c r="AB1140" s="12"/>
      <c r="AC1140" s="12"/>
      <c r="AD1140" s="12"/>
      <c r="AE1140" s="12"/>
    </row>
    <row r="1141" customFormat="false" ht="15.75" hidden="false" customHeight="false" outlineLevel="0" collapsed="false">
      <c r="A1141" s="12" t="str">
        <f aca="false">IF((AA1141&gt;=4), "Y", "N")</f>
        <v>Y</v>
      </c>
      <c r="B1141" s="13"/>
      <c r="C1141" s="31" t="s">
        <v>4460</v>
      </c>
      <c r="D1141" s="16" t="s">
        <v>94</v>
      </c>
      <c r="E1141" s="32" t="s">
        <v>4461</v>
      </c>
      <c r="F1141" s="32" t="s">
        <v>4462</v>
      </c>
      <c r="G1141" s="32" t="s">
        <v>1611</v>
      </c>
      <c r="H1141" s="17" t="s">
        <v>297</v>
      </c>
      <c r="I1141" s="17" t="s">
        <v>36</v>
      </c>
      <c r="J1141" s="32" t="s">
        <v>3769</v>
      </c>
      <c r="K1141" s="33" t="n">
        <v>2010</v>
      </c>
      <c r="L1141" s="33" t="s">
        <v>73</v>
      </c>
      <c r="M1141" s="27"/>
      <c r="N1141" s="39" t="s">
        <v>663</v>
      </c>
      <c r="O1141" s="17"/>
      <c r="P1141" s="19" t="s">
        <v>76</v>
      </c>
      <c r="Q1141" s="17"/>
      <c r="R1141" s="17" t="s">
        <v>4463</v>
      </c>
      <c r="S1141" s="17"/>
      <c r="T1141" s="17" t="s">
        <v>4464</v>
      </c>
      <c r="U1141" s="17"/>
      <c r="V1141" s="21" t="s">
        <v>31</v>
      </c>
      <c r="Z1141" s="17"/>
      <c r="AA1141" s="22" t="str">
        <f aca="false">IF(P1141="OD500 US (submitted)", "5", " ")</f>
        <v>5</v>
      </c>
      <c r="AB1141" s="17"/>
      <c r="AC1141" s="17"/>
      <c r="AD1141" s="17"/>
      <c r="AE1141" s="17"/>
    </row>
    <row r="1142" customFormat="false" ht="15.75" hidden="false" customHeight="false" outlineLevel="0" collapsed="false">
      <c r="A1142" s="12" t="str">
        <f aca="false">IF((AA1142&gt;=4), "Y", "N")</f>
        <v>Y</v>
      </c>
      <c r="B1142" s="12"/>
      <c r="C1142" s="23" t="s">
        <v>4465</v>
      </c>
      <c r="D1142" s="24" t="s">
        <v>94</v>
      </c>
      <c r="E1142" s="25" t="s">
        <v>4466</v>
      </c>
      <c r="F1142" s="17" t="s">
        <v>4467</v>
      </c>
      <c r="G1142" s="17" t="s">
        <v>4468</v>
      </c>
      <c r="H1142" s="26" t="s">
        <v>297</v>
      </c>
      <c r="I1142" s="17" t="s">
        <v>36</v>
      </c>
      <c r="J1142" s="32" t="s">
        <v>3769</v>
      </c>
      <c r="K1142" s="17" t="n">
        <v>2001</v>
      </c>
      <c r="L1142" s="38" t="s">
        <v>73</v>
      </c>
      <c r="M1142" s="27"/>
      <c r="N1142" s="17"/>
      <c r="O1142" s="17"/>
      <c r="P1142" s="40" t="s">
        <v>111</v>
      </c>
      <c r="Q1142" s="12"/>
      <c r="R1142" s="12"/>
      <c r="S1142" s="12"/>
      <c r="T1142" s="12"/>
      <c r="U1142" s="12"/>
      <c r="V1142" s="21"/>
      <c r="Z1142" s="12"/>
      <c r="AA1142" s="29" t="n">
        <v>5</v>
      </c>
      <c r="AB1142" s="12"/>
      <c r="AC1142" s="12"/>
      <c r="AD1142" s="12"/>
      <c r="AE1142" s="12"/>
    </row>
    <row r="1143" customFormat="false" ht="15.75" hidden="false" customHeight="false" outlineLevel="0" collapsed="false">
      <c r="A1143" s="12" t="str">
        <f aca="false">IF((AA1143&gt;=4), "Y", "N")</f>
        <v>Y</v>
      </c>
      <c r="B1143" s="12"/>
      <c r="C1143" s="23" t="s">
        <v>4469</v>
      </c>
      <c r="D1143" s="24"/>
      <c r="E1143" s="25" t="s">
        <v>4470</v>
      </c>
      <c r="F1143" s="17" t="s">
        <v>4471</v>
      </c>
      <c r="G1143" s="17" t="s">
        <v>4472</v>
      </c>
      <c r="H1143" s="26" t="s">
        <v>3482</v>
      </c>
      <c r="I1143" s="17" t="s">
        <v>36</v>
      </c>
      <c r="J1143" s="32" t="s">
        <v>3769</v>
      </c>
      <c r="K1143" s="17" t="n">
        <v>1876</v>
      </c>
      <c r="L1143" s="33"/>
      <c r="M1143" s="27"/>
      <c r="N1143" s="39" t="s">
        <v>298</v>
      </c>
      <c r="O1143" s="17"/>
      <c r="P1143" s="40" t="s">
        <v>111</v>
      </c>
      <c r="Q1143" s="12"/>
      <c r="R1143" s="12"/>
      <c r="S1143" s="12"/>
      <c r="T1143" s="12"/>
      <c r="U1143" s="12"/>
      <c r="V1143" s="21"/>
      <c r="Z1143" s="12"/>
      <c r="AA1143" s="29" t="n">
        <v>5</v>
      </c>
      <c r="AB1143" s="12"/>
      <c r="AC1143" s="12"/>
      <c r="AD1143" s="12"/>
      <c r="AE1143" s="12"/>
    </row>
    <row r="1144" customFormat="false" ht="15.75" hidden="false" customHeight="false" outlineLevel="0" collapsed="false">
      <c r="A1144" s="12" t="str">
        <f aca="false">IF((AA1144&gt;=4), "Y", "N")</f>
        <v>Y</v>
      </c>
      <c r="B1144" s="13"/>
      <c r="C1144" s="31" t="s">
        <v>4473</v>
      </c>
      <c r="D1144" s="16" t="s">
        <v>94</v>
      </c>
      <c r="E1144" s="32" t="s">
        <v>4474</v>
      </c>
      <c r="F1144" s="32" t="s">
        <v>4475</v>
      </c>
      <c r="G1144" s="32" t="s">
        <v>495</v>
      </c>
      <c r="H1144" s="26" t="s">
        <v>72</v>
      </c>
      <c r="I1144" s="17" t="s">
        <v>36</v>
      </c>
      <c r="J1144" s="32" t="s">
        <v>3769</v>
      </c>
      <c r="K1144" s="33" t="n">
        <v>2008</v>
      </c>
      <c r="L1144" s="33" t="s">
        <v>109</v>
      </c>
      <c r="M1144" s="27"/>
      <c r="N1144" s="44" t="s">
        <v>663</v>
      </c>
      <c r="O1144" s="17"/>
      <c r="P1144" s="19" t="s">
        <v>76</v>
      </c>
      <c r="Q1144" s="20"/>
      <c r="R1144" s="20" t="s">
        <v>4476</v>
      </c>
      <c r="S1144" s="20"/>
      <c r="T1144" s="20" t="s">
        <v>4477</v>
      </c>
      <c r="U1144" s="20"/>
      <c r="V1144" s="21" t="s">
        <v>31</v>
      </c>
      <c r="Z1144" s="20"/>
      <c r="AA1144" s="22" t="str">
        <f aca="false">IF(P1144="OD500 US (submitted)", "5", " ")</f>
        <v>5</v>
      </c>
      <c r="AB1144" s="20"/>
      <c r="AC1144" s="20"/>
      <c r="AD1144" s="20"/>
      <c r="AE1144" s="20"/>
    </row>
    <row r="1145" customFormat="false" ht="15.75" hidden="false" customHeight="false" outlineLevel="0" collapsed="false">
      <c r="A1145" s="12" t="str">
        <f aca="false">IF((AA1145&gt;=4), "Y", "N")</f>
        <v>Y</v>
      </c>
      <c r="B1145" s="13"/>
      <c r="C1145" s="31" t="s">
        <v>4478</v>
      </c>
      <c r="D1145" s="16" t="s">
        <v>94</v>
      </c>
      <c r="E1145" s="32" t="s">
        <v>4479</v>
      </c>
      <c r="F1145" s="32" t="s">
        <v>4480</v>
      </c>
      <c r="G1145" s="32" t="s">
        <v>4481</v>
      </c>
      <c r="H1145" s="26" t="s">
        <v>72</v>
      </c>
      <c r="I1145" s="17" t="s">
        <v>36</v>
      </c>
      <c r="J1145" s="32" t="s">
        <v>3769</v>
      </c>
      <c r="K1145" s="33" t="n">
        <v>2012</v>
      </c>
      <c r="L1145" s="33" t="s">
        <v>109</v>
      </c>
      <c r="M1145" s="27"/>
      <c r="N1145" s="44" t="s">
        <v>663</v>
      </c>
      <c r="O1145" s="17"/>
      <c r="P1145" s="19" t="s">
        <v>76</v>
      </c>
      <c r="Q1145" s="20"/>
      <c r="R1145" s="20" t="s">
        <v>4482</v>
      </c>
      <c r="S1145" s="20"/>
      <c r="T1145" s="20" t="s">
        <v>4483</v>
      </c>
      <c r="U1145" s="20"/>
      <c r="V1145" s="21" t="s">
        <v>31</v>
      </c>
      <c r="Z1145" s="20"/>
      <c r="AA1145" s="22" t="str">
        <f aca="false">IF(P1145="OD500 US (submitted)", "5", " ")</f>
        <v>5</v>
      </c>
      <c r="AB1145" s="20"/>
      <c r="AC1145" s="20"/>
      <c r="AD1145" s="20"/>
      <c r="AE1145" s="20"/>
    </row>
    <row r="1146" customFormat="false" ht="15.75" hidden="false" customHeight="false" outlineLevel="0" collapsed="false">
      <c r="A1146" s="12" t="str">
        <f aca="false">IF((AA1146&gt;=4), "Y", "N")</f>
        <v>Y</v>
      </c>
      <c r="B1146" s="12"/>
      <c r="C1146" s="23" t="s">
        <v>4484</v>
      </c>
      <c r="D1146" s="24" t="s">
        <v>94</v>
      </c>
      <c r="E1146" s="25" t="s">
        <v>4485</v>
      </c>
      <c r="F1146" s="17" t="s">
        <v>4486</v>
      </c>
      <c r="G1146" s="17" t="s">
        <v>963</v>
      </c>
      <c r="H1146" s="26" t="s">
        <v>72</v>
      </c>
      <c r="I1146" s="17" t="s">
        <v>36</v>
      </c>
      <c r="J1146" s="32" t="s">
        <v>3769</v>
      </c>
      <c r="K1146" s="17" t="n">
        <v>2011</v>
      </c>
      <c r="L1146" s="33"/>
      <c r="M1146" s="27"/>
      <c r="N1146" s="39" t="s">
        <v>663</v>
      </c>
      <c r="O1146" s="17"/>
      <c r="P1146" s="40" t="s">
        <v>111</v>
      </c>
      <c r="Q1146" s="17"/>
      <c r="R1146" s="17"/>
      <c r="S1146" s="17"/>
      <c r="T1146" s="17"/>
      <c r="U1146" s="17"/>
      <c r="V1146" s="27"/>
      <c r="Z1146" s="17"/>
      <c r="AA1146" s="29" t="n">
        <v>4</v>
      </c>
      <c r="AB1146" s="17"/>
      <c r="AC1146" s="17"/>
      <c r="AD1146" s="17"/>
      <c r="AE1146" s="17"/>
    </row>
    <row r="1147" customFormat="false" ht="15.75" hidden="false" customHeight="false" outlineLevel="0" collapsed="false">
      <c r="A1147" s="12" t="str">
        <f aca="false">IF((AA1147&gt;=4), "Y", "N")</f>
        <v>Y</v>
      </c>
      <c r="B1147" s="12"/>
      <c r="C1147" s="23" t="s">
        <v>4487</v>
      </c>
      <c r="D1147" s="24" t="s">
        <v>94</v>
      </c>
      <c r="E1147" s="25" t="s">
        <v>4488</v>
      </c>
      <c r="F1147" s="17" t="s">
        <v>4489</v>
      </c>
      <c r="G1147" s="17" t="s">
        <v>145</v>
      </c>
      <c r="H1147" s="26" t="s">
        <v>146</v>
      </c>
      <c r="I1147" s="17" t="s">
        <v>36</v>
      </c>
      <c r="J1147" s="32" t="s">
        <v>3769</v>
      </c>
      <c r="K1147" s="17" t="n">
        <v>1880</v>
      </c>
      <c r="L1147" s="33" t="s">
        <v>275</v>
      </c>
      <c r="M1147" s="27"/>
      <c r="N1147" s="17"/>
      <c r="O1147" s="17"/>
      <c r="P1147" s="40" t="s">
        <v>111</v>
      </c>
      <c r="Q1147" s="20"/>
      <c r="R1147" s="20"/>
      <c r="S1147" s="20"/>
      <c r="T1147" s="20"/>
      <c r="U1147" s="20"/>
      <c r="V1147" s="45"/>
      <c r="Z1147" s="20"/>
      <c r="AA1147" s="22" t="n">
        <v>5</v>
      </c>
      <c r="AB1147" s="20"/>
      <c r="AC1147" s="20"/>
      <c r="AD1147" s="20"/>
      <c r="AE1147" s="20"/>
    </row>
    <row r="1148" customFormat="false" ht="15.75" hidden="false" customHeight="false" outlineLevel="0" collapsed="false">
      <c r="A1148" s="12" t="str">
        <f aca="false">IF((AA1148&gt;=4), "Y", "N")</f>
        <v>Y</v>
      </c>
      <c r="B1148" s="13"/>
      <c r="C1148" s="31" t="s">
        <v>4490</v>
      </c>
      <c r="D1148" s="16" t="s">
        <v>51</v>
      </c>
      <c r="E1148" s="32" t="s">
        <v>4491</v>
      </c>
      <c r="F1148" s="32" t="s">
        <v>4492</v>
      </c>
      <c r="G1148" s="32" t="s">
        <v>302</v>
      </c>
      <c r="H1148" s="26" t="s">
        <v>303</v>
      </c>
      <c r="I1148" s="17" t="s">
        <v>36</v>
      </c>
      <c r="J1148" s="32" t="s">
        <v>3769</v>
      </c>
      <c r="K1148" s="33" t="n">
        <v>2009</v>
      </c>
      <c r="L1148" s="33" t="s">
        <v>99</v>
      </c>
      <c r="M1148" s="27"/>
      <c r="N1148" s="44" t="s">
        <v>663</v>
      </c>
      <c r="O1148" s="17"/>
      <c r="P1148" s="19" t="s">
        <v>76</v>
      </c>
      <c r="Q1148" s="20"/>
      <c r="R1148" s="20" t="s">
        <v>4493</v>
      </c>
      <c r="S1148" s="20"/>
      <c r="T1148" s="20" t="s">
        <v>4494</v>
      </c>
      <c r="U1148" s="20"/>
      <c r="V1148" s="21" t="s">
        <v>31</v>
      </c>
      <c r="Z1148" s="20"/>
      <c r="AA1148" s="22" t="str">
        <f aca="false">IF(P1148="OD500 US (submitted)", "5", " ")</f>
        <v>5</v>
      </c>
      <c r="AB1148" s="20"/>
      <c r="AC1148" s="20"/>
      <c r="AD1148" s="20"/>
      <c r="AE1148" s="20"/>
    </row>
    <row r="1149" customFormat="false" ht="15.75" hidden="false" customHeight="false" outlineLevel="0" collapsed="false">
      <c r="A1149" s="12" t="str">
        <f aca="false">IF((AA1149&gt;=4), "Y", "N")</f>
        <v>Y</v>
      </c>
      <c r="B1149" s="13"/>
      <c r="C1149" s="31" t="s">
        <v>4495</v>
      </c>
      <c r="D1149" s="16" t="s">
        <v>94</v>
      </c>
      <c r="E1149" s="32" t="s">
        <v>4496</v>
      </c>
      <c r="F1149" s="32" t="s">
        <v>4497</v>
      </c>
      <c r="G1149" s="32" t="s">
        <v>495</v>
      </c>
      <c r="H1149" s="26" t="s">
        <v>72</v>
      </c>
      <c r="I1149" s="17" t="s">
        <v>36</v>
      </c>
      <c r="J1149" s="32" t="s">
        <v>3769</v>
      </c>
      <c r="K1149" s="33" t="n">
        <v>2011</v>
      </c>
      <c r="L1149" s="33" t="s">
        <v>99</v>
      </c>
      <c r="M1149" s="27"/>
      <c r="N1149" s="44" t="s">
        <v>663</v>
      </c>
      <c r="O1149" s="17"/>
      <c r="P1149" s="19" t="s">
        <v>76</v>
      </c>
      <c r="Q1149" s="12"/>
      <c r="R1149" s="12" t="s">
        <v>4498</v>
      </c>
      <c r="S1149" s="12"/>
      <c r="T1149" s="12" t="s">
        <v>4499</v>
      </c>
      <c r="U1149" s="12"/>
      <c r="V1149" s="21" t="s">
        <v>31</v>
      </c>
      <c r="Z1149" s="12"/>
      <c r="AA1149" s="22" t="str">
        <f aca="false">IF(P1149="OD500 US (submitted)", "5", " ")</f>
        <v>5</v>
      </c>
      <c r="AB1149" s="12"/>
      <c r="AC1149" s="12"/>
      <c r="AD1149" s="12"/>
      <c r="AE1149" s="12"/>
    </row>
    <row r="1150" customFormat="false" ht="15.75" hidden="false" customHeight="false" outlineLevel="0" collapsed="false">
      <c r="A1150" s="12" t="str">
        <f aca="false">IF((AA1150&gt;=4), "Y", "N")</f>
        <v>Y</v>
      </c>
      <c r="B1150" s="12"/>
      <c r="C1150" s="23" t="s">
        <v>4500</v>
      </c>
      <c r="D1150" s="24" t="s">
        <v>94</v>
      </c>
      <c r="E1150" s="25" t="s">
        <v>4501</v>
      </c>
      <c r="F1150" s="17" t="s">
        <v>4502</v>
      </c>
      <c r="G1150" s="17" t="s">
        <v>4503</v>
      </c>
      <c r="H1150" s="26" t="s">
        <v>297</v>
      </c>
      <c r="I1150" s="17" t="s">
        <v>36</v>
      </c>
      <c r="J1150" s="32" t="s">
        <v>3769</v>
      </c>
      <c r="K1150" s="17" t="n">
        <v>1993</v>
      </c>
      <c r="L1150" s="38" t="s">
        <v>109</v>
      </c>
      <c r="M1150" s="27"/>
      <c r="N1150" s="39" t="s">
        <v>663</v>
      </c>
      <c r="O1150" s="17"/>
      <c r="P1150" s="40" t="s">
        <v>111</v>
      </c>
      <c r="Q1150" s="20"/>
      <c r="R1150" s="20"/>
      <c r="S1150" s="20"/>
      <c r="T1150" s="20"/>
      <c r="U1150" s="20"/>
      <c r="V1150" s="45"/>
      <c r="Z1150" s="20"/>
      <c r="AA1150" s="22" t="n">
        <v>5</v>
      </c>
      <c r="AB1150" s="20"/>
      <c r="AC1150" s="20"/>
      <c r="AD1150" s="20"/>
      <c r="AE1150" s="20"/>
    </row>
    <row r="1151" customFormat="false" ht="15.75" hidden="false" customHeight="false" outlineLevel="0" collapsed="false">
      <c r="A1151" s="12" t="s">
        <v>193</v>
      </c>
      <c r="B1151" s="12" t="s">
        <v>1376</v>
      </c>
      <c r="C1151" s="23" t="s">
        <v>4504</v>
      </c>
      <c r="D1151" s="24" t="s">
        <v>620</v>
      </c>
      <c r="E1151" s="25" t="s">
        <v>4505</v>
      </c>
      <c r="F1151" s="17" t="s">
        <v>4506</v>
      </c>
      <c r="G1151" s="17"/>
      <c r="H1151" s="17"/>
      <c r="I1151" s="26" t="s">
        <v>525</v>
      </c>
      <c r="J1151" s="32" t="s">
        <v>763</v>
      </c>
      <c r="K1151" s="17"/>
      <c r="L1151" s="17"/>
      <c r="M1151" s="27" t="s">
        <v>147</v>
      </c>
      <c r="N1151" s="17"/>
      <c r="O1151" s="17"/>
      <c r="P1151" s="28" t="s">
        <v>59</v>
      </c>
      <c r="Q1151" s="12"/>
      <c r="R1151" s="12"/>
      <c r="S1151" s="12"/>
      <c r="T1151" s="12"/>
      <c r="U1151" s="12"/>
      <c r="V1151" s="21"/>
      <c r="Z1151" s="12"/>
      <c r="AA1151" s="29" t="n">
        <v>4</v>
      </c>
      <c r="AB1151" s="12" t="s">
        <v>4507</v>
      </c>
      <c r="AC1151" s="12"/>
      <c r="AD1151" s="12"/>
      <c r="AE1151" s="12"/>
    </row>
    <row r="1152" customFormat="false" ht="15.75" hidden="false" customHeight="false" outlineLevel="0" collapsed="false">
      <c r="A1152" s="12" t="s">
        <v>31</v>
      </c>
      <c r="B1152" s="20" t="s">
        <v>32</v>
      </c>
      <c r="C1152" s="41" t="s">
        <v>4508</v>
      </c>
      <c r="D1152" s="24" t="s">
        <v>94</v>
      </c>
      <c r="E1152" s="42" t="s">
        <v>4509</v>
      </c>
      <c r="F1152" s="43" t="s">
        <v>4510</v>
      </c>
      <c r="G1152" s="17"/>
      <c r="H1152" s="17"/>
      <c r="I1152" s="26" t="s">
        <v>82</v>
      </c>
      <c r="J1152" s="17" t="s">
        <v>763</v>
      </c>
      <c r="K1152" s="17" t="n">
        <v>2011</v>
      </c>
      <c r="L1152" s="17"/>
      <c r="M1152" s="27" t="s">
        <v>147</v>
      </c>
      <c r="N1152" s="17" t="s">
        <v>4511</v>
      </c>
      <c r="O1152" s="17" t="s">
        <v>675</v>
      </c>
      <c r="P1152" s="19" t="s">
        <v>84</v>
      </c>
      <c r="Q1152" s="12"/>
      <c r="R1152" s="12"/>
      <c r="S1152" s="12"/>
      <c r="T1152" s="12"/>
      <c r="U1152" s="12"/>
      <c r="V1152" s="21"/>
      <c r="Z1152" s="12"/>
      <c r="AA1152" s="29" t="n">
        <v>5</v>
      </c>
      <c r="AB1152" s="12" t="s">
        <v>4512</v>
      </c>
      <c r="AC1152" s="12"/>
      <c r="AD1152" s="12"/>
      <c r="AE1152" s="12"/>
    </row>
    <row r="1153" customFormat="false" ht="15.75" hidden="false" customHeight="false" outlineLevel="0" collapsed="false">
      <c r="A1153" s="12" t="s">
        <v>31</v>
      </c>
      <c r="B1153" s="12" t="s">
        <v>32</v>
      </c>
      <c r="C1153" s="23" t="s">
        <v>3068</v>
      </c>
      <c r="D1153" s="24" t="s">
        <v>620</v>
      </c>
      <c r="E1153" s="25" t="s">
        <v>4513</v>
      </c>
      <c r="F1153" s="17" t="s">
        <v>4514</v>
      </c>
      <c r="G1153" s="17"/>
      <c r="H1153" s="17"/>
      <c r="I1153" s="17" t="s">
        <v>36</v>
      </c>
      <c r="J1153" s="17" t="s">
        <v>763</v>
      </c>
      <c r="K1153" s="17"/>
      <c r="L1153" s="17"/>
      <c r="M1153" s="27" t="s">
        <v>147</v>
      </c>
      <c r="N1153" s="17"/>
      <c r="O1153" s="17"/>
      <c r="P1153" s="28" t="s">
        <v>59</v>
      </c>
      <c r="Q1153" s="12"/>
      <c r="R1153" s="12"/>
      <c r="S1153" s="12"/>
      <c r="T1153" s="12"/>
      <c r="U1153" s="12"/>
      <c r="V1153" s="21"/>
      <c r="Z1153" s="12"/>
      <c r="AA1153" s="29" t="n">
        <v>5</v>
      </c>
      <c r="AB1153" s="12"/>
      <c r="AC1153" s="12"/>
      <c r="AD1153" s="12"/>
      <c r="AE1153" s="12"/>
    </row>
    <row r="1154" customFormat="false" ht="15.75" hidden="false" customHeight="false" outlineLevel="0" collapsed="false">
      <c r="A1154" s="12" t="str">
        <f aca="false">IF((AA1154&gt;=4), "Y", "N")</f>
        <v>Y</v>
      </c>
      <c r="B1154" s="13" t="s">
        <v>32</v>
      </c>
      <c r="C1154" s="31" t="s">
        <v>4515</v>
      </c>
      <c r="D1154" s="16" t="s">
        <v>94</v>
      </c>
      <c r="E1154" s="32" t="s">
        <v>4516</v>
      </c>
      <c r="F1154" s="32" t="s">
        <v>4517</v>
      </c>
      <c r="G1154" s="32" t="s">
        <v>1230</v>
      </c>
      <c r="H1154" s="26" t="s">
        <v>72</v>
      </c>
      <c r="I1154" s="17" t="s">
        <v>36</v>
      </c>
      <c r="J1154" s="32" t="s">
        <v>763</v>
      </c>
      <c r="K1154" s="33" t="n">
        <v>2012</v>
      </c>
      <c r="L1154" s="33" t="s">
        <v>109</v>
      </c>
      <c r="M1154" s="27" t="s">
        <v>74</v>
      </c>
      <c r="N1154" s="79" t="s">
        <v>4518</v>
      </c>
      <c r="O1154" s="17" t="s">
        <v>675</v>
      </c>
      <c r="P1154" s="19" t="s">
        <v>76</v>
      </c>
      <c r="Q1154" s="20"/>
      <c r="R1154" s="20" t="s">
        <v>4519</v>
      </c>
      <c r="S1154" s="20"/>
      <c r="T1154" s="20" t="s">
        <v>4520</v>
      </c>
      <c r="U1154" s="20"/>
      <c r="V1154" s="21" t="s">
        <v>31</v>
      </c>
      <c r="Z1154" s="20"/>
      <c r="AA1154" s="22" t="n">
        <v>4</v>
      </c>
      <c r="AB1154" s="20"/>
      <c r="AC1154" s="20"/>
      <c r="AD1154" s="20"/>
      <c r="AE1154" s="20"/>
    </row>
    <row r="1155" customFormat="false" ht="26.3" hidden="false" customHeight="false" outlineLevel="0" collapsed="false">
      <c r="A1155" s="12" t="s">
        <v>31</v>
      </c>
      <c r="B1155" s="12" t="s">
        <v>32</v>
      </c>
      <c r="C1155" s="23" t="s">
        <v>4521</v>
      </c>
      <c r="D1155" s="24" t="s">
        <v>94</v>
      </c>
      <c r="E1155" s="25" t="s">
        <v>4522</v>
      </c>
      <c r="F1155" s="17" t="s">
        <v>4523</v>
      </c>
      <c r="G1155" s="17" t="s">
        <v>1937</v>
      </c>
      <c r="H1155" s="26" t="s">
        <v>72</v>
      </c>
      <c r="I1155" s="17" t="s">
        <v>36</v>
      </c>
      <c r="J1155" s="32" t="s">
        <v>763</v>
      </c>
      <c r="K1155" s="17" t="n">
        <v>2009</v>
      </c>
      <c r="L1155" s="38" t="s">
        <v>109</v>
      </c>
      <c r="M1155" s="27" t="s">
        <v>147</v>
      </c>
      <c r="N1155" s="17" t="s">
        <v>2277</v>
      </c>
      <c r="O1155" s="17" t="s">
        <v>1495</v>
      </c>
      <c r="P1155" s="40" t="s">
        <v>111</v>
      </c>
      <c r="Q1155" s="12"/>
      <c r="R1155" s="12"/>
      <c r="S1155" s="12"/>
      <c r="T1155" s="12"/>
      <c r="U1155" s="12"/>
      <c r="V1155" s="21"/>
      <c r="Z1155" s="12"/>
      <c r="AA1155" s="29" t="n">
        <v>5</v>
      </c>
      <c r="AB1155" s="12"/>
      <c r="AC1155" s="12"/>
      <c r="AD1155" s="12"/>
      <c r="AE1155" s="12"/>
    </row>
    <row r="1156" customFormat="false" ht="15.75" hidden="false" customHeight="false" outlineLevel="0" collapsed="false">
      <c r="A1156" s="12" t="s">
        <v>193</v>
      </c>
      <c r="B1156" s="13" t="s">
        <v>32</v>
      </c>
      <c r="C1156" s="14" t="s">
        <v>4524</v>
      </c>
      <c r="D1156" s="24" t="s">
        <v>51</v>
      </c>
      <c r="E1156" s="25" t="s">
        <v>4525</v>
      </c>
      <c r="F1156" s="17" t="s">
        <v>4526</v>
      </c>
      <c r="G1156" s="17" t="s">
        <v>476</v>
      </c>
      <c r="H1156" s="17" t="s">
        <v>477</v>
      </c>
      <c r="I1156" s="17" t="s">
        <v>36</v>
      </c>
      <c r="J1156" s="32" t="s">
        <v>763</v>
      </c>
      <c r="K1156" s="17"/>
      <c r="L1156" s="17"/>
      <c r="M1156" s="27"/>
      <c r="N1156" s="17"/>
      <c r="O1156" s="17"/>
      <c r="P1156" s="52" t="s">
        <v>185</v>
      </c>
      <c r="Q1156" s="12"/>
      <c r="R1156" s="12"/>
      <c r="S1156" s="12"/>
      <c r="T1156" s="12"/>
      <c r="U1156" s="12"/>
      <c r="V1156" s="21"/>
      <c r="Z1156" s="12"/>
      <c r="AA1156" s="29" t="n">
        <v>5</v>
      </c>
      <c r="AB1156" s="12" t="s">
        <v>4527</v>
      </c>
      <c r="AC1156" s="12"/>
      <c r="AD1156" s="12"/>
      <c r="AE1156" s="12"/>
    </row>
    <row r="1157" customFormat="false" ht="15.75" hidden="false" customHeight="false" outlineLevel="0" collapsed="false">
      <c r="A1157" s="12" t="s">
        <v>193</v>
      </c>
      <c r="B1157" s="13" t="s">
        <v>32</v>
      </c>
      <c r="C1157" s="14" t="s">
        <v>4528</v>
      </c>
      <c r="D1157" s="24" t="s">
        <v>51</v>
      </c>
      <c r="E1157" s="25" t="s">
        <v>4529</v>
      </c>
      <c r="F1157" s="17" t="s">
        <v>4530</v>
      </c>
      <c r="G1157" s="17" t="s">
        <v>476</v>
      </c>
      <c r="H1157" s="17" t="s">
        <v>477</v>
      </c>
      <c r="I1157" s="17" t="s">
        <v>36</v>
      </c>
      <c r="J1157" s="32" t="s">
        <v>763</v>
      </c>
      <c r="K1157" s="17"/>
      <c r="L1157" s="17"/>
      <c r="M1157" s="27"/>
      <c r="N1157" s="17"/>
      <c r="O1157" s="17"/>
      <c r="P1157" s="52" t="s">
        <v>185</v>
      </c>
      <c r="Q1157" s="12"/>
      <c r="R1157" s="12"/>
      <c r="S1157" s="12"/>
      <c r="T1157" s="12"/>
      <c r="U1157" s="12"/>
      <c r="V1157" s="21"/>
      <c r="Z1157" s="12"/>
      <c r="AA1157" s="29" t="n">
        <v>5</v>
      </c>
      <c r="AB1157" s="12" t="s">
        <v>4527</v>
      </c>
      <c r="AC1157" s="12"/>
      <c r="AD1157" s="12"/>
      <c r="AE1157" s="12"/>
    </row>
    <row r="1158" customFormat="false" ht="15.75" hidden="false" customHeight="false" outlineLevel="0" collapsed="false">
      <c r="A1158" s="12" t="s">
        <v>193</v>
      </c>
      <c r="B1158" s="13" t="s">
        <v>32</v>
      </c>
      <c r="C1158" s="14" t="s">
        <v>4531</v>
      </c>
      <c r="D1158" s="24" t="s">
        <v>51</v>
      </c>
      <c r="E1158" s="25" t="s">
        <v>4532</v>
      </c>
      <c r="F1158" s="17" t="s">
        <v>4533</v>
      </c>
      <c r="G1158" s="17" t="s">
        <v>478</v>
      </c>
      <c r="H1158" s="17"/>
      <c r="I1158" s="17" t="s">
        <v>770</v>
      </c>
      <c r="J1158" s="32" t="s">
        <v>763</v>
      </c>
      <c r="K1158" s="17"/>
      <c r="L1158" s="17"/>
      <c r="M1158" s="27"/>
      <c r="N1158" s="17"/>
      <c r="O1158" s="17"/>
      <c r="P1158" s="52" t="s">
        <v>185</v>
      </c>
      <c r="Q1158" s="12"/>
      <c r="R1158" s="12"/>
      <c r="S1158" s="12"/>
      <c r="T1158" s="12"/>
      <c r="U1158" s="12"/>
      <c r="V1158" s="21"/>
      <c r="Z1158" s="12"/>
      <c r="AA1158" s="29" t="n">
        <v>2</v>
      </c>
      <c r="AB1158" s="12" t="s">
        <v>4534</v>
      </c>
      <c r="AC1158" s="12"/>
      <c r="AD1158" s="12"/>
      <c r="AE1158" s="12"/>
    </row>
    <row r="1159" customFormat="false" ht="15.75" hidden="false" customHeight="false" outlineLevel="0" collapsed="false">
      <c r="A1159" s="12"/>
      <c r="B1159" s="13" t="s">
        <v>528</v>
      </c>
      <c r="C1159" s="14" t="s">
        <v>4535</v>
      </c>
      <c r="D1159" s="24" t="s">
        <v>51</v>
      </c>
      <c r="E1159" s="25" t="s">
        <v>4536</v>
      </c>
      <c r="F1159" s="17" t="s">
        <v>4537</v>
      </c>
      <c r="G1159" s="17" t="s">
        <v>381</v>
      </c>
      <c r="H1159" s="17" t="s">
        <v>72</v>
      </c>
      <c r="I1159" s="17" t="s">
        <v>36</v>
      </c>
      <c r="J1159" s="32" t="s">
        <v>763</v>
      </c>
      <c r="K1159" s="17" t="n">
        <v>2010</v>
      </c>
      <c r="L1159" s="17" t="s">
        <v>99</v>
      </c>
      <c r="M1159" s="27" t="s">
        <v>147</v>
      </c>
      <c r="N1159" s="17" t="s">
        <v>4538</v>
      </c>
      <c r="O1159" s="17" t="s">
        <v>157</v>
      </c>
      <c r="P1159" s="40" t="s">
        <v>150</v>
      </c>
      <c r="Q1159" s="12"/>
      <c r="R1159" s="12"/>
      <c r="S1159" s="12"/>
      <c r="T1159" s="12"/>
      <c r="U1159" s="12"/>
      <c r="V1159" s="21"/>
      <c r="Z1159" s="12"/>
      <c r="AA1159" s="29" t="n">
        <v>3</v>
      </c>
      <c r="AB1159" s="12" t="s">
        <v>533</v>
      </c>
      <c r="AC1159" s="12"/>
      <c r="AD1159" s="12"/>
      <c r="AE1159" s="12"/>
    </row>
    <row r="1160" customFormat="false" ht="15.75" hidden="false" customHeight="false" outlineLevel="0" collapsed="false">
      <c r="A1160" s="12"/>
      <c r="B1160" s="12" t="s">
        <v>32</v>
      </c>
      <c r="C1160" s="23" t="s">
        <v>4539</v>
      </c>
      <c r="D1160" s="24" t="s">
        <v>94</v>
      </c>
      <c r="E1160" s="25" t="s">
        <v>4540</v>
      </c>
      <c r="F1160" s="17" t="s">
        <v>4541</v>
      </c>
      <c r="G1160" s="17"/>
      <c r="H1160" s="17"/>
      <c r="I1160" s="17" t="s">
        <v>260</v>
      </c>
      <c r="J1160" s="32" t="s">
        <v>3910</v>
      </c>
      <c r="K1160" s="17"/>
      <c r="L1160" s="17"/>
      <c r="M1160" s="27"/>
      <c r="N1160" s="17"/>
      <c r="O1160" s="17"/>
      <c r="P1160" s="40" t="s">
        <v>261</v>
      </c>
      <c r="Q1160" s="12"/>
      <c r="R1160" s="12"/>
      <c r="S1160" s="12"/>
      <c r="T1160" s="12"/>
      <c r="U1160" s="12"/>
      <c r="V1160" s="21"/>
      <c r="Z1160" s="12"/>
      <c r="AA1160" s="29" t="n">
        <v>2</v>
      </c>
      <c r="AB1160" s="12" t="s">
        <v>4542</v>
      </c>
      <c r="AC1160" s="12"/>
      <c r="AD1160" s="12"/>
      <c r="AE1160" s="12"/>
    </row>
    <row r="1161" customFormat="false" ht="15.75" hidden="false" customHeight="false" outlineLevel="0" collapsed="false">
      <c r="A1161" s="12"/>
      <c r="B1161" s="12" t="s">
        <v>32</v>
      </c>
      <c r="C1161" s="23" t="s">
        <v>4543</v>
      </c>
      <c r="D1161" s="24" t="s">
        <v>94</v>
      </c>
      <c r="E1161" s="17"/>
      <c r="F1161" s="17"/>
      <c r="G1161" s="17"/>
      <c r="H1161" s="17"/>
      <c r="I1161" s="17" t="s">
        <v>260</v>
      </c>
      <c r="J1161" s="32" t="s">
        <v>3910</v>
      </c>
      <c r="K1161" s="17"/>
      <c r="L1161" s="17"/>
      <c r="M1161" s="27"/>
      <c r="N1161" s="17"/>
      <c r="O1161" s="17"/>
      <c r="P1161" s="40" t="s">
        <v>261</v>
      </c>
      <c r="Q1161" s="12"/>
      <c r="R1161" s="12"/>
      <c r="S1161" s="12"/>
      <c r="T1161" s="12"/>
      <c r="U1161" s="12"/>
      <c r="V1161" s="21"/>
      <c r="Z1161" s="12"/>
      <c r="AA1161" s="29" t="n">
        <v>3</v>
      </c>
      <c r="AB1161" s="12" t="s">
        <v>4544</v>
      </c>
      <c r="AC1161" s="12"/>
      <c r="AD1161" s="12"/>
      <c r="AE1161" s="12"/>
    </row>
    <row r="1162" customFormat="false" ht="15.75" hidden="false" customHeight="false" outlineLevel="0" collapsed="false">
      <c r="A1162" s="12"/>
      <c r="B1162" s="12" t="s">
        <v>32</v>
      </c>
      <c r="C1162" s="23" t="s">
        <v>4545</v>
      </c>
      <c r="D1162" s="24" t="s">
        <v>94</v>
      </c>
      <c r="E1162" s="25" t="s">
        <v>4546</v>
      </c>
      <c r="F1162" s="17"/>
      <c r="G1162" s="17"/>
      <c r="H1162" s="17"/>
      <c r="I1162" s="17" t="s">
        <v>260</v>
      </c>
      <c r="J1162" s="32" t="s">
        <v>3910</v>
      </c>
      <c r="K1162" s="17"/>
      <c r="L1162" s="17"/>
      <c r="M1162" s="27"/>
      <c r="N1162" s="17"/>
      <c r="O1162" s="17"/>
      <c r="P1162" s="40" t="s">
        <v>261</v>
      </c>
      <c r="Q1162" s="17"/>
      <c r="R1162" s="17"/>
      <c r="S1162" s="17"/>
      <c r="T1162" s="17"/>
      <c r="U1162" s="17"/>
      <c r="V1162" s="27"/>
      <c r="Z1162" s="17"/>
      <c r="AA1162" s="29" t="n">
        <v>3</v>
      </c>
      <c r="AB1162" s="12" t="s">
        <v>4544</v>
      </c>
      <c r="AC1162" s="17"/>
      <c r="AD1162" s="17"/>
      <c r="AE1162" s="17"/>
    </row>
    <row r="1163" customFormat="false" ht="15.75" hidden="false" customHeight="false" outlineLevel="0" collapsed="false">
      <c r="A1163" s="12"/>
      <c r="B1163" s="12" t="s">
        <v>32</v>
      </c>
      <c r="C1163" s="23" t="s">
        <v>4547</v>
      </c>
      <c r="D1163" s="24" t="s">
        <v>94</v>
      </c>
      <c r="E1163" s="25" t="s">
        <v>4548</v>
      </c>
      <c r="F1163" s="17"/>
      <c r="G1163" s="17"/>
      <c r="H1163" s="17"/>
      <c r="I1163" s="17" t="s">
        <v>260</v>
      </c>
      <c r="J1163" s="32" t="s">
        <v>3910</v>
      </c>
      <c r="K1163" s="17"/>
      <c r="L1163" s="17"/>
      <c r="M1163" s="27"/>
      <c r="N1163" s="17"/>
      <c r="O1163" s="17"/>
      <c r="P1163" s="40" t="s">
        <v>261</v>
      </c>
      <c r="Q1163" s="20"/>
      <c r="R1163" s="20"/>
      <c r="S1163" s="20"/>
      <c r="T1163" s="20"/>
      <c r="U1163" s="20"/>
      <c r="V1163" s="45"/>
      <c r="Z1163" s="20"/>
      <c r="AA1163" s="22" t="n">
        <v>3</v>
      </c>
      <c r="AB1163" s="12" t="s">
        <v>4544</v>
      </c>
      <c r="AC1163" s="20"/>
      <c r="AD1163" s="20"/>
      <c r="AE1163" s="20"/>
    </row>
    <row r="1164" customFormat="false" ht="15.75" hidden="false" customHeight="false" outlineLevel="0" collapsed="false">
      <c r="A1164" s="12"/>
      <c r="B1164" s="12" t="s">
        <v>32</v>
      </c>
      <c r="C1164" s="23" t="s">
        <v>4549</v>
      </c>
      <c r="D1164" s="24" t="s">
        <v>94</v>
      </c>
      <c r="E1164" s="25" t="s">
        <v>4550</v>
      </c>
      <c r="F1164" s="17"/>
      <c r="G1164" s="17"/>
      <c r="H1164" s="17"/>
      <c r="I1164" s="17" t="s">
        <v>260</v>
      </c>
      <c r="J1164" s="32" t="s">
        <v>3910</v>
      </c>
      <c r="K1164" s="17"/>
      <c r="L1164" s="17"/>
      <c r="M1164" s="27"/>
      <c r="N1164" s="17"/>
      <c r="O1164" s="17"/>
      <c r="P1164" s="40" t="s">
        <v>261</v>
      </c>
      <c r="Q1164" s="20"/>
      <c r="R1164" s="20"/>
      <c r="S1164" s="20"/>
      <c r="T1164" s="20"/>
      <c r="U1164" s="20"/>
      <c r="V1164" s="45"/>
      <c r="Z1164" s="20"/>
      <c r="AA1164" s="22" t="n">
        <v>3</v>
      </c>
      <c r="AB1164" s="20" t="s">
        <v>4544</v>
      </c>
      <c r="AC1164" s="20"/>
      <c r="AD1164" s="20"/>
      <c r="AE1164" s="20"/>
    </row>
    <row r="1165" customFormat="false" ht="15.75" hidden="false" customHeight="false" outlineLevel="0" collapsed="false">
      <c r="A1165" s="12"/>
      <c r="B1165" s="12" t="s">
        <v>32</v>
      </c>
      <c r="C1165" s="23" t="s">
        <v>4551</v>
      </c>
      <c r="D1165" s="24" t="s">
        <v>94</v>
      </c>
      <c r="E1165" s="25" t="s">
        <v>4552</v>
      </c>
      <c r="F1165" s="17"/>
      <c r="G1165" s="17"/>
      <c r="H1165" s="17"/>
      <c r="I1165" s="17" t="s">
        <v>260</v>
      </c>
      <c r="J1165" s="32" t="s">
        <v>3910</v>
      </c>
      <c r="K1165" s="17"/>
      <c r="L1165" s="17"/>
      <c r="M1165" s="27"/>
      <c r="N1165" s="17"/>
      <c r="O1165" s="17"/>
      <c r="P1165" s="40" t="s">
        <v>261</v>
      </c>
      <c r="Q1165" s="12"/>
      <c r="R1165" s="12"/>
      <c r="S1165" s="12"/>
      <c r="T1165" s="12"/>
      <c r="U1165" s="12"/>
      <c r="V1165" s="21"/>
      <c r="Z1165" s="12"/>
      <c r="AA1165" s="29" t="n">
        <v>2</v>
      </c>
      <c r="AB1165" s="12" t="s">
        <v>4553</v>
      </c>
      <c r="AC1165" s="12"/>
      <c r="AD1165" s="12"/>
      <c r="AE1165" s="12"/>
    </row>
    <row r="1166" customFormat="false" ht="15.75" hidden="false" customHeight="false" outlineLevel="0" collapsed="false">
      <c r="A1166" s="12"/>
      <c r="B1166" s="12" t="s">
        <v>32</v>
      </c>
      <c r="C1166" s="23" t="s">
        <v>4554</v>
      </c>
      <c r="D1166" s="24" t="s">
        <v>94</v>
      </c>
      <c r="E1166" s="25" t="s">
        <v>4555</v>
      </c>
      <c r="F1166" s="17"/>
      <c r="G1166" s="17"/>
      <c r="H1166" s="17"/>
      <c r="I1166" s="17" t="s">
        <v>260</v>
      </c>
      <c r="J1166" s="32" t="s">
        <v>3910</v>
      </c>
      <c r="K1166" s="17"/>
      <c r="L1166" s="17"/>
      <c r="M1166" s="27"/>
      <c r="N1166" s="17"/>
      <c r="O1166" s="17"/>
      <c r="P1166" s="40" t="s">
        <v>261</v>
      </c>
      <c r="Q1166" s="12"/>
      <c r="R1166" s="12"/>
      <c r="S1166" s="12"/>
      <c r="T1166" s="12"/>
      <c r="U1166" s="12"/>
      <c r="V1166" s="21"/>
      <c r="Z1166" s="12"/>
      <c r="AA1166" s="29" t="n">
        <v>3</v>
      </c>
      <c r="AB1166" s="12" t="s">
        <v>4544</v>
      </c>
      <c r="AC1166" s="12"/>
      <c r="AD1166" s="12"/>
      <c r="AE1166" s="12"/>
    </row>
    <row r="1167" customFormat="false" ht="15.75" hidden="false" customHeight="false" outlineLevel="0" collapsed="false">
      <c r="A1167" s="12"/>
      <c r="B1167" s="12" t="s">
        <v>32</v>
      </c>
      <c r="C1167" s="23" t="s">
        <v>4556</v>
      </c>
      <c r="D1167" s="24" t="s">
        <v>94</v>
      </c>
      <c r="E1167" s="25" t="s">
        <v>4557</v>
      </c>
      <c r="F1167" s="17"/>
      <c r="G1167" s="17"/>
      <c r="H1167" s="17"/>
      <c r="I1167" s="17" t="s">
        <v>260</v>
      </c>
      <c r="J1167" s="32" t="s">
        <v>3910</v>
      </c>
      <c r="K1167" s="17"/>
      <c r="L1167" s="17"/>
      <c r="M1167" s="27"/>
      <c r="N1167" s="17"/>
      <c r="O1167" s="17"/>
      <c r="P1167" s="40" t="s">
        <v>261</v>
      </c>
      <c r="Q1167" s="12"/>
      <c r="R1167" s="12"/>
      <c r="S1167" s="12"/>
      <c r="T1167" s="12"/>
      <c r="U1167" s="12"/>
      <c r="V1167" s="21"/>
      <c r="Z1167" s="12"/>
      <c r="AA1167" s="29" t="n">
        <v>3</v>
      </c>
      <c r="AB1167" s="12" t="s">
        <v>4544</v>
      </c>
      <c r="AC1167" s="12"/>
      <c r="AD1167" s="12"/>
      <c r="AE1167" s="12"/>
    </row>
    <row r="1168" customFormat="false" ht="15.75" hidden="false" customHeight="false" outlineLevel="0" collapsed="false">
      <c r="A1168" s="12"/>
      <c r="B1168" s="12" t="s">
        <v>32</v>
      </c>
      <c r="C1168" s="23" t="s">
        <v>4558</v>
      </c>
      <c r="D1168" s="24" t="s">
        <v>94</v>
      </c>
      <c r="E1168" s="25" t="s">
        <v>4559</v>
      </c>
      <c r="F1168" s="17"/>
      <c r="G1168" s="17"/>
      <c r="H1168" s="17"/>
      <c r="I1168" s="17" t="s">
        <v>260</v>
      </c>
      <c r="J1168" s="32" t="s">
        <v>3910</v>
      </c>
      <c r="K1168" s="17"/>
      <c r="L1168" s="17"/>
      <c r="M1168" s="27"/>
      <c r="N1168" s="17"/>
      <c r="O1168" s="17"/>
      <c r="P1168" s="40" t="s">
        <v>261</v>
      </c>
      <c r="Q1168" s="12"/>
      <c r="R1168" s="12"/>
      <c r="S1168" s="12"/>
      <c r="T1168" s="12"/>
      <c r="U1168" s="12"/>
      <c r="V1168" s="21"/>
      <c r="Z1168" s="12"/>
      <c r="AA1168" s="29" t="n">
        <v>3</v>
      </c>
      <c r="AB1168" s="20" t="s">
        <v>712</v>
      </c>
      <c r="AC1168" s="12"/>
      <c r="AD1168" s="12"/>
      <c r="AE1168" s="12"/>
    </row>
    <row r="1169" customFormat="false" ht="15.75" hidden="false" customHeight="false" outlineLevel="0" collapsed="false">
      <c r="A1169" s="12" t="str">
        <f aca="false">IF((AA1169&gt;=4), "Y", "N")</f>
        <v>Y</v>
      </c>
      <c r="B1169" s="13" t="s">
        <v>1376</v>
      </c>
      <c r="C1169" s="31" t="s">
        <v>4560</v>
      </c>
      <c r="D1169" s="24" t="s">
        <v>94</v>
      </c>
      <c r="E1169" s="32" t="s">
        <v>4561</v>
      </c>
      <c r="F1169" s="17" t="s">
        <v>4562</v>
      </c>
      <c r="G1169" s="17" t="s">
        <v>4563</v>
      </c>
      <c r="H1169" s="17"/>
      <c r="I1169" s="26" t="s">
        <v>266</v>
      </c>
      <c r="J1169" s="32" t="s">
        <v>3910</v>
      </c>
      <c r="K1169" s="33" t="n">
        <v>2011</v>
      </c>
      <c r="L1169" s="33" t="s">
        <v>99</v>
      </c>
      <c r="M1169" s="108" t="s">
        <v>140</v>
      </c>
      <c r="N1169" s="17" t="s">
        <v>4564</v>
      </c>
      <c r="O1169" s="17"/>
      <c r="P1169" s="40" t="s">
        <v>268</v>
      </c>
      <c r="Q1169" s="12"/>
      <c r="R1169" s="12"/>
      <c r="S1169" s="12"/>
      <c r="T1169" s="12"/>
      <c r="U1169" s="12"/>
      <c r="V1169" s="21"/>
      <c r="Z1169" s="12"/>
      <c r="AA1169" s="29" t="str">
        <f aca="false">IF(P1169="OD500 MX", "5", " ")</f>
        <v>5</v>
      </c>
      <c r="AB1169" s="12"/>
      <c r="AC1169" s="12"/>
      <c r="AD1169" s="12"/>
      <c r="AE1169" s="12"/>
    </row>
    <row r="1170" customFormat="false" ht="15.75" hidden="false" customHeight="false" outlineLevel="0" collapsed="false">
      <c r="A1170" s="12" t="s">
        <v>193</v>
      </c>
      <c r="B1170" s="12" t="s">
        <v>1376</v>
      </c>
      <c r="C1170" s="23" t="s">
        <v>4565</v>
      </c>
      <c r="D1170" s="24" t="s">
        <v>94</v>
      </c>
      <c r="E1170" s="17"/>
      <c r="F1170" s="17"/>
      <c r="G1170" s="17"/>
      <c r="H1170" s="17"/>
      <c r="I1170" s="17" t="s">
        <v>260</v>
      </c>
      <c r="J1170" s="32" t="s">
        <v>3910</v>
      </c>
      <c r="K1170" s="17"/>
      <c r="L1170" s="17"/>
      <c r="M1170" s="27"/>
      <c r="N1170" s="17"/>
      <c r="O1170" s="17"/>
      <c r="P1170" s="40" t="s">
        <v>261</v>
      </c>
      <c r="Q1170" s="12"/>
      <c r="R1170" s="12"/>
      <c r="S1170" s="12"/>
      <c r="T1170" s="12"/>
      <c r="U1170" s="12"/>
      <c r="V1170" s="21"/>
      <c r="Z1170" s="12"/>
      <c r="AA1170" s="29" t="n">
        <v>3</v>
      </c>
      <c r="AB1170" s="12" t="s">
        <v>4544</v>
      </c>
      <c r="AC1170" s="12"/>
      <c r="AD1170" s="12"/>
      <c r="AE1170" s="12"/>
    </row>
    <row r="1171" customFormat="false" ht="15.75" hidden="false" customHeight="false" outlineLevel="0" collapsed="false">
      <c r="A1171" s="12" t="s">
        <v>193</v>
      </c>
      <c r="B1171" s="12" t="s">
        <v>1376</v>
      </c>
      <c r="C1171" s="23" t="s">
        <v>4566</v>
      </c>
      <c r="D1171" s="24" t="s">
        <v>94</v>
      </c>
      <c r="E1171" s="17"/>
      <c r="F1171" s="17"/>
      <c r="G1171" s="17"/>
      <c r="H1171" s="17"/>
      <c r="I1171" s="17" t="s">
        <v>260</v>
      </c>
      <c r="J1171" s="32" t="s">
        <v>3910</v>
      </c>
      <c r="K1171" s="17"/>
      <c r="L1171" s="17"/>
      <c r="M1171" s="27"/>
      <c r="N1171" s="17"/>
      <c r="O1171" s="17"/>
      <c r="P1171" s="40" t="s">
        <v>261</v>
      </c>
      <c r="Q1171" s="12"/>
      <c r="R1171" s="12"/>
      <c r="S1171" s="12"/>
      <c r="T1171" s="12"/>
      <c r="U1171" s="12"/>
      <c r="V1171" s="21"/>
      <c r="Z1171" s="12"/>
      <c r="AA1171" s="29" t="n">
        <v>3</v>
      </c>
      <c r="AB1171" s="12" t="s">
        <v>4544</v>
      </c>
      <c r="AC1171" s="12"/>
      <c r="AD1171" s="12"/>
      <c r="AE1171" s="12"/>
    </row>
    <row r="1172" customFormat="false" ht="15.75" hidden="false" customHeight="false" outlineLevel="0" collapsed="false">
      <c r="A1172" s="12" t="s">
        <v>193</v>
      </c>
      <c r="B1172" s="12" t="s">
        <v>1376</v>
      </c>
      <c r="C1172" s="23" t="s">
        <v>4567</v>
      </c>
      <c r="D1172" s="24" t="s">
        <v>94</v>
      </c>
      <c r="E1172" s="17"/>
      <c r="F1172" s="17"/>
      <c r="G1172" s="17"/>
      <c r="H1172" s="17"/>
      <c r="I1172" s="17" t="s">
        <v>260</v>
      </c>
      <c r="J1172" s="32" t="s">
        <v>3910</v>
      </c>
      <c r="K1172" s="17"/>
      <c r="L1172" s="17"/>
      <c r="M1172" s="27"/>
      <c r="N1172" s="17"/>
      <c r="O1172" s="17"/>
      <c r="P1172" s="40" t="s">
        <v>261</v>
      </c>
      <c r="Q1172" s="12"/>
      <c r="R1172" s="12"/>
      <c r="S1172" s="12"/>
      <c r="T1172" s="12"/>
      <c r="U1172" s="12"/>
      <c r="V1172" s="21"/>
      <c r="Z1172" s="12"/>
      <c r="AA1172" s="29" t="n">
        <v>3</v>
      </c>
      <c r="AB1172" s="12" t="s">
        <v>4544</v>
      </c>
      <c r="AC1172" s="12"/>
      <c r="AD1172" s="12"/>
      <c r="AE1172" s="12"/>
    </row>
    <row r="1173" customFormat="false" ht="15.75" hidden="false" customHeight="false" outlineLevel="0" collapsed="false">
      <c r="A1173" s="12" t="s">
        <v>193</v>
      </c>
      <c r="B1173" s="12" t="s">
        <v>1376</v>
      </c>
      <c r="C1173" s="23" t="s">
        <v>4568</v>
      </c>
      <c r="D1173" s="47" t="s">
        <v>94</v>
      </c>
      <c r="E1173" s="17"/>
      <c r="F1173" s="17"/>
      <c r="G1173" s="17"/>
      <c r="H1173" s="17"/>
      <c r="I1173" s="17" t="s">
        <v>260</v>
      </c>
      <c r="J1173" s="32" t="s">
        <v>3910</v>
      </c>
      <c r="K1173" s="17"/>
      <c r="L1173" s="17"/>
      <c r="M1173" s="27"/>
      <c r="N1173" s="17"/>
      <c r="O1173" s="17"/>
      <c r="P1173" s="40" t="s">
        <v>261</v>
      </c>
      <c r="Q1173" s="12"/>
      <c r="R1173" s="12"/>
      <c r="S1173" s="12"/>
      <c r="T1173" s="12"/>
      <c r="U1173" s="12"/>
      <c r="V1173" s="21"/>
      <c r="Z1173" s="12"/>
      <c r="AA1173" s="29" t="n">
        <v>3</v>
      </c>
      <c r="AB1173" s="12" t="s">
        <v>4544</v>
      </c>
      <c r="AC1173" s="12"/>
      <c r="AD1173" s="12"/>
      <c r="AE1173" s="12"/>
    </row>
    <row r="1174" customFormat="false" ht="15.75" hidden="false" customHeight="false" outlineLevel="0" collapsed="false">
      <c r="A1174" s="12" t="s">
        <v>193</v>
      </c>
      <c r="B1174" s="12" t="s">
        <v>32</v>
      </c>
      <c r="C1174" s="23" t="s">
        <v>4569</v>
      </c>
      <c r="D1174" s="24" t="s">
        <v>51</v>
      </c>
      <c r="E1174" s="25" t="s">
        <v>4570</v>
      </c>
      <c r="F1174" s="17" t="s">
        <v>4571</v>
      </c>
      <c r="G1174" s="17"/>
      <c r="H1174" s="17"/>
      <c r="I1174" s="26" t="s">
        <v>166</v>
      </c>
      <c r="J1174" s="17" t="s">
        <v>3842</v>
      </c>
      <c r="K1174" s="17"/>
      <c r="L1174" s="17"/>
      <c r="M1174" s="27" t="s">
        <v>140</v>
      </c>
      <c r="N1174" s="17"/>
      <c r="O1174" s="17"/>
      <c r="P1174" s="28" t="s">
        <v>59</v>
      </c>
      <c r="V1174" s="60"/>
      <c r="AA1174" s="63" t="n">
        <v>2</v>
      </c>
      <c r="AB1174" s="47" t="s">
        <v>4572</v>
      </c>
    </row>
    <row r="1175" customFormat="false" ht="15.75" hidden="false" customHeight="false" outlineLevel="0" collapsed="false">
      <c r="A1175" s="12" t="s">
        <v>31</v>
      </c>
      <c r="B1175" s="12" t="s">
        <v>32</v>
      </c>
      <c r="C1175" s="23" t="s">
        <v>4573</v>
      </c>
      <c r="D1175" s="24" t="s">
        <v>94</v>
      </c>
      <c r="E1175" s="25" t="s">
        <v>4574</v>
      </c>
      <c r="F1175" s="17" t="s">
        <v>4575</v>
      </c>
      <c r="G1175" s="17" t="s">
        <v>4576</v>
      </c>
      <c r="H1175" s="17" t="s">
        <v>477</v>
      </c>
      <c r="I1175" s="17" t="s">
        <v>36</v>
      </c>
      <c r="J1175" s="32" t="s">
        <v>3791</v>
      </c>
      <c r="K1175" s="17" t="n">
        <v>1928</v>
      </c>
      <c r="L1175" s="33" t="s">
        <v>275</v>
      </c>
      <c r="M1175" s="27"/>
      <c r="N1175" s="37" t="s">
        <v>4577</v>
      </c>
      <c r="O1175" s="17" t="s">
        <v>675</v>
      </c>
      <c r="P1175" s="40" t="s">
        <v>111</v>
      </c>
      <c r="Q1175" s="12"/>
      <c r="R1175" s="12"/>
      <c r="S1175" s="12"/>
      <c r="T1175" s="12"/>
      <c r="U1175" s="12"/>
      <c r="V1175" s="21"/>
      <c r="Z1175" s="12"/>
      <c r="AA1175" s="29" t="n">
        <v>4</v>
      </c>
      <c r="AB1175" s="12" t="s">
        <v>4578</v>
      </c>
      <c r="AC1175" s="12"/>
      <c r="AD1175" s="12"/>
      <c r="AE1175" s="12"/>
    </row>
    <row r="1176" customFormat="false" ht="15.75" hidden="false" customHeight="false" outlineLevel="0" collapsed="false">
      <c r="A1176" s="12" t="s">
        <v>31</v>
      </c>
      <c r="B1176" s="12" t="s">
        <v>32</v>
      </c>
      <c r="C1176" s="23" t="s">
        <v>4579</v>
      </c>
      <c r="D1176" s="24" t="s">
        <v>61</v>
      </c>
      <c r="E1176" s="25" t="s">
        <v>4580</v>
      </c>
      <c r="F1176" s="17" t="s">
        <v>4581</v>
      </c>
      <c r="G1176" s="17" t="s">
        <v>4472</v>
      </c>
      <c r="H1176" s="17" t="s">
        <v>3482</v>
      </c>
      <c r="I1176" s="17" t="s">
        <v>36</v>
      </c>
      <c r="J1176" s="32" t="s">
        <v>3791</v>
      </c>
      <c r="K1176" s="17" t="n">
        <v>1919</v>
      </c>
      <c r="L1176" s="38" t="s">
        <v>99</v>
      </c>
      <c r="M1176" s="27"/>
      <c r="N1176" s="37" t="s">
        <v>4577</v>
      </c>
      <c r="O1176" s="17" t="s">
        <v>675</v>
      </c>
      <c r="P1176" s="40" t="s">
        <v>111</v>
      </c>
      <c r="Q1176" s="12"/>
      <c r="R1176" s="12"/>
      <c r="S1176" s="12"/>
      <c r="T1176" s="12"/>
      <c r="U1176" s="12"/>
      <c r="V1176" s="21"/>
      <c r="Z1176" s="12"/>
      <c r="AA1176" s="29" t="n">
        <v>4</v>
      </c>
      <c r="AB1176" s="12" t="s">
        <v>4578</v>
      </c>
      <c r="AC1176" s="12"/>
      <c r="AD1176" s="12"/>
      <c r="AE1176" s="12"/>
    </row>
    <row r="1177" customFormat="false" ht="15.75" hidden="false" customHeight="false" outlineLevel="0" collapsed="false">
      <c r="A1177" s="12" t="s">
        <v>31</v>
      </c>
      <c r="B1177" s="12" t="s">
        <v>32</v>
      </c>
      <c r="C1177" s="23" t="s">
        <v>4582</v>
      </c>
      <c r="D1177" s="24" t="s">
        <v>94</v>
      </c>
      <c r="E1177" s="25" t="s">
        <v>4583</v>
      </c>
      <c r="F1177" s="17" t="s">
        <v>4584</v>
      </c>
      <c r="G1177" s="17" t="s">
        <v>4585</v>
      </c>
      <c r="H1177" s="17" t="s">
        <v>4586</v>
      </c>
      <c r="I1177" s="17" t="s">
        <v>36</v>
      </c>
      <c r="J1177" s="32" t="s">
        <v>3791</v>
      </c>
      <c r="K1177" s="17" t="n">
        <v>1900</v>
      </c>
      <c r="L1177" s="38" t="s">
        <v>330</v>
      </c>
      <c r="M1177" s="27"/>
      <c r="N1177" s="17" t="s">
        <v>4587</v>
      </c>
      <c r="O1177" s="17" t="s">
        <v>675</v>
      </c>
      <c r="P1177" s="40" t="s">
        <v>111</v>
      </c>
      <c r="V1177" s="60"/>
      <c r="AA1177" s="63" t="n">
        <v>4</v>
      </c>
      <c r="AB1177" s="12" t="s">
        <v>4578</v>
      </c>
    </row>
    <row r="1178" customFormat="false" ht="15.75" hidden="false" customHeight="false" outlineLevel="0" collapsed="false">
      <c r="A1178" s="12" t="s">
        <v>193</v>
      </c>
      <c r="B1178" s="12" t="s">
        <v>32</v>
      </c>
      <c r="C1178" s="23" t="s">
        <v>4588</v>
      </c>
      <c r="D1178" s="24" t="s">
        <v>94</v>
      </c>
      <c r="E1178" s="25" t="s">
        <v>4589</v>
      </c>
      <c r="F1178" s="17" t="s">
        <v>4590</v>
      </c>
      <c r="G1178" s="17" t="s">
        <v>71</v>
      </c>
      <c r="H1178" s="17" t="s">
        <v>72</v>
      </c>
      <c r="I1178" s="17" t="s">
        <v>36</v>
      </c>
      <c r="J1178" s="32" t="s">
        <v>3791</v>
      </c>
      <c r="K1178" s="17" t="n">
        <v>2011</v>
      </c>
      <c r="L1178" s="38" t="s">
        <v>109</v>
      </c>
      <c r="M1178" s="27"/>
      <c r="N1178" s="17" t="s">
        <v>4591</v>
      </c>
      <c r="O1178" s="17" t="s">
        <v>675</v>
      </c>
      <c r="P1178" s="40" t="s">
        <v>111</v>
      </c>
      <c r="V1178" s="60"/>
      <c r="AA1178" s="63" t="n">
        <v>1</v>
      </c>
      <c r="AB1178" s="47" t="s">
        <v>4592</v>
      </c>
    </row>
    <row r="1179" customFormat="false" ht="15.75" hidden="false" customHeight="false" outlineLevel="0" collapsed="false">
      <c r="A1179" s="12" t="str">
        <f aca="false">IF((AA1179&gt;=4), "Y", "N")</f>
        <v>Y</v>
      </c>
      <c r="B1179" s="13" t="s">
        <v>32</v>
      </c>
      <c r="C1179" s="31" t="s">
        <v>4593</v>
      </c>
      <c r="D1179" s="16" t="s">
        <v>94</v>
      </c>
      <c r="E1179" s="32" t="s">
        <v>4594</v>
      </c>
      <c r="F1179" s="32" t="s">
        <v>4595</v>
      </c>
      <c r="G1179" s="32" t="s">
        <v>4596</v>
      </c>
      <c r="H1179" s="17" t="s">
        <v>3482</v>
      </c>
      <c r="I1179" s="17" t="s">
        <v>36</v>
      </c>
      <c r="J1179" s="32" t="s">
        <v>3791</v>
      </c>
      <c r="K1179" s="33" t="n">
        <v>1948</v>
      </c>
      <c r="L1179" s="33" t="s">
        <v>330</v>
      </c>
      <c r="M1179" s="27" t="s">
        <v>74</v>
      </c>
      <c r="N1179" s="37" t="s">
        <v>4587</v>
      </c>
      <c r="O1179" s="17" t="s">
        <v>675</v>
      </c>
      <c r="P1179" s="19" t="s">
        <v>76</v>
      </c>
      <c r="Q1179" s="20"/>
      <c r="R1179" s="20" t="s">
        <v>4597</v>
      </c>
      <c r="S1179" s="20"/>
      <c r="T1179" s="20" t="s">
        <v>4598</v>
      </c>
      <c r="U1179" s="20"/>
      <c r="V1179" s="21" t="s">
        <v>31</v>
      </c>
      <c r="Z1179" s="20"/>
      <c r="AA1179" s="22" t="str">
        <f aca="false">IF(P1179="OD500 US (submitted)", "5", " ")</f>
        <v>5</v>
      </c>
      <c r="AB1179" s="20"/>
      <c r="AC1179" s="20"/>
      <c r="AD1179" s="20"/>
      <c r="AE1179" s="20"/>
    </row>
    <row r="1180" customFormat="false" ht="15.75" hidden="false" customHeight="false" outlineLevel="0" collapsed="false">
      <c r="A1180" s="12"/>
      <c r="B1180" s="12" t="s">
        <v>32</v>
      </c>
      <c r="C1180" s="23" t="s">
        <v>4599</v>
      </c>
      <c r="D1180" s="24" t="s">
        <v>94</v>
      </c>
      <c r="E1180" s="25" t="s">
        <v>4600</v>
      </c>
      <c r="F1180" s="17"/>
      <c r="G1180" s="17"/>
      <c r="H1180" s="17"/>
      <c r="I1180" s="17" t="s">
        <v>260</v>
      </c>
      <c r="J1180" s="32" t="s">
        <v>3791</v>
      </c>
      <c r="K1180" s="17"/>
      <c r="L1180" s="17"/>
      <c r="M1180" s="27"/>
      <c r="N1180" s="17"/>
      <c r="O1180" s="17" t="s">
        <v>675</v>
      </c>
      <c r="P1180" s="40" t="s">
        <v>261</v>
      </c>
      <c r="Q1180" s="12"/>
      <c r="R1180" s="12"/>
      <c r="S1180" s="12"/>
      <c r="T1180" s="12"/>
      <c r="U1180" s="12"/>
      <c r="V1180" s="21"/>
      <c r="Z1180" s="12"/>
      <c r="AA1180" s="29" t="n">
        <v>3</v>
      </c>
      <c r="AB1180" s="12" t="s">
        <v>4601</v>
      </c>
      <c r="AC1180" s="12"/>
      <c r="AD1180" s="12"/>
      <c r="AE1180" s="12"/>
    </row>
    <row r="1181" customFormat="false" ht="15.75" hidden="false" customHeight="false" outlineLevel="0" collapsed="false">
      <c r="A1181" s="12" t="s">
        <v>31</v>
      </c>
      <c r="B1181" s="12" t="s">
        <v>32</v>
      </c>
      <c r="C1181" s="23" t="s">
        <v>4602</v>
      </c>
      <c r="D1181" s="24" t="s">
        <v>94</v>
      </c>
      <c r="E1181" s="25" t="s">
        <v>4603</v>
      </c>
      <c r="F1181" s="17" t="s">
        <v>4604</v>
      </c>
      <c r="G1181" s="17" t="s">
        <v>2652</v>
      </c>
      <c r="H1181" s="17" t="s">
        <v>4422</v>
      </c>
      <c r="I1181" s="26" t="s">
        <v>266</v>
      </c>
      <c r="J1181" s="32" t="s">
        <v>3791</v>
      </c>
      <c r="K1181" s="17" t="n">
        <v>2014</v>
      </c>
      <c r="L1181" s="17"/>
      <c r="M1181" s="27" t="s">
        <v>147</v>
      </c>
      <c r="N1181" s="17" t="s">
        <v>4605</v>
      </c>
      <c r="O1181" s="17" t="s">
        <v>675</v>
      </c>
      <c r="P1181" s="28" t="s">
        <v>46</v>
      </c>
      <c r="Q1181" s="17"/>
      <c r="R1181" s="17"/>
      <c r="S1181" s="17"/>
      <c r="T1181" s="17"/>
      <c r="U1181" s="17"/>
      <c r="V1181" s="27"/>
      <c r="Z1181" s="17"/>
      <c r="AA1181" s="29" t="n">
        <v>4</v>
      </c>
      <c r="AB1181" s="17" t="s">
        <v>4606</v>
      </c>
      <c r="AC1181" s="17"/>
      <c r="AD1181" s="17"/>
      <c r="AE1181" s="17"/>
    </row>
    <row r="1182" customFormat="false" ht="15.75" hidden="false" customHeight="false" outlineLevel="0" collapsed="false">
      <c r="A1182" s="12" t="s">
        <v>193</v>
      </c>
      <c r="B1182" s="12" t="s">
        <v>32</v>
      </c>
      <c r="C1182" s="23" t="s">
        <v>4607</v>
      </c>
      <c r="D1182" s="24" t="s">
        <v>94</v>
      </c>
      <c r="E1182" s="25" t="s">
        <v>4608</v>
      </c>
      <c r="F1182" s="17" t="s">
        <v>4609</v>
      </c>
      <c r="G1182" s="17" t="s">
        <v>4472</v>
      </c>
      <c r="H1182" s="26" t="s">
        <v>3482</v>
      </c>
      <c r="I1182" s="17" t="s">
        <v>36</v>
      </c>
      <c r="J1182" s="32" t="s">
        <v>3791</v>
      </c>
      <c r="K1182" s="17" t="n">
        <v>1891</v>
      </c>
      <c r="L1182" s="38" t="s">
        <v>73</v>
      </c>
      <c r="M1182" s="27"/>
      <c r="N1182" s="17" t="s">
        <v>4587</v>
      </c>
      <c r="O1182" s="17" t="s">
        <v>675</v>
      </c>
      <c r="P1182" s="40" t="s">
        <v>111</v>
      </c>
      <c r="Q1182" s="12"/>
      <c r="R1182" s="12"/>
      <c r="S1182" s="12"/>
      <c r="T1182" s="12"/>
      <c r="U1182" s="12"/>
      <c r="V1182" s="21"/>
      <c r="Z1182" s="12"/>
      <c r="AA1182" s="29" t="n">
        <v>3</v>
      </c>
      <c r="AB1182" s="12" t="s">
        <v>4601</v>
      </c>
      <c r="AC1182" s="12"/>
      <c r="AD1182" s="12"/>
      <c r="AE1182" s="12"/>
    </row>
    <row r="1183" customFormat="false" ht="15.75" hidden="false" customHeight="false" outlineLevel="0" collapsed="false">
      <c r="A1183" s="12"/>
      <c r="B1183" s="12" t="s">
        <v>32</v>
      </c>
      <c r="C1183" s="23" t="s">
        <v>4610</v>
      </c>
      <c r="D1183" s="24" t="s">
        <v>94</v>
      </c>
      <c r="E1183" s="17"/>
      <c r="F1183" s="17"/>
      <c r="G1183" s="17"/>
      <c r="H1183" s="17"/>
      <c r="I1183" s="17" t="s">
        <v>260</v>
      </c>
      <c r="J1183" s="32" t="s">
        <v>3791</v>
      </c>
      <c r="K1183" s="17"/>
      <c r="L1183" s="17"/>
      <c r="M1183" s="27"/>
      <c r="N1183" s="17"/>
      <c r="O1183" s="17" t="s">
        <v>675</v>
      </c>
      <c r="P1183" s="40" t="s">
        <v>261</v>
      </c>
      <c r="V1183" s="60"/>
      <c r="AA1183" s="63" t="n">
        <v>3</v>
      </c>
      <c r="AB1183" s="12" t="s">
        <v>4601</v>
      </c>
    </row>
    <row r="1184" customFormat="false" ht="15.75" hidden="false" customHeight="false" outlineLevel="0" collapsed="false">
      <c r="A1184" s="12" t="str">
        <f aca="false">IF((AA1184&gt;=4), "Y", "N")</f>
        <v>Y</v>
      </c>
      <c r="B1184" s="12" t="s">
        <v>32</v>
      </c>
      <c r="C1184" s="23" t="s">
        <v>4611</v>
      </c>
      <c r="D1184" s="24" t="s">
        <v>94</v>
      </c>
      <c r="E1184" s="25" t="s">
        <v>4612</v>
      </c>
      <c r="F1184" s="17" t="s">
        <v>4613</v>
      </c>
      <c r="G1184" s="17" t="s">
        <v>4614</v>
      </c>
      <c r="H1184" s="17" t="s">
        <v>353</v>
      </c>
      <c r="I1184" s="17" t="s">
        <v>36</v>
      </c>
      <c r="J1184" s="32" t="s">
        <v>3791</v>
      </c>
      <c r="K1184" s="17" t="n">
        <v>1984</v>
      </c>
      <c r="L1184" s="38" t="s">
        <v>482</v>
      </c>
      <c r="M1184" s="27" t="s">
        <v>74</v>
      </c>
      <c r="N1184" s="37" t="s">
        <v>2468</v>
      </c>
      <c r="O1184" s="17" t="s">
        <v>675</v>
      </c>
      <c r="P1184" s="40" t="s">
        <v>111</v>
      </c>
      <c r="Q1184" s="12"/>
      <c r="R1184" s="12"/>
      <c r="S1184" s="12"/>
      <c r="T1184" s="12"/>
      <c r="U1184" s="12"/>
      <c r="V1184" s="21"/>
      <c r="Z1184" s="12"/>
      <c r="AA1184" s="29" t="n">
        <v>5</v>
      </c>
      <c r="AB1184" s="12"/>
      <c r="AC1184" s="12"/>
      <c r="AD1184" s="12"/>
      <c r="AE1184" s="12"/>
    </row>
    <row r="1185" customFormat="false" ht="15.75" hidden="false" customHeight="false" outlineLevel="0" collapsed="false">
      <c r="A1185" s="12" t="str">
        <f aca="false">IF((AA1185&gt;=4), "Y", "N")</f>
        <v>Y</v>
      </c>
      <c r="B1185" s="13" t="s">
        <v>32</v>
      </c>
      <c r="C1185" s="31" t="s">
        <v>4615</v>
      </c>
      <c r="D1185" s="16" t="s">
        <v>94</v>
      </c>
      <c r="E1185" s="32" t="s">
        <v>4616</v>
      </c>
      <c r="F1185" s="17" t="s">
        <v>4617</v>
      </c>
      <c r="G1185" s="17"/>
      <c r="H1185" s="17"/>
      <c r="I1185" s="26" t="s">
        <v>266</v>
      </c>
      <c r="J1185" s="32" t="s">
        <v>3791</v>
      </c>
      <c r="K1185" s="33" t="n">
        <v>2012</v>
      </c>
      <c r="L1185" s="33" t="s">
        <v>109</v>
      </c>
      <c r="M1185" s="27" t="s">
        <v>147</v>
      </c>
      <c r="N1185" s="17" t="s">
        <v>4618</v>
      </c>
      <c r="O1185" s="17" t="s">
        <v>675</v>
      </c>
      <c r="P1185" s="40" t="s">
        <v>268</v>
      </c>
      <c r="V1185" s="60"/>
      <c r="AA1185" s="29" t="str">
        <f aca="false">IF(P1185="OD500 MX", "5", " ")</f>
        <v>5</v>
      </c>
    </row>
    <row r="1186" customFormat="false" ht="15.75" hidden="false" customHeight="false" outlineLevel="0" collapsed="false">
      <c r="A1186" s="12" t="s">
        <v>193</v>
      </c>
      <c r="B1186" s="54" t="s">
        <v>32</v>
      </c>
      <c r="C1186" s="55" t="s">
        <v>4619</v>
      </c>
      <c r="D1186" s="24" t="s">
        <v>195</v>
      </c>
      <c r="E1186" s="57" t="s">
        <v>4620</v>
      </c>
      <c r="F1186" s="15" t="s">
        <v>4621</v>
      </c>
      <c r="G1186" s="15"/>
      <c r="H1186" s="15"/>
      <c r="I1186" s="26" t="s">
        <v>266</v>
      </c>
      <c r="J1186" s="32" t="s">
        <v>3791</v>
      </c>
      <c r="K1186" s="17"/>
      <c r="L1186" s="17"/>
      <c r="M1186" s="18"/>
      <c r="N1186" s="17"/>
      <c r="O1186" s="17"/>
      <c r="P1186" s="19" t="s">
        <v>39</v>
      </c>
      <c r="Q1186" s="20"/>
      <c r="R1186" s="20" t="s">
        <v>4622</v>
      </c>
      <c r="S1186" s="20"/>
      <c r="T1186" s="20" t="s">
        <v>4623</v>
      </c>
      <c r="U1186" s="20"/>
      <c r="V1186" s="21" t="s">
        <v>31</v>
      </c>
      <c r="Z1186" s="20"/>
      <c r="AA1186" s="22" t="n">
        <v>1</v>
      </c>
      <c r="AB1186" s="20" t="s">
        <v>4624</v>
      </c>
      <c r="AC1186" s="20"/>
      <c r="AD1186" s="20"/>
      <c r="AE1186" s="20"/>
    </row>
    <row r="1187" customFormat="false" ht="15.75" hidden="false" customHeight="false" outlineLevel="0" collapsed="false">
      <c r="A1187" s="12" t="s">
        <v>193</v>
      </c>
      <c r="B1187" s="12" t="s">
        <v>32</v>
      </c>
      <c r="C1187" s="23" t="s">
        <v>4625</v>
      </c>
      <c r="D1187" s="24" t="s">
        <v>61</v>
      </c>
      <c r="E1187" s="25" t="s">
        <v>4626</v>
      </c>
      <c r="F1187" s="17"/>
      <c r="G1187" s="17"/>
      <c r="H1187" s="17"/>
      <c r="I1187" s="17" t="s">
        <v>260</v>
      </c>
      <c r="J1187" s="32" t="s">
        <v>3791</v>
      </c>
      <c r="K1187" s="17"/>
      <c r="L1187" s="17"/>
      <c r="M1187" s="27"/>
      <c r="N1187" s="17"/>
      <c r="O1187" s="17"/>
      <c r="P1187" s="40" t="s">
        <v>261</v>
      </c>
      <c r="Q1187" s="12"/>
      <c r="R1187" s="12"/>
      <c r="S1187" s="12"/>
      <c r="T1187" s="12"/>
      <c r="U1187" s="12"/>
      <c r="V1187" s="21"/>
      <c r="Z1187" s="12"/>
      <c r="AA1187" s="29" t="n">
        <v>2</v>
      </c>
      <c r="AB1187" s="12" t="s">
        <v>4627</v>
      </c>
      <c r="AC1187" s="12"/>
      <c r="AD1187" s="12"/>
      <c r="AE1187" s="12"/>
    </row>
    <row r="1188" customFormat="false" ht="15.75" hidden="false" customHeight="false" outlineLevel="0" collapsed="false">
      <c r="A1188" s="12" t="s">
        <v>193</v>
      </c>
      <c r="B1188" s="12" t="s">
        <v>32</v>
      </c>
      <c r="C1188" s="23" t="s">
        <v>4628</v>
      </c>
      <c r="D1188" s="24" t="s">
        <v>620</v>
      </c>
      <c r="E1188" s="25" t="s">
        <v>4629</v>
      </c>
      <c r="F1188" s="17" t="s">
        <v>4630</v>
      </c>
      <c r="G1188" s="17"/>
      <c r="H1188" s="17"/>
      <c r="I1188" s="26" t="s">
        <v>4022</v>
      </c>
      <c r="J1188" s="32" t="s">
        <v>3791</v>
      </c>
      <c r="K1188" s="17"/>
      <c r="L1188" s="17"/>
      <c r="M1188" s="27"/>
      <c r="N1188" s="17"/>
      <c r="O1188" s="17"/>
      <c r="P1188" s="28" t="s">
        <v>59</v>
      </c>
      <c r="V1188" s="60"/>
      <c r="AA1188" s="63" t="n">
        <v>1</v>
      </c>
      <c r="AB1188" s="47" t="s">
        <v>4631</v>
      </c>
    </row>
    <row r="1189" customFormat="false" ht="15.75" hidden="false" customHeight="false" outlineLevel="0" collapsed="false">
      <c r="A1189" s="12" t="str">
        <f aca="false">IF((AA1189&gt;=4), "Y", "N")</f>
        <v>Y</v>
      </c>
      <c r="B1189" s="12" t="s">
        <v>32</v>
      </c>
      <c r="C1189" s="23" t="s">
        <v>4632</v>
      </c>
      <c r="D1189" s="24" t="s">
        <v>94</v>
      </c>
      <c r="E1189" s="25" t="s">
        <v>4633</v>
      </c>
      <c r="F1189" s="17" t="s">
        <v>4634</v>
      </c>
      <c r="G1189" s="17" t="s">
        <v>4635</v>
      </c>
      <c r="H1189" s="17" t="s">
        <v>72</v>
      </c>
      <c r="I1189" s="17" t="s">
        <v>36</v>
      </c>
      <c r="J1189" s="32" t="s">
        <v>3791</v>
      </c>
      <c r="K1189" s="17" t="n">
        <v>2011</v>
      </c>
      <c r="L1189" s="38" t="s">
        <v>109</v>
      </c>
      <c r="M1189" s="27"/>
      <c r="N1189" s="37" t="s">
        <v>4591</v>
      </c>
      <c r="O1189" s="17" t="s">
        <v>4636</v>
      </c>
      <c r="P1189" s="40" t="s">
        <v>111</v>
      </c>
      <c r="Q1189" s="12"/>
      <c r="R1189" s="12"/>
      <c r="S1189" s="12"/>
      <c r="T1189" s="12"/>
      <c r="U1189" s="12"/>
      <c r="V1189" s="21"/>
      <c r="Z1189" s="12"/>
      <c r="AA1189" s="29" t="n">
        <v>4</v>
      </c>
      <c r="AB1189" s="12"/>
      <c r="AC1189" s="12"/>
      <c r="AD1189" s="12"/>
      <c r="AE1189" s="12"/>
    </row>
    <row r="1190" customFormat="false" ht="15.75" hidden="false" customHeight="false" outlineLevel="0" collapsed="false">
      <c r="A1190" s="12" t="s">
        <v>193</v>
      </c>
      <c r="B1190" s="12" t="s">
        <v>32</v>
      </c>
      <c r="C1190" s="23" t="s">
        <v>4637</v>
      </c>
      <c r="D1190" s="24" t="s">
        <v>94</v>
      </c>
      <c r="E1190" s="25" t="s">
        <v>4638</v>
      </c>
      <c r="F1190" s="17"/>
      <c r="G1190" s="17"/>
      <c r="H1190" s="17"/>
      <c r="I1190" s="17" t="s">
        <v>260</v>
      </c>
      <c r="J1190" s="32" t="s">
        <v>3791</v>
      </c>
      <c r="K1190" s="17"/>
      <c r="L1190" s="17"/>
      <c r="M1190" s="27"/>
      <c r="N1190" s="17"/>
      <c r="O1190" s="17"/>
      <c r="P1190" s="40" t="s">
        <v>261</v>
      </c>
      <c r="Q1190" s="12"/>
      <c r="R1190" s="12"/>
      <c r="S1190" s="12"/>
      <c r="T1190" s="12"/>
      <c r="U1190" s="12"/>
      <c r="V1190" s="21"/>
      <c r="Z1190" s="12"/>
      <c r="AA1190" s="29" t="n">
        <v>3</v>
      </c>
      <c r="AB1190" s="12" t="s">
        <v>4627</v>
      </c>
      <c r="AC1190" s="12"/>
      <c r="AD1190" s="12"/>
      <c r="AE1190" s="12"/>
    </row>
    <row r="1191" customFormat="false" ht="15.75" hidden="false" customHeight="false" outlineLevel="0" collapsed="false">
      <c r="A1191" s="12" t="str">
        <f aca="false">IF((AA1191&gt;=4), "Y", "N")</f>
        <v>Y</v>
      </c>
      <c r="B1191" s="12" t="s">
        <v>32</v>
      </c>
      <c r="C1191" s="23" t="s">
        <v>4639</v>
      </c>
      <c r="D1191" s="24" t="s">
        <v>94</v>
      </c>
      <c r="E1191" s="25" t="s">
        <v>4640</v>
      </c>
      <c r="F1191" s="17" t="s">
        <v>4641</v>
      </c>
      <c r="G1191" s="17" t="s">
        <v>3497</v>
      </c>
      <c r="H1191" s="17" t="s">
        <v>390</v>
      </c>
      <c r="I1191" s="17" t="s">
        <v>36</v>
      </c>
      <c r="J1191" s="32" t="s">
        <v>3791</v>
      </c>
      <c r="K1191" s="17" t="n">
        <v>2005</v>
      </c>
      <c r="L1191" s="38" t="s">
        <v>73</v>
      </c>
      <c r="M1191" s="27" t="s">
        <v>74</v>
      </c>
      <c r="N1191" s="37" t="s">
        <v>2468</v>
      </c>
      <c r="O1191" s="17" t="s">
        <v>149</v>
      </c>
      <c r="P1191" s="40" t="s">
        <v>111</v>
      </c>
      <c r="Q1191" s="12"/>
      <c r="R1191" s="12"/>
      <c r="S1191" s="12"/>
      <c r="T1191" s="12"/>
      <c r="U1191" s="12"/>
      <c r="V1191" s="21"/>
      <c r="Z1191" s="12"/>
      <c r="AA1191" s="29" t="n">
        <v>5</v>
      </c>
      <c r="AB1191" s="12" t="s">
        <v>4642</v>
      </c>
      <c r="AC1191" s="59" t="s">
        <v>4643</v>
      </c>
      <c r="AD1191" s="12"/>
      <c r="AE1191" s="12"/>
    </row>
    <row r="1192" customFormat="false" ht="15.75" hidden="false" customHeight="false" outlineLevel="0" collapsed="false">
      <c r="A1192" s="12" t="str">
        <f aca="false">IF((AA1192&gt;=4), "Y", "N")</f>
        <v>Y</v>
      </c>
      <c r="B1192" s="13" t="s">
        <v>32</v>
      </c>
      <c r="C1192" s="31" t="s">
        <v>4644</v>
      </c>
      <c r="D1192" s="16" t="s">
        <v>94</v>
      </c>
      <c r="E1192" s="32" t="s">
        <v>4645</v>
      </c>
      <c r="F1192" s="32" t="s">
        <v>4646</v>
      </c>
      <c r="G1192" s="32" t="s">
        <v>499</v>
      </c>
      <c r="H1192" s="17" t="s">
        <v>500</v>
      </c>
      <c r="I1192" s="17" t="s">
        <v>36</v>
      </c>
      <c r="J1192" s="32" t="s">
        <v>3791</v>
      </c>
      <c r="K1192" s="33" t="n">
        <v>2005</v>
      </c>
      <c r="L1192" s="33" t="s">
        <v>73</v>
      </c>
      <c r="M1192" s="27" t="s">
        <v>74</v>
      </c>
      <c r="N1192" s="37" t="s">
        <v>2468</v>
      </c>
      <c r="O1192" s="17" t="s">
        <v>149</v>
      </c>
      <c r="P1192" s="19" t="s">
        <v>76</v>
      </c>
      <c r="Q1192" s="12"/>
      <c r="R1192" s="12" t="s">
        <v>4647</v>
      </c>
      <c r="S1192" s="12"/>
      <c r="T1192" s="12" t="s">
        <v>4648</v>
      </c>
      <c r="U1192" s="12"/>
      <c r="V1192" s="21" t="s">
        <v>31</v>
      </c>
      <c r="Z1192" s="12"/>
      <c r="AA1192" s="22" t="str">
        <f aca="false">IF(P1192="OD500 US (submitted)", "5", " ")</f>
        <v>5</v>
      </c>
      <c r="AB1192" s="12"/>
      <c r="AC1192" s="12"/>
      <c r="AD1192" s="12"/>
      <c r="AE1192" s="12"/>
    </row>
    <row r="1193" customFormat="false" ht="15.75" hidden="false" customHeight="false" outlineLevel="0" collapsed="false">
      <c r="A1193" s="12" t="str">
        <f aca="false">IF((AA1193&gt;=4), "Y", "N")</f>
        <v>Y</v>
      </c>
      <c r="B1193" s="12" t="s">
        <v>32</v>
      </c>
      <c r="C1193" s="23" t="s">
        <v>4649</v>
      </c>
      <c r="D1193" s="24" t="s">
        <v>94</v>
      </c>
      <c r="E1193" s="25" t="s">
        <v>4650</v>
      </c>
      <c r="F1193" s="17" t="s">
        <v>4651</v>
      </c>
      <c r="G1193" s="17" t="s">
        <v>4652</v>
      </c>
      <c r="H1193" s="17" t="s">
        <v>297</v>
      </c>
      <c r="I1193" s="17" t="s">
        <v>36</v>
      </c>
      <c r="J1193" s="32" t="s">
        <v>3791</v>
      </c>
      <c r="K1193" s="17" t="n">
        <v>1981</v>
      </c>
      <c r="L1193" s="38" t="s">
        <v>99</v>
      </c>
      <c r="M1193" s="27" t="s">
        <v>74</v>
      </c>
      <c r="N1193" s="109" t="s">
        <v>4653</v>
      </c>
      <c r="O1193" s="17" t="s">
        <v>1495</v>
      </c>
      <c r="P1193" s="40" t="s">
        <v>111</v>
      </c>
      <c r="Q1193" s="12"/>
      <c r="R1193" s="12"/>
      <c r="S1193" s="12"/>
      <c r="T1193" s="12"/>
      <c r="U1193" s="12"/>
      <c r="V1193" s="21"/>
      <c r="Z1193" s="12"/>
      <c r="AA1193" s="29" t="n">
        <v>4</v>
      </c>
      <c r="AB1193" s="12" t="s">
        <v>4654</v>
      </c>
      <c r="AC1193" s="12"/>
      <c r="AD1193" s="12"/>
      <c r="AE1193" s="12"/>
    </row>
    <row r="1194" customFormat="false" ht="15.75" hidden="false" customHeight="false" outlineLevel="0" collapsed="false">
      <c r="A1194" s="12"/>
      <c r="B1194" s="12" t="s">
        <v>32</v>
      </c>
      <c r="C1194" s="23" t="s">
        <v>4655</v>
      </c>
      <c r="D1194" s="24" t="s">
        <v>94</v>
      </c>
      <c r="E1194" s="25" t="s">
        <v>4656</v>
      </c>
      <c r="F1194" s="17"/>
      <c r="G1194" s="17"/>
      <c r="H1194" s="17"/>
      <c r="I1194" s="17" t="s">
        <v>260</v>
      </c>
      <c r="J1194" s="32" t="s">
        <v>3791</v>
      </c>
      <c r="K1194" s="17"/>
      <c r="L1194" s="17"/>
      <c r="M1194" s="27"/>
      <c r="N1194" s="17"/>
      <c r="O1194" s="17"/>
      <c r="P1194" s="40" t="s">
        <v>261</v>
      </c>
      <c r="Q1194" s="17"/>
      <c r="R1194" s="17"/>
      <c r="S1194" s="17"/>
      <c r="T1194" s="17"/>
      <c r="U1194" s="17"/>
      <c r="V1194" s="27"/>
      <c r="Z1194" s="17"/>
      <c r="AA1194" s="29" t="n">
        <v>3</v>
      </c>
      <c r="AB1194" s="12" t="s">
        <v>4601</v>
      </c>
      <c r="AC1194" s="17"/>
      <c r="AD1194" s="17"/>
      <c r="AE1194" s="17"/>
    </row>
    <row r="1195" customFormat="false" ht="15.75" hidden="false" customHeight="false" outlineLevel="0" collapsed="false">
      <c r="A1195" s="12" t="s">
        <v>193</v>
      </c>
      <c r="B1195" s="12" t="s">
        <v>32</v>
      </c>
      <c r="C1195" s="23" t="s">
        <v>4657</v>
      </c>
      <c r="D1195" s="24" t="s">
        <v>94</v>
      </c>
      <c r="E1195" s="25" t="s">
        <v>4658</v>
      </c>
      <c r="F1195" s="17" t="s">
        <v>4659</v>
      </c>
      <c r="G1195" s="17" t="s">
        <v>4660</v>
      </c>
      <c r="H1195" s="17" t="s">
        <v>336</v>
      </c>
      <c r="I1195" s="17" t="s">
        <v>36</v>
      </c>
      <c r="J1195" s="32" t="s">
        <v>3791</v>
      </c>
      <c r="K1195" s="17" t="n">
        <v>1950</v>
      </c>
      <c r="L1195" s="33" t="s">
        <v>275</v>
      </c>
      <c r="M1195" s="27"/>
      <c r="N1195" s="17" t="s">
        <v>315</v>
      </c>
      <c r="O1195" s="17"/>
      <c r="P1195" s="40" t="s">
        <v>111</v>
      </c>
      <c r="Q1195" s="12"/>
      <c r="R1195" s="12"/>
      <c r="S1195" s="12"/>
      <c r="T1195" s="12"/>
      <c r="U1195" s="12"/>
      <c r="V1195" s="21"/>
      <c r="Z1195" s="12"/>
      <c r="AA1195" s="29" t="n">
        <v>3</v>
      </c>
      <c r="AB1195" s="12" t="s">
        <v>4601</v>
      </c>
      <c r="AC1195" s="12"/>
      <c r="AD1195" s="12"/>
      <c r="AE1195" s="12"/>
    </row>
    <row r="1196" customFormat="false" ht="15.75" hidden="false" customHeight="false" outlineLevel="0" collapsed="false">
      <c r="A1196" s="12" t="s">
        <v>193</v>
      </c>
      <c r="B1196" s="12" t="s">
        <v>32</v>
      </c>
      <c r="C1196" s="23" t="s">
        <v>4661</v>
      </c>
      <c r="D1196" s="24" t="s">
        <v>94</v>
      </c>
      <c r="E1196" s="25" t="s">
        <v>4662</v>
      </c>
      <c r="F1196" s="17"/>
      <c r="G1196" s="17"/>
      <c r="H1196" s="17"/>
      <c r="I1196" s="17" t="s">
        <v>260</v>
      </c>
      <c r="J1196" s="32" t="s">
        <v>3791</v>
      </c>
      <c r="K1196" s="17"/>
      <c r="L1196" s="17"/>
      <c r="M1196" s="27"/>
      <c r="N1196" s="17"/>
      <c r="O1196" s="17"/>
      <c r="P1196" s="40" t="s">
        <v>261</v>
      </c>
      <c r="Q1196" s="12"/>
      <c r="R1196" s="12"/>
      <c r="S1196" s="12"/>
      <c r="T1196" s="12"/>
      <c r="U1196" s="12"/>
      <c r="V1196" s="21"/>
      <c r="Z1196" s="12"/>
      <c r="AA1196" s="29" t="n">
        <v>3</v>
      </c>
      <c r="AB1196" s="12" t="s">
        <v>4601</v>
      </c>
      <c r="AC1196" s="12"/>
      <c r="AD1196" s="12"/>
      <c r="AE1196" s="12"/>
    </row>
    <row r="1197" customFormat="false" ht="15.75" hidden="false" customHeight="false" outlineLevel="0" collapsed="false">
      <c r="A1197" s="12" t="s">
        <v>193</v>
      </c>
      <c r="B1197" s="12" t="s">
        <v>32</v>
      </c>
      <c r="C1197" s="23" t="s">
        <v>4663</v>
      </c>
      <c r="D1197" s="24" t="s">
        <v>94</v>
      </c>
      <c r="E1197" s="25" t="s">
        <v>4664</v>
      </c>
      <c r="F1197" s="17"/>
      <c r="G1197" s="17"/>
      <c r="H1197" s="17"/>
      <c r="I1197" s="17" t="s">
        <v>260</v>
      </c>
      <c r="J1197" s="32" t="s">
        <v>3791</v>
      </c>
      <c r="K1197" s="17"/>
      <c r="L1197" s="17"/>
      <c r="M1197" s="27"/>
      <c r="N1197" s="17"/>
      <c r="O1197" s="17"/>
      <c r="P1197" s="40" t="s">
        <v>261</v>
      </c>
      <c r="Q1197" s="20"/>
      <c r="R1197" s="20"/>
      <c r="S1197" s="20"/>
      <c r="T1197" s="20"/>
      <c r="U1197" s="20"/>
      <c r="V1197" s="45"/>
      <c r="Z1197" s="20"/>
      <c r="AA1197" s="22" t="n">
        <v>3</v>
      </c>
      <c r="AB1197" s="12" t="s">
        <v>4601</v>
      </c>
      <c r="AC1197" s="20"/>
      <c r="AD1197" s="20"/>
      <c r="AE1197" s="20"/>
    </row>
    <row r="1198" customFormat="false" ht="15.75" hidden="false" customHeight="false" outlineLevel="0" collapsed="false">
      <c r="A1198" s="12" t="s">
        <v>193</v>
      </c>
      <c r="B1198" s="12" t="s">
        <v>32</v>
      </c>
      <c r="C1198" s="23" t="s">
        <v>4665</v>
      </c>
      <c r="D1198" s="24" t="s">
        <v>94</v>
      </c>
      <c r="E1198" s="17"/>
      <c r="F1198" s="17"/>
      <c r="G1198" s="17"/>
      <c r="H1198" s="17"/>
      <c r="I1198" s="17" t="s">
        <v>260</v>
      </c>
      <c r="J1198" s="32" t="s">
        <v>3791</v>
      </c>
      <c r="K1198" s="17"/>
      <c r="L1198" s="17"/>
      <c r="M1198" s="27"/>
      <c r="N1198" s="17"/>
      <c r="O1198" s="17"/>
      <c r="P1198" s="40" t="s">
        <v>261</v>
      </c>
      <c r="Q1198" s="12"/>
      <c r="R1198" s="12"/>
      <c r="S1198" s="12"/>
      <c r="T1198" s="12"/>
      <c r="U1198" s="12"/>
      <c r="V1198" s="21"/>
      <c r="Z1198" s="12"/>
      <c r="AA1198" s="29" t="n">
        <v>1</v>
      </c>
      <c r="AB1198" s="12" t="s">
        <v>4666</v>
      </c>
      <c r="AC1198" s="12"/>
      <c r="AD1198" s="12"/>
      <c r="AE1198" s="12"/>
    </row>
    <row r="1199" customFormat="false" ht="15.75" hidden="false" customHeight="false" outlineLevel="0" collapsed="false">
      <c r="A1199" s="12" t="str">
        <f aca="false">IF((AA1199&gt;=4), "Y", "N")</f>
        <v>Y</v>
      </c>
      <c r="B1199" s="12" t="s">
        <v>32</v>
      </c>
      <c r="C1199" s="23" t="s">
        <v>4667</v>
      </c>
      <c r="D1199" s="24" t="s">
        <v>94</v>
      </c>
      <c r="E1199" s="25" t="s">
        <v>4668</v>
      </c>
      <c r="F1199" s="17" t="s">
        <v>4669</v>
      </c>
      <c r="G1199" s="17" t="s">
        <v>145</v>
      </c>
      <c r="H1199" s="17" t="s">
        <v>146</v>
      </c>
      <c r="I1199" s="17" t="s">
        <v>36</v>
      </c>
      <c r="J1199" s="32" t="s">
        <v>3791</v>
      </c>
      <c r="K1199" s="17" t="n">
        <v>2005</v>
      </c>
      <c r="L1199" s="38" t="s">
        <v>109</v>
      </c>
      <c r="M1199" s="27"/>
      <c r="N1199" s="39" t="s">
        <v>2751</v>
      </c>
      <c r="O1199" s="17" t="s">
        <v>675</v>
      </c>
      <c r="P1199" s="40" t="s">
        <v>111</v>
      </c>
      <c r="Q1199" s="12"/>
      <c r="R1199" s="12"/>
      <c r="S1199" s="12"/>
      <c r="T1199" s="12"/>
      <c r="U1199" s="12"/>
      <c r="V1199" s="21"/>
      <c r="Z1199" s="12"/>
      <c r="AA1199" s="29" t="n">
        <v>4</v>
      </c>
      <c r="AB1199" s="12"/>
      <c r="AC1199" s="12"/>
      <c r="AD1199" s="12"/>
      <c r="AE1199" s="12"/>
    </row>
    <row r="1200" customFormat="false" ht="15.75" hidden="false" customHeight="false" outlineLevel="0" collapsed="false">
      <c r="A1200" s="12" t="s">
        <v>193</v>
      </c>
      <c r="B1200" s="12" t="s">
        <v>32</v>
      </c>
      <c r="C1200" s="23" t="s">
        <v>4670</v>
      </c>
      <c r="D1200" s="24" t="s">
        <v>195</v>
      </c>
      <c r="E1200" s="25" t="s">
        <v>4671</v>
      </c>
      <c r="F1200" s="17" t="s">
        <v>4672</v>
      </c>
      <c r="G1200" s="17"/>
      <c r="H1200" s="17"/>
      <c r="I1200" s="26" t="s">
        <v>88</v>
      </c>
      <c r="J1200" s="32" t="s">
        <v>3791</v>
      </c>
      <c r="K1200" s="17"/>
      <c r="L1200" s="17"/>
      <c r="M1200" s="27"/>
      <c r="N1200" s="17"/>
      <c r="O1200" s="17"/>
      <c r="P1200" s="28" t="s">
        <v>59</v>
      </c>
      <c r="Q1200" s="17"/>
      <c r="R1200" s="17"/>
      <c r="S1200" s="17"/>
      <c r="T1200" s="17"/>
      <c r="U1200" s="17"/>
      <c r="V1200" s="27"/>
      <c r="Z1200" s="17"/>
      <c r="AA1200" s="29" t="n">
        <v>2</v>
      </c>
      <c r="AB1200" s="17" t="s">
        <v>4673</v>
      </c>
      <c r="AC1200" s="17"/>
      <c r="AD1200" s="17"/>
      <c r="AE1200" s="17"/>
    </row>
    <row r="1201" customFormat="false" ht="15.75" hidden="false" customHeight="false" outlineLevel="0" collapsed="false">
      <c r="A1201" s="12" t="str">
        <f aca="false">IF((AA1201&gt;=4), "Y", "N")</f>
        <v>Y</v>
      </c>
      <c r="B1201" s="12" t="s">
        <v>32</v>
      </c>
      <c r="C1201" s="23" t="s">
        <v>4674</v>
      </c>
      <c r="D1201" s="24" t="s">
        <v>94</v>
      </c>
      <c r="E1201" s="25" t="s">
        <v>4675</v>
      </c>
      <c r="F1201" s="17" t="s">
        <v>4676</v>
      </c>
      <c r="G1201" s="17" t="s">
        <v>4677</v>
      </c>
      <c r="H1201" s="26" t="s">
        <v>303</v>
      </c>
      <c r="I1201" s="17" t="s">
        <v>36</v>
      </c>
      <c r="J1201" s="32" t="s">
        <v>3791</v>
      </c>
      <c r="K1201" s="17" t="n">
        <v>2005</v>
      </c>
      <c r="L1201" s="38" t="s">
        <v>330</v>
      </c>
      <c r="M1201" s="27" t="s">
        <v>74</v>
      </c>
      <c r="N1201" s="39" t="s">
        <v>4678</v>
      </c>
      <c r="O1201" s="17"/>
      <c r="P1201" s="40" t="s">
        <v>111</v>
      </c>
      <c r="Q1201" s="12"/>
      <c r="R1201" s="12"/>
      <c r="S1201" s="12"/>
      <c r="T1201" s="12"/>
      <c r="U1201" s="12"/>
      <c r="V1201" s="21"/>
      <c r="Z1201" s="12"/>
      <c r="AA1201" s="29" t="n">
        <v>4</v>
      </c>
      <c r="AB1201" s="12"/>
      <c r="AC1201" s="12"/>
      <c r="AD1201" s="12"/>
      <c r="AE1201" s="12"/>
    </row>
    <row r="1202" customFormat="false" ht="15.75" hidden="false" customHeight="false" outlineLevel="0" collapsed="false">
      <c r="A1202" s="12" t="s">
        <v>193</v>
      </c>
      <c r="B1202" s="12" t="s">
        <v>32</v>
      </c>
      <c r="C1202" s="23" t="s">
        <v>4679</v>
      </c>
      <c r="D1202" s="24" t="s">
        <v>94</v>
      </c>
      <c r="E1202" s="17"/>
      <c r="F1202" s="17"/>
      <c r="G1202" s="17"/>
      <c r="H1202" s="17"/>
      <c r="I1202" s="17" t="s">
        <v>260</v>
      </c>
      <c r="J1202" s="32" t="s">
        <v>3791</v>
      </c>
      <c r="K1202" s="17"/>
      <c r="L1202" s="17"/>
      <c r="M1202" s="27"/>
      <c r="N1202" s="17"/>
      <c r="O1202" s="17"/>
      <c r="P1202" s="40" t="s">
        <v>261</v>
      </c>
      <c r="Q1202" s="20"/>
      <c r="R1202" s="20"/>
      <c r="S1202" s="20"/>
      <c r="T1202" s="20"/>
      <c r="U1202" s="20"/>
      <c r="V1202" s="45"/>
      <c r="Z1202" s="20"/>
      <c r="AA1202" s="22" t="n">
        <v>3</v>
      </c>
      <c r="AB1202" s="12" t="s">
        <v>4601</v>
      </c>
      <c r="AC1202" s="20"/>
      <c r="AD1202" s="20"/>
      <c r="AE1202" s="20"/>
    </row>
    <row r="1203" customFormat="false" ht="15.75" hidden="false" customHeight="false" outlineLevel="0" collapsed="false">
      <c r="A1203" s="12" t="str">
        <f aca="false">IF((AA1203&gt;=4), "Y", "N")</f>
        <v>Y</v>
      </c>
      <c r="B1203" s="13" t="s">
        <v>32</v>
      </c>
      <c r="C1203" s="31" t="s">
        <v>4680</v>
      </c>
      <c r="D1203" s="16" t="s">
        <v>94</v>
      </c>
      <c r="E1203" s="32" t="s">
        <v>4681</v>
      </c>
      <c r="F1203" s="32" t="s">
        <v>4682</v>
      </c>
      <c r="G1203" s="32" t="s">
        <v>71</v>
      </c>
      <c r="H1203" s="26" t="s">
        <v>72</v>
      </c>
      <c r="I1203" s="17" t="s">
        <v>36</v>
      </c>
      <c r="J1203" s="32" t="s">
        <v>3791</v>
      </c>
      <c r="K1203" s="33" t="n">
        <v>2012</v>
      </c>
      <c r="L1203" s="33" t="s">
        <v>109</v>
      </c>
      <c r="M1203" s="27" t="s">
        <v>74</v>
      </c>
      <c r="N1203" s="39" t="s">
        <v>2468</v>
      </c>
      <c r="O1203" s="17" t="s">
        <v>675</v>
      </c>
      <c r="P1203" s="19" t="s">
        <v>76</v>
      </c>
      <c r="Q1203" s="17"/>
      <c r="R1203" s="17" t="s">
        <v>4683</v>
      </c>
      <c r="S1203" s="17"/>
      <c r="T1203" s="17" t="s">
        <v>4684</v>
      </c>
      <c r="U1203" s="17"/>
      <c r="V1203" s="21" t="s">
        <v>31</v>
      </c>
      <c r="Z1203" s="17"/>
      <c r="AA1203" s="22" t="str">
        <f aca="false">IF(P1203="OD500 US (submitted)", "5", " ")</f>
        <v>5</v>
      </c>
      <c r="AB1203" s="17"/>
      <c r="AC1203" s="17"/>
      <c r="AD1203" s="17"/>
      <c r="AE1203" s="17"/>
    </row>
    <row r="1204" customFormat="false" ht="15.75" hidden="false" customHeight="false" outlineLevel="0" collapsed="false">
      <c r="A1204" s="12" t="s">
        <v>31</v>
      </c>
      <c r="B1204" s="12" t="s">
        <v>32</v>
      </c>
      <c r="C1204" s="23" t="s">
        <v>4685</v>
      </c>
      <c r="D1204" s="24" t="s">
        <v>94</v>
      </c>
      <c r="E1204" s="25" t="s">
        <v>4686</v>
      </c>
      <c r="F1204" s="17" t="s">
        <v>4687</v>
      </c>
      <c r="G1204" s="17" t="s">
        <v>3274</v>
      </c>
      <c r="H1204" s="17"/>
      <c r="I1204" s="26" t="s">
        <v>551</v>
      </c>
      <c r="J1204" s="32" t="s">
        <v>3791</v>
      </c>
      <c r="K1204" s="17" t="n">
        <v>2012</v>
      </c>
      <c r="L1204" s="17" t="s">
        <v>109</v>
      </c>
      <c r="M1204" s="27" t="s">
        <v>74</v>
      </c>
      <c r="N1204" s="17" t="s">
        <v>4688</v>
      </c>
      <c r="O1204" s="17" t="s">
        <v>675</v>
      </c>
      <c r="P1204" s="28" t="s">
        <v>46</v>
      </c>
      <c r="Q1204" s="20"/>
      <c r="R1204" s="20"/>
      <c r="S1204" s="20"/>
      <c r="T1204" s="20"/>
      <c r="U1204" s="20"/>
      <c r="V1204" s="45"/>
      <c r="Z1204" s="20"/>
      <c r="AA1204" s="22" t="n">
        <v>4</v>
      </c>
      <c r="AB1204" s="17" t="s">
        <v>4689</v>
      </c>
      <c r="AC1204" s="51" t="s">
        <v>4690</v>
      </c>
      <c r="AD1204" s="20"/>
      <c r="AE1204" s="20"/>
    </row>
    <row r="1205" customFormat="false" ht="15.75" hidden="false" customHeight="false" outlineLevel="0" collapsed="false">
      <c r="A1205" s="12"/>
      <c r="B1205" s="12" t="s">
        <v>32</v>
      </c>
      <c r="C1205" s="23" t="s">
        <v>4691</v>
      </c>
      <c r="D1205" s="24" t="s">
        <v>94</v>
      </c>
      <c r="E1205" s="25" t="s">
        <v>4692</v>
      </c>
      <c r="F1205" s="17"/>
      <c r="G1205" s="17"/>
      <c r="H1205" s="17"/>
      <c r="I1205" s="17" t="s">
        <v>260</v>
      </c>
      <c r="J1205" s="32" t="s">
        <v>3791</v>
      </c>
      <c r="K1205" s="17"/>
      <c r="L1205" s="17"/>
      <c r="M1205" s="27"/>
      <c r="N1205" s="17"/>
      <c r="O1205" s="17"/>
      <c r="P1205" s="40" t="s">
        <v>261</v>
      </c>
      <c r="Q1205" s="12"/>
      <c r="R1205" s="12"/>
      <c r="S1205" s="12"/>
      <c r="T1205" s="12"/>
      <c r="U1205" s="12"/>
      <c r="V1205" s="21"/>
      <c r="Z1205" s="12"/>
      <c r="AA1205" s="29" t="n">
        <v>3</v>
      </c>
      <c r="AB1205" s="12" t="s">
        <v>4601</v>
      </c>
      <c r="AC1205" s="12"/>
      <c r="AD1205" s="12"/>
      <c r="AE1205" s="12"/>
    </row>
    <row r="1206" customFormat="false" ht="15.75" hidden="false" customHeight="false" outlineLevel="0" collapsed="false">
      <c r="A1206" s="12" t="s">
        <v>31</v>
      </c>
      <c r="B1206" s="12" t="s">
        <v>32</v>
      </c>
      <c r="C1206" s="23" t="s">
        <v>4693</v>
      </c>
      <c r="D1206" s="24" t="s">
        <v>94</v>
      </c>
      <c r="E1206" s="25" t="s">
        <v>4694</v>
      </c>
      <c r="F1206" s="17" t="s">
        <v>4695</v>
      </c>
      <c r="G1206" s="17" t="s">
        <v>126</v>
      </c>
      <c r="H1206" s="17"/>
      <c r="I1206" s="26" t="s">
        <v>127</v>
      </c>
      <c r="J1206" s="32" t="s">
        <v>3791</v>
      </c>
      <c r="K1206" s="17" t="n">
        <v>2011</v>
      </c>
      <c r="L1206" s="17" t="s">
        <v>109</v>
      </c>
      <c r="M1206" s="27" t="s">
        <v>147</v>
      </c>
      <c r="N1206" s="17" t="s">
        <v>4696</v>
      </c>
      <c r="O1206" s="17" t="s">
        <v>675</v>
      </c>
      <c r="P1206" s="28" t="s">
        <v>46</v>
      </c>
      <c r="Q1206" s="12"/>
      <c r="R1206" s="12"/>
      <c r="S1206" s="12"/>
      <c r="T1206" s="12"/>
      <c r="U1206" s="12"/>
      <c r="V1206" s="21"/>
      <c r="Z1206" s="12"/>
      <c r="AA1206" s="29" t="n">
        <v>3</v>
      </c>
      <c r="AB1206" s="12" t="s">
        <v>4697</v>
      </c>
      <c r="AC1206" s="12"/>
      <c r="AD1206" s="12"/>
      <c r="AE1206" s="12"/>
    </row>
    <row r="1207" customFormat="false" ht="15.75" hidden="false" customHeight="false" outlineLevel="0" collapsed="false">
      <c r="A1207" s="12" t="s">
        <v>193</v>
      </c>
      <c r="B1207" s="12" t="s">
        <v>32</v>
      </c>
      <c r="C1207" s="23" t="s">
        <v>4698</v>
      </c>
      <c r="D1207" s="24" t="s">
        <v>94</v>
      </c>
      <c r="E1207" s="17"/>
      <c r="F1207" s="17"/>
      <c r="G1207" s="17"/>
      <c r="H1207" s="17"/>
      <c r="I1207" s="17" t="s">
        <v>260</v>
      </c>
      <c r="J1207" s="32" t="s">
        <v>3791</v>
      </c>
      <c r="K1207" s="17"/>
      <c r="L1207" s="17"/>
      <c r="M1207" s="27"/>
      <c r="N1207" s="17"/>
      <c r="O1207" s="17"/>
      <c r="P1207" s="40" t="s">
        <v>261</v>
      </c>
      <c r="Q1207" s="20"/>
      <c r="R1207" s="20"/>
      <c r="S1207" s="20"/>
      <c r="T1207" s="20"/>
      <c r="U1207" s="20"/>
      <c r="V1207" s="45"/>
      <c r="Z1207" s="20"/>
      <c r="AA1207" s="22" t="n">
        <v>1</v>
      </c>
      <c r="AB1207" s="12" t="s">
        <v>4699</v>
      </c>
      <c r="AC1207" s="20"/>
      <c r="AD1207" s="20"/>
      <c r="AE1207" s="20"/>
    </row>
    <row r="1208" customFormat="false" ht="15.75" hidden="false" customHeight="false" outlineLevel="0" collapsed="false">
      <c r="A1208" s="12" t="s">
        <v>193</v>
      </c>
      <c r="B1208" s="12" t="s">
        <v>32</v>
      </c>
      <c r="C1208" s="23" t="s">
        <v>4700</v>
      </c>
      <c r="D1208" s="24" t="s">
        <v>195</v>
      </c>
      <c r="E1208" s="17"/>
      <c r="F1208" s="17"/>
      <c r="G1208" s="17"/>
      <c r="H1208" s="17"/>
      <c r="I1208" s="17" t="s">
        <v>260</v>
      </c>
      <c r="J1208" s="32" t="s">
        <v>3791</v>
      </c>
      <c r="K1208" s="17"/>
      <c r="L1208" s="17"/>
      <c r="M1208" s="27"/>
      <c r="N1208" s="17"/>
      <c r="O1208" s="17"/>
      <c r="P1208" s="40" t="s">
        <v>261</v>
      </c>
      <c r="Q1208" s="17"/>
      <c r="R1208" s="17"/>
      <c r="S1208" s="17"/>
      <c r="T1208" s="17"/>
      <c r="U1208" s="17"/>
      <c r="V1208" s="27"/>
      <c r="Z1208" s="17"/>
      <c r="AA1208" s="29" t="n">
        <v>1</v>
      </c>
      <c r="AB1208" s="12" t="s">
        <v>4701</v>
      </c>
      <c r="AC1208" s="17"/>
      <c r="AD1208" s="17"/>
      <c r="AE1208" s="17"/>
    </row>
    <row r="1209" customFormat="false" ht="15.75" hidden="false" customHeight="false" outlineLevel="0" collapsed="false">
      <c r="A1209" s="12" t="str">
        <f aca="false">IF((AA1209&gt;=4), "Y", "N")</f>
        <v>Y</v>
      </c>
      <c r="B1209" s="12" t="s">
        <v>32</v>
      </c>
      <c r="C1209" s="23" t="s">
        <v>4702</v>
      </c>
      <c r="D1209" s="24" t="s">
        <v>94</v>
      </c>
      <c r="E1209" s="25" t="s">
        <v>4703</v>
      </c>
      <c r="F1209" s="17" t="s">
        <v>4704</v>
      </c>
      <c r="G1209" s="17" t="s">
        <v>4705</v>
      </c>
      <c r="H1209" s="26" t="s">
        <v>72</v>
      </c>
      <c r="I1209" s="17" t="s">
        <v>36</v>
      </c>
      <c r="J1209" s="32" t="s">
        <v>3791</v>
      </c>
      <c r="K1209" s="17" t="n">
        <v>2011</v>
      </c>
      <c r="L1209" s="38" t="s">
        <v>99</v>
      </c>
      <c r="M1209" s="27"/>
      <c r="N1209" s="36" t="s">
        <v>4706</v>
      </c>
      <c r="O1209" s="17"/>
      <c r="P1209" s="40" t="s">
        <v>111</v>
      </c>
      <c r="Q1209" s="12"/>
      <c r="R1209" s="12"/>
      <c r="S1209" s="12"/>
      <c r="T1209" s="12"/>
      <c r="U1209" s="12"/>
      <c r="V1209" s="21"/>
      <c r="Z1209" s="12"/>
      <c r="AA1209" s="29" t="n">
        <v>5</v>
      </c>
      <c r="AB1209" s="12"/>
      <c r="AC1209" s="12"/>
      <c r="AD1209" s="12"/>
      <c r="AE1209" s="12"/>
    </row>
    <row r="1210" customFormat="false" ht="15.75" hidden="false" customHeight="false" outlineLevel="0" collapsed="false">
      <c r="A1210" s="12"/>
      <c r="B1210" s="12" t="s">
        <v>32</v>
      </c>
      <c r="C1210" s="23" t="s">
        <v>4707</v>
      </c>
      <c r="D1210" s="24" t="s">
        <v>94</v>
      </c>
      <c r="E1210" s="25" t="s">
        <v>4708</v>
      </c>
      <c r="F1210" s="17"/>
      <c r="G1210" s="17"/>
      <c r="H1210" s="17"/>
      <c r="I1210" s="17" t="s">
        <v>260</v>
      </c>
      <c r="J1210" s="32" t="s">
        <v>3791</v>
      </c>
      <c r="K1210" s="17"/>
      <c r="L1210" s="17"/>
      <c r="M1210" s="27"/>
      <c r="N1210" s="17"/>
      <c r="O1210" s="17"/>
      <c r="P1210" s="40" t="s">
        <v>261</v>
      </c>
      <c r="Q1210" s="12"/>
      <c r="R1210" s="12"/>
      <c r="S1210" s="12"/>
      <c r="T1210" s="12"/>
      <c r="U1210" s="12"/>
      <c r="V1210" s="21"/>
      <c r="Z1210" s="12"/>
      <c r="AA1210" s="29"/>
      <c r="AB1210" s="12"/>
      <c r="AC1210" s="12"/>
      <c r="AD1210" s="12"/>
      <c r="AE1210" s="12"/>
    </row>
    <row r="1211" customFormat="false" ht="15.75" hidden="false" customHeight="false" outlineLevel="0" collapsed="false">
      <c r="A1211" s="12" t="str">
        <f aca="false">IF((AA1211&gt;=4), "Y", "N")</f>
        <v>Y</v>
      </c>
      <c r="B1211" s="12" t="s">
        <v>32</v>
      </c>
      <c r="C1211" s="23" t="s">
        <v>4709</v>
      </c>
      <c r="D1211" s="24" t="s">
        <v>94</v>
      </c>
      <c r="E1211" s="25" t="s">
        <v>4710</v>
      </c>
      <c r="F1211" s="17" t="s">
        <v>4711</v>
      </c>
      <c r="G1211" s="17" t="s">
        <v>4712</v>
      </c>
      <c r="H1211" s="26" t="s">
        <v>477</v>
      </c>
      <c r="I1211" s="17" t="s">
        <v>36</v>
      </c>
      <c r="J1211" s="32" t="s">
        <v>3791</v>
      </c>
      <c r="K1211" s="17" t="n">
        <v>1901</v>
      </c>
      <c r="L1211" s="38" t="s">
        <v>73</v>
      </c>
      <c r="M1211" s="27"/>
      <c r="N1211" s="39" t="s">
        <v>4587</v>
      </c>
      <c r="O1211" s="17" t="s">
        <v>675</v>
      </c>
      <c r="P1211" s="40" t="s">
        <v>111</v>
      </c>
      <c r="Q1211" s="12"/>
      <c r="R1211" s="12"/>
      <c r="S1211" s="12"/>
      <c r="T1211" s="12"/>
      <c r="U1211" s="12"/>
      <c r="V1211" s="21"/>
      <c r="Z1211" s="12"/>
      <c r="AA1211" s="29" t="n">
        <v>4</v>
      </c>
      <c r="AB1211" s="12" t="s">
        <v>4578</v>
      </c>
      <c r="AC1211" s="12"/>
      <c r="AD1211" s="12"/>
      <c r="AE1211" s="12"/>
    </row>
    <row r="1212" customFormat="false" ht="15.75" hidden="false" customHeight="false" outlineLevel="0" collapsed="false">
      <c r="A1212" s="12" t="str">
        <f aca="false">IF((AA1212&gt;=4), "Y", "N")</f>
        <v>Y</v>
      </c>
      <c r="B1212" s="12" t="s">
        <v>32</v>
      </c>
      <c r="C1212" s="23" t="s">
        <v>4713</v>
      </c>
      <c r="D1212" s="24" t="s">
        <v>94</v>
      </c>
      <c r="E1212" s="25" t="s">
        <v>4714</v>
      </c>
      <c r="F1212" s="17" t="s">
        <v>4715</v>
      </c>
      <c r="G1212" s="17" t="s">
        <v>4716</v>
      </c>
      <c r="H1212" s="26" t="s">
        <v>72</v>
      </c>
      <c r="I1212" s="17" t="s">
        <v>36</v>
      </c>
      <c r="J1212" s="32" t="s">
        <v>3791</v>
      </c>
      <c r="K1212" s="17" t="n">
        <v>1997</v>
      </c>
      <c r="L1212" s="38" t="s">
        <v>99</v>
      </c>
      <c r="M1212" s="27"/>
      <c r="N1212" s="39" t="s">
        <v>4717</v>
      </c>
      <c r="O1212" s="17" t="s">
        <v>149</v>
      </c>
      <c r="P1212" s="40" t="s">
        <v>111</v>
      </c>
      <c r="Q1212" s="12"/>
      <c r="R1212" s="12"/>
      <c r="S1212" s="12"/>
      <c r="T1212" s="12"/>
      <c r="U1212" s="12"/>
      <c r="V1212" s="21"/>
      <c r="Z1212" s="12"/>
      <c r="AA1212" s="29" t="n">
        <v>4</v>
      </c>
      <c r="AB1212" s="12"/>
      <c r="AC1212" s="12"/>
      <c r="AD1212" s="12"/>
      <c r="AE1212" s="12"/>
    </row>
    <row r="1213" customFormat="false" ht="15.75" hidden="false" customHeight="false" outlineLevel="0" collapsed="false">
      <c r="A1213" s="12" t="str">
        <f aca="false">IF((AA1213&gt;=4), "Y", "N")</f>
        <v>Y</v>
      </c>
      <c r="B1213" s="12" t="s">
        <v>32</v>
      </c>
      <c r="C1213" s="23" t="s">
        <v>4718</v>
      </c>
      <c r="D1213" s="24" t="s">
        <v>94</v>
      </c>
      <c r="E1213" s="25" t="s">
        <v>4719</v>
      </c>
      <c r="F1213" s="17" t="s">
        <v>4720</v>
      </c>
      <c r="G1213" s="17" t="s">
        <v>4721</v>
      </c>
      <c r="H1213" s="26" t="s">
        <v>3482</v>
      </c>
      <c r="I1213" s="17" t="s">
        <v>36</v>
      </c>
      <c r="J1213" s="32" t="s">
        <v>3791</v>
      </c>
      <c r="K1213" s="17" t="n">
        <v>1933</v>
      </c>
      <c r="L1213" s="38" t="s">
        <v>482</v>
      </c>
      <c r="M1213" s="27"/>
      <c r="N1213" s="65" t="s">
        <v>4587</v>
      </c>
      <c r="O1213" s="17" t="s">
        <v>675</v>
      </c>
      <c r="P1213" s="40" t="s">
        <v>111</v>
      </c>
      <c r="Q1213" s="12"/>
      <c r="R1213" s="12"/>
      <c r="S1213" s="12"/>
      <c r="T1213" s="12"/>
      <c r="U1213" s="12"/>
      <c r="V1213" s="21"/>
      <c r="Z1213" s="12"/>
      <c r="AA1213" s="29" t="n">
        <v>4</v>
      </c>
      <c r="AB1213" s="12" t="s">
        <v>4578</v>
      </c>
      <c r="AC1213" s="12"/>
      <c r="AD1213" s="12"/>
      <c r="AE1213" s="12"/>
    </row>
    <row r="1214" customFormat="false" ht="15.75" hidden="false" customHeight="false" outlineLevel="0" collapsed="false">
      <c r="A1214" s="12"/>
      <c r="B1214" s="12" t="s">
        <v>32</v>
      </c>
      <c r="C1214" s="23" t="s">
        <v>4722</v>
      </c>
      <c r="D1214" s="24" t="s">
        <v>195</v>
      </c>
      <c r="E1214" s="17"/>
      <c r="F1214" s="17"/>
      <c r="G1214" s="17"/>
      <c r="H1214" s="17"/>
      <c r="I1214" s="17" t="s">
        <v>260</v>
      </c>
      <c r="J1214" s="32" t="s">
        <v>3791</v>
      </c>
      <c r="K1214" s="17"/>
      <c r="L1214" s="17"/>
      <c r="M1214" s="27"/>
      <c r="N1214" s="17"/>
      <c r="O1214" s="17"/>
      <c r="P1214" s="40" t="s">
        <v>261</v>
      </c>
      <c r="Q1214" s="12"/>
      <c r="R1214" s="12"/>
      <c r="S1214" s="12"/>
      <c r="T1214" s="12"/>
      <c r="U1214" s="12"/>
      <c r="V1214" s="21"/>
      <c r="Z1214" s="12"/>
      <c r="AA1214" s="29" t="n">
        <v>3</v>
      </c>
      <c r="AB1214" s="12" t="s">
        <v>4601</v>
      </c>
      <c r="AC1214" s="12"/>
      <c r="AD1214" s="12"/>
      <c r="AE1214" s="12"/>
    </row>
    <row r="1215" customFormat="false" ht="15.75" hidden="false" customHeight="false" outlineLevel="0" collapsed="false">
      <c r="A1215" s="12"/>
      <c r="B1215" s="12" t="s">
        <v>32</v>
      </c>
      <c r="C1215" s="23" t="s">
        <v>4723</v>
      </c>
      <c r="D1215" s="24" t="s">
        <v>94</v>
      </c>
      <c r="E1215" s="25" t="s">
        <v>4724</v>
      </c>
      <c r="F1215" s="17"/>
      <c r="G1215" s="17"/>
      <c r="H1215" s="17"/>
      <c r="I1215" s="17" t="s">
        <v>260</v>
      </c>
      <c r="J1215" s="32" t="s">
        <v>3791</v>
      </c>
      <c r="K1215" s="17"/>
      <c r="L1215" s="17"/>
      <c r="M1215" s="27"/>
      <c r="N1215" s="17"/>
      <c r="O1215" s="17"/>
      <c r="P1215" s="40" t="s">
        <v>261</v>
      </c>
      <c r="Q1215" s="20"/>
      <c r="R1215" s="20"/>
      <c r="S1215" s="20"/>
      <c r="T1215" s="20"/>
      <c r="U1215" s="20"/>
      <c r="V1215" s="45"/>
      <c r="Z1215" s="20"/>
      <c r="AA1215" s="22" t="n">
        <v>3</v>
      </c>
      <c r="AB1215" s="12" t="s">
        <v>4601</v>
      </c>
      <c r="AC1215" s="20"/>
      <c r="AD1215" s="20"/>
      <c r="AE1215" s="20"/>
    </row>
    <row r="1216" customFormat="false" ht="15.75" hidden="false" customHeight="false" outlineLevel="0" collapsed="false">
      <c r="A1216" s="12" t="str">
        <f aca="false">IF((AA1216&gt;=4), "Y", "N")</f>
        <v>Y</v>
      </c>
      <c r="B1216" s="13" t="s">
        <v>32</v>
      </c>
      <c r="C1216" s="31" t="s">
        <v>4725</v>
      </c>
      <c r="D1216" s="16" t="s">
        <v>94</v>
      </c>
      <c r="E1216" s="32" t="s">
        <v>4726</v>
      </c>
      <c r="F1216" s="32" t="s">
        <v>4727</v>
      </c>
      <c r="G1216" s="32" t="s">
        <v>145</v>
      </c>
      <c r="H1216" s="26" t="s">
        <v>146</v>
      </c>
      <c r="I1216" s="17" t="s">
        <v>36</v>
      </c>
      <c r="J1216" s="32" t="s">
        <v>3791</v>
      </c>
      <c r="K1216" s="33" t="n">
        <v>2006</v>
      </c>
      <c r="L1216" s="33" t="s">
        <v>99</v>
      </c>
      <c r="M1216" s="27" t="s">
        <v>74</v>
      </c>
      <c r="N1216" s="79" t="s">
        <v>4728</v>
      </c>
      <c r="O1216" s="17" t="s">
        <v>1495</v>
      </c>
      <c r="P1216" s="19" t="s">
        <v>76</v>
      </c>
      <c r="Q1216" s="20"/>
      <c r="R1216" s="20" t="s">
        <v>4729</v>
      </c>
      <c r="S1216" s="20"/>
      <c r="T1216" s="20" t="s">
        <v>4730</v>
      </c>
      <c r="U1216" s="20"/>
      <c r="V1216" s="21" t="s">
        <v>31</v>
      </c>
      <c r="Z1216" s="20"/>
      <c r="AA1216" s="22" t="str">
        <f aca="false">IF(P1216="OD500 US (submitted)", "5", " ")</f>
        <v>5</v>
      </c>
      <c r="AB1216" s="20"/>
      <c r="AC1216" s="20"/>
      <c r="AD1216" s="20"/>
      <c r="AE1216" s="20"/>
    </row>
    <row r="1217" customFormat="false" ht="15.75" hidden="false" customHeight="false" outlineLevel="0" collapsed="false">
      <c r="A1217" s="12" t="s">
        <v>31</v>
      </c>
      <c r="B1217" s="12" t="s">
        <v>1376</v>
      </c>
      <c r="C1217" s="23" t="s">
        <v>4731</v>
      </c>
      <c r="D1217" s="24" t="s">
        <v>620</v>
      </c>
      <c r="E1217" s="25" t="s">
        <v>4732</v>
      </c>
      <c r="F1217" s="32" t="s">
        <v>4733</v>
      </c>
      <c r="G1217" s="17" t="s">
        <v>779</v>
      </c>
      <c r="H1217" s="17"/>
      <c r="I1217" s="26" t="s">
        <v>45</v>
      </c>
      <c r="J1217" s="32" t="s">
        <v>3791</v>
      </c>
      <c r="K1217" s="17"/>
      <c r="L1217" s="17"/>
      <c r="M1217" s="27"/>
      <c r="N1217" s="39" t="s">
        <v>4734</v>
      </c>
      <c r="O1217" s="17"/>
      <c r="P1217" s="28" t="s">
        <v>46</v>
      </c>
      <c r="Q1217" s="12"/>
      <c r="R1217" s="12"/>
      <c r="S1217" s="12"/>
      <c r="T1217" s="12"/>
      <c r="U1217" s="12"/>
      <c r="V1217" s="21"/>
      <c r="Z1217" s="12"/>
      <c r="AA1217" s="29" t="n">
        <v>4</v>
      </c>
      <c r="AB1217" s="12"/>
      <c r="AC1217" s="12"/>
      <c r="AD1217" s="12"/>
      <c r="AE1217" s="12"/>
    </row>
    <row r="1218" customFormat="false" ht="15.75" hidden="false" customHeight="false" outlineLevel="0" collapsed="false">
      <c r="A1218" s="12" t="s">
        <v>193</v>
      </c>
      <c r="B1218" s="12" t="s">
        <v>32</v>
      </c>
      <c r="C1218" s="23" t="s">
        <v>4735</v>
      </c>
      <c r="D1218" s="24" t="s">
        <v>195</v>
      </c>
      <c r="E1218" s="25" t="s">
        <v>4736</v>
      </c>
      <c r="F1218" s="17" t="s">
        <v>4737</v>
      </c>
      <c r="G1218" s="17"/>
      <c r="H1218" s="17"/>
      <c r="I1218" s="26" t="s">
        <v>543</v>
      </c>
      <c r="J1218" s="32" t="s">
        <v>3791</v>
      </c>
      <c r="K1218" s="17"/>
      <c r="L1218" s="17"/>
      <c r="M1218" s="27"/>
      <c r="N1218" s="17"/>
      <c r="O1218" s="17"/>
      <c r="P1218" s="28" t="s">
        <v>59</v>
      </c>
      <c r="Q1218" s="20"/>
      <c r="R1218" s="20"/>
      <c r="S1218" s="20"/>
      <c r="T1218" s="20"/>
      <c r="U1218" s="20"/>
      <c r="V1218" s="45"/>
      <c r="Z1218" s="20"/>
      <c r="AA1218" s="22"/>
      <c r="AB1218" s="20"/>
      <c r="AC1218" s="20"/>
      <c r="AD1218" s="20"/>
      <c r="AE1218" s="20"/>
    </row>
    <row r="1219" customFormat="false" ht="15.75" hidden="false" customHeight="false" outlineLevel="0" collapsed="false">
      <c r="A1219" s="12"/>
      <c r="B1219" s="12" t="s">
        <v>32</v>
      </c>
      <c r="C1219" s="23" t="s">
        <v>4738</v>
      </c>
      <c r="D1219" s="24" t="s">
        <v>94</v>
      </c>
      <c r="E1219" s="25" t="s">
        <v>4739</v>
      </c>
      <c r="F1219" s="17"/>
      <c r="G1219" s="17"/>
      <c r="H1219" s="17"/>
      <c r="I1219" s="26" t="s">
        <v>543</v>
      </c>
      <c r="J1219" s="32" t="s">
        <v>3791</v>
      </c>
      <c r="K1219" s="17"/>
      <c r="L1219" s="17"/>
      <c r="M1219" s="27"/>
      <c r="N1219" s="17"/>
      <c r="O1219" s="17"/>
      <c r="P1219" s="28" t="s">
        <v>46</v>
      </c>
      <c r="Q1219" s="12"/>
      <c r="R1219" s="12"/>
      <c r="S1219" s="12"/>
      <c r="T1219" s="12"/>
      <c r="U1219" s="12"/>
      <c r="V1219" s="21"/>
      <c r="Z1219" s="12"/>
      <c r="AA1219" s="29" t="n">
        <v>3</v>
      </c>
      <c r="AB1219" s="12" t="s">
        <v>4740</v>
      </c>
      <c r="AC1219" s="12"/>
      <c r="AD1219" s="12"/>
      <c r="AE1219" s="12"/>
    </row>
    <row r="1220" customFormat="false" ht="15.75" hidden="false" customHeight="false" outlineLevel="0" collapsed="false">
      <c r="A1220" s="12" t="s">
        <v>193</v>
      </c>
      <c r="B1220" s="12" t="s">
        <v>1376</v>
      </c>
      <c r="C1220" s="23" t="s">
        <v>4741</v>
      </c>
      <c r="D1220" s="24"/>
      <c r="E1220" s="17"/>
      <c r="F1220" s="17"/>
      <c r="G1220" s="17"/>
      <c r="H1220" s="17"/>
      <c r="I1220" s="17" t="s">
        <v>260</v>
      </c>
      <c r="J1220" s="32" t="s">
        <v>3791</v>
      </c>
      <c r="K1220" s="17"/>
      <c r="L1220" s="17"/>
      <c r="M1220" s="27"/>
      <c r="N1220" s="17"/>
      <c r="O1220" s="17"/>
      <c r="P1220" s="40" t="s">
        <v>261</v>
      </c>
      <c r="Q1220" s="12"/>
      <c r="R1220" s="12"/>
      <c r="S1220" s="12"/>
      <c r="T1220" s="12"/>
      <c r="U1220" s="12"/>
      <c r="V1220" s="21"/>
      <c r="Z1220" s="12"/>
      <c r="AA1220" s="29" t="n">
        <v>3</v>
      </c>
      <c r="AB1220" s="12" t="s">
        <v>4627</v>
      </c>
      <c r="AC1220" s="12"/>
      <c r="AD1220" s="12"/>
      <c r="AE1220" s="12"/>
    </row>
    <row r="1221" customFormat="false" ht="15.75" hidden="false" customHeight="false" outlineLevel="0" collapsed="false">
      <c r="A1221" s="12" t="s">
        <v>31</v>
      </c>
      <c r="B1221" s="12" t="s">
        <v>1376</v>
      </c>
      <c r="C1221" s="23" t="s">
        <v>4742</v>
      </c>
      <c r="D1221" s="24" t="s">
        <v>94</v>
      </c>
      <c r="E1221" s="25" t="s">
        <v>4743</v>
      </c>
      <c r="F1221" s="17" t="s">
        <v>4744</v>
      </c>
      <c r="G1221" s="17" t="s">
        <v>4745</v>
      </c>
      <c r="H1221" s="17"/>
      <c r="I1221" s="26" t="s">
        <v>1644</v>
      </c>
      <c r="J1221" s="32" t="s">
        <v>3791</v>
      </c>
      <c r="K1221" s="17"/>
      <c r="L1221" s="17"/>
      <c r="M1221" s="108"/>
      <c r="N1221" s="39" t="s">
        <v>4746</v>
      </c>
      <c r="O1221" s="17"/>
      <c r="P1221" s="28" t="s">
        <v>59</v>
      </c>
      <c r="Q1221" s="12"/>
      <c r="R1221" s="12"/>
      <c r="S1221" s="12"/>
      <c r="T1221" s="12"/>
      <c r="U1221" s="12"/>
      <c r="V1221" s="21"/>
      <c r="Z1221" s="12"/>
      <c r="AA1221" s="29" t="n">
        <v>4</v>
      </c>
      <c r="AB1221" s="12"/>
      <c r="AC1221" s="12"/>
      <c r="AD1221" s="12"/>
      <c r="AE1221" s="12"/>
    </row>
    <row r="1222" customFormat="false" ht="15.75" hidden="false" customHeight="false" outlineLevel="0" collapsed="false">
      <c r="A1222" s="12" t="s">
        <v>193</v>
      </c>
      <c r="B1222" s="12" t="s">
        <v>1376</v>
      </c>
      <c r="C1222" s="23" t="s">
        <v>4747</v>
      </c>
      <c r="D1222" s="24"/>
      <c r="E1222" s="17"/>
      <c r="F1222" s="17"/>
      <c r="G1222" s="17"/>
      <c r="H1222" s="17"/>
      <c r="I1222" s="17" t="s">
        <v>260</v>
      </c>
      <c r="J1222" s="32" t="s">
        <v>3791</v>
      </c>
      <c r="K1222" s="17"/>
      <c r="L1222" s="17"/>
      <c r="M1222" s="27"/>
      <c r="N1222" s="17"/>
      <c r="O1222" s="17"/>
      <c r="P1222" s="40" t="s">
        <v>261</v>
      </c>
      <c r="Q1222" s="20"/>
      <c r="R1222" s="20"/>
      <c r="S1222" s="20"/>
      <c r="T1222" s="20"/>
      <c r="U1222" s="20"/>
      <c r="V1222" s="45"/>
      <c r="Z1222" s="20"/>
      <c r="AA1222" s="29" t="n">
        <v>3</v>
      </c>
      <c r="AB1222" s="12" t="s">
        <v>4627</v>
      </c>
      <c r="AC1222" s="20"/>
      <c r="AD1222" s="20"/>
      <c r="AE1222" s="20"/>
    </row>
    <row r="1223" customFormat="false" ht="15.75" hidden="false" customHeight="false" outlineLevel="0" collapsed="false">
      <c r="A1223" s="12" t="s">
        <v>193</v>
      </c>
      <c r="B1223" s="12" t="s">
        <v>1376</v>
      </c>
      <c r="C1223" s="23" t="s">
        <v>4748</v>
      </c>
      <c r="D1223" s="24"/>
      <c r="E1223" s="17"/>
      <c r="F1223" s="17"/>
      <c r="G1223" s="17"/>
      <c r="H1223" s="17"/>
      <c r="I1223" s="17" t="s">
        <v>260</v>
      </c>
      <c r="J1223" s="32" t="s">
        <v>3791</v>
      </c>
      <c r="K1223" s="17"/>
      <c r="L1223" s="17"/>
      <c r="M1223" s="27"/>
      <c r="N1223" s="17"/>
      <c r="O1223" s="17"/>
      <c r="P1223" s="40" t="s">
        <v>261</v>
      </c>
      <c r="Q1223" s="17"/>
      <c r="R1223" s="17"/>
      <c r="S1223" s="17"/>
      <c r="T1223" s="17"/>
      <c r="U1223" s="17"/>
      <c r="V1223" s="27"/>
      <c r="Z1223" s="17"/>
      <c r="AA1223" s="29" t="n">
        <v>3</v>
      </c>
      <c r="AB1223" s="12" t="s">
        <v>4627</v>
      </c>
      <c r="AC1223" s="17"/>
      <c r="AD1223" s="17"/>
      <c r="AE1223" s="17"/>
    </row>
    <row r="1224" customFormat="false" ht="15.75" hidden="false" customHeight="false" outlineLevel="0" collapsed="false">
      <c r="A1224" s="12" t="str">
        <f aca="false">IF((AA1224&gt;=4), "Y", "N")</f>
        <v>Y</v>
      </c>
      <c r="B1224" s="13" t="s">
        <v>1376</v>
      </c>
      <c r="C1224" s="31" t="s">
        <v>4749</v>
      </c>
      <c r="D1224" s="16" t="s">
        <v>94</v>
      </c>
      <c r="E1224" s="32" t="s">
        <v>4750</v>
      </c>
      <c r="F1224" s="32" t="s">
        <v>4751</v>
      </c>
      <c r="G1224" s="32" t="s">
        <v>145</v>
      </c>
      <c r="H1224" s="26" t="s">
        <v>146</v>
      </c>
      <c r="I1224" s="17" t="s">
        <v>36</v>
      </c>
      <c r="J1224" s="32" t="s">
        <v>3791</v>
      </c>
      <c r="K1224" s="33" t="n">
        <v>2010</v>
      </c>
      <c r="L1224" s="33" t="s">
        <v>109</v>
      </c>
      <c r="M1224" s="27"/>
      <c r="N1224" s="39" t="s">
        <v>377</v>
      </c>
      <c r="O1224" s="17"/>
      <c r="P1224" s="19" t="s">
        <v>76</v>
      </c>
      <c r="Q1224" s="12"/>
      <c r="R1224" s="12" t="s">
        <v>4752</v>
      </c>
      <c r="S1224" s="12"/>
      <c r="T1224" s="12" t="s">
        <v>4753</v>
      </c>
      <c r="U1224" s="12"/>
      <c r="V1224" s="21" t="s">
        <v>31</v>
      </c>
      <c r="Z1224" s="12"/>
      <c r="AA1224" s="22" t="str">
        <f aca="false">IF(P1224="OD500 US (submitted)", "5", " ")</f>
        <v>5</v>
      </c>
      <c r="AB1224" s="12"/>
      <c r="AC1224" s="12"/>
      <c r="AD1224" s="12"/>
      <c r="AE1224" s="12"/>
    </row>
    <row r="1225" customFormat="false" ht="15.75" hidden="false" customHeight="false" outlineLevel="0" collapsed="false">
      <c r="A1225" s="12" t="s">
        <v>193</v>
      </c>
      <c r="B1225" s="54" t="s">
        <v>1376</v>
      </c>
      <c r="C1225" s="55" t="s">
        <v>4754</v>
      </c>
      <c r="D1225" s="15"/>
      <c r="E1225" s="16" t="s">
        <v>4755</v>
      </c>
      <c r="F1225" s="15" t="s">
        <v>4756</v>
      </c>
      <c r="G1225" s="15" t="s">
        <v>71</v>
      </c>
      <c r="H1225" s="15" t="s">
        <v>72</v>
      </c>
      <c r="I1225" s="17" t="s">
        <v>36</v>
      </c>
      <c r="J1225" s="32" t="s">
        <v>3791</v>
      </c>
      <c r="K1225" s="32"/>
      <c r="L1225" s="17"/>
      <c r="M1225" s="18"/>
      <c r="N1225" s="39" t="s">
        <v>4757</v>
      </c>
      <c r="O1225" s="17"/>
      <c r="P1225" s="19" t="s">
        <v>39</v>
      </c>
      <c r="Q1225" s="17"/>
      <c r="R1225" s="17" t="s">
        <v>4758</v>
      </c>
      <c r="S1225" s="17"/>
      <c r="T1225" s="17" t="s">
        <v>4759</v>
      </c>
      <c r="U1225" s="17"/>
      <c r="V1225" s="21" t="s">
        <v>31</v>
      </c>
      <c r="Z1225" s="17"/>
      <c r="AA1225" s="29"/>
      <c r="AB1225" s="18" t="s">
        <v>4760</v>
      </c>
      <c r="AC1225" s="17"/>
      <c r="AD1225" s="17"/>
      <c r="AE1225" s="17"/>
    </row>
    <row r="1226" customFormat="false" ht="15.75" hidden="false" customHeight="false" outlineLevel="0" collapsed="false">
      <c r="A1226" s="12" t="s">
        <v>193</v>
      </c>
      <c r="B1226" s="54" t="s">
        <v>1376</v>
      </c>
      <c r="C1226" s="55" t="s">
        <v>4754</v>
      </c>
      <c r="D1226" s="15"/>
      <c r="E1226" s="16" t="s">
        <v>4761</v>
      </c>
      <c r="F1226" s="15" t="s">
        <v>4762</v>
      </c>
      <c r="G1226" s="15"/>
      <c r="H1226" s="15"/>
      <c r="I1226" s="17" t="s">
        <v>36</v>
      </c>
      <c r="J1226" s="32" t="s">
        <v>3791</v>
      </c>
      <c r="K1226" s="32"/>
      <c r="L1226" s="17"/>
      <c r="M1226" s="18"/>
      <c r="N1226" s="17"/>
      <c r="O1226" s="17"/>
      <c r="P1226" s="19" t="s">
        <v>39</v>
      </c>
      <c r="Q1226" s="12"/>
      <c r="R1226" s="12" t="s">
        <v>4758</v>
      </c>
      <c r="S1226" s="12"/>
      <c r="T1226" s="12" t="s">
        <v>4759</v>
      </c>
      <c r="U1226" s="12"/>
      <c r="V1226" s="21" t="s">
        <v>31</v>
      </c>
      <c r="Z1226" s="12"/>
      <c r="AA1226" s="29"/>
      <c r="AB1226" s="12" t="s">
        <v>4763</v>
      </c>
      <c r="AC1226" s="12"/>
      <c r="AD1226" s="12"/>
      <c r="AE1226" s="12"/>
    </row>
    <row r="1227" customFormat="false" ht="15.75" hidden="false" customHeight="false" outlineLevel="0" collapsed="false">
      <c r="A1227" s="12" t="s">
        <v>193</v>
      </c>
      <c r="B1227" s="54" t="s">
        <v>1376</v>
      </c>
      <c r="C1227" s="55" t="s">
        <v>4754</v>
      </c>
      <c r="D1227" s="15"/>
      <c r="E1227" s="32"/>
      <c r="F1227" s="15" t="s">
        <v>4764</v>
      </c>
      <c r="G1227" s="15"/>
      <c r="H1227" s="15"/>
      <c r="I1227" s="17" t="s">
        <v>36</v>
      </c>
      <c r="J1227" s="32" t="s">
        <v>3791</v>
      </c>
      <c r="K1227" s="32"/>
      <c r="L1227" s="17"/>
      <c r="M1227" s="18"/>
      <c r="N1227" s="17"/>
      <c r="O1227" s="17"/>
      <c r="P1227" s="19" t="s">
        <v>39</v>
      </c>
      <c r="Q1227" s="12"/>
      <c r="R1227" s="12" t="s">
        <v>4758</v>
      </c>
      <c r="S1227" s="12"/>
      <c r="T1227" s="12" t="s">
        <v>4759</v>
      </c>
      <c r="U1227" s="12"/>
      <c r="V1227" s="21" t="s">
        <v>31</v>
      </c>
      <c r="Z1227" s="12"/>
      <c r="AA1227" s="29"/>
      <c r="AB1227" s="18" t="s">
        <v>4765</v>
      </c>
      <c r="AC1227" s="12"/>
      <c r="AD1227" s="12"/>
      <c r="AE1227" s="12"/>
    </row>
    <row r="1228" customFormat="false" ht="15.75" hidden="false" customHeight="false" outlineLevel="0" collapsed="false">
      <c r="A1228" s="12" t="str">
        <f aca="false">IF((AA1228&gt;=4), "Y", "N")</f>
        <v>Y</v>
      </c>
      <c r="B1228" s="12" t="s">
        <v>49</v>
      </c>
      <c r="C1228" s="64" t="s">
        <v>4766</v>
      </c>
      <c r="D1228" s="24" t="s">
        <v>94</v>
      </c>
      <c r="E1228" s="25" t="s">
        <v>4767</v>
      </c>
      <c r="F1228" s="17" t="s">
        <v>4768</v>
      </c>
      <c r="G1228" s="17" t="s">
        <v>476</v>
      </c>
      <c r="H1228" s="26" t="s">
        <v>477</v>
      </c>
      <c r="I1228" s="17" t="s">
        <v>36</v>
      </c>
      <c r="J1228" s="32" t="s">
        <v>3791</v>
      </c>
      <c r="K1228" s="17" t="n">
        <v>2010</v>
      </c>
      <c r="L1228" s="38" t="s">
        <v>109</v>
      </c>
      <c r="M1228" s="27" t="s">
        <v>147</v>
      </c>
      <c r="N1228" s="17" t="s">
        <v>377</v>
      </c>
      <c r="O1228" s="17"/>
      <c r="P1228" s="40" t="s">
        <v>111</v>
      </c>
      <c r="Q1228" s="12"/>
      <c r="R1228" s="12"/>
      <c r="S1228" s="12"/>
      <c r="T1228" s="12"/>
      <c r="U1228" s="12"/>
      <c r="V1228" s="21"/>
      <c r="Z1228" s="12"/>
      <c r="AA1228" s="29" t="n">
        <v>4</v>
      </c>
      <c r="AB1228" s="12"/>
      <c r="AC1228" s="12"/>
      <c r="AD1228" s="12"/>
      <c r="AE1228" s="12"/>
    </row>
    <row r="1229" customFormat="false" ht="15.75" hidden="false" customHeight="false" outlineLevel="0" collapsed="false">
      <c r="A1229" s="12" t="s">
        <v>193</v>
      </c>
      <c r="B1229" s="12" t="s">
        <v>1376</v>
      </c>
      <c r="C1229" s="23" t="s">
        <v>4769</v>
      </c>
      <c r="D1229" s="24"/>
      <c r="E1229" s="17"/>
      <c r="F1229" s="17"/>
      <c r="G1229" s="17"/>
      <c r="H1229" s="17"/>
      <c r="I1229" s="17" t="s">
        <v>260</v>
      </c>
      <c r="J1229" s="32" t="s">
        <v>3791</v>
      </c>
      <c r="K1229" s="17"/>
      <c r="L1229" s="17"/>
      <c r="M1229" s="27"/>
      <c r="N1229" s="17"/>
      <c r="O1229" s="17"/>
      <c r="P1229" s="40" t="s">
        <v>261</v>
      </c>
      <c r="Q1229" s="20"/>
      <c r="R1229" s="20"/>
      <c r="S1229" s="20"/>
      <c r="T1229" s="20"/>
      <c r="U1229" s="20"/>
      <c r="V1229" s="45"/>
      <c r="Z1229" s="20"/>
      <c r="AA1229" s="29" t="n">
        <v>1</v>
      </c>
      <c r="AB1229" s="12" t="s">
        <v>4770</v>
      </c>
      <c r="AC1229" s="20"/>
      <c r="AD1229" s="20"/>
      <c r="AE1229" s="20"/>
    </row>
    <row r="1230" customFormat="false" ht="15.75" hidden="false" customHeight="false" outlineLevel="0" collapsed="false">
      <c r="A1230" s="12" t="s">
        <v>31</v>
      </c>
      <c r="B1230" s="12" t="s">
        <v>1376</v>
      </c>
      <c r="C1230" s="23" t="s">
        <v>4771</v>
      </c>
      <c r="D1230" s="24" t="s">
        <v>94</v>
      </c>
      <c r="E1230" s="25" t="s">
        <v>4772</v>
      </c>
      <c r="F1230" s="17" t="s">
        <v>4773</v>
      </c>
      <c r="G1230" s="17" t="s">
        <v>4774</v>
      </c>
      <c r="H1230" s="26" t="s">
        <v>341</v>
      </c>
      <c r="I1230" s="17" t="s">
        <v>36</v>
      </c>
      <c r="J1230" s="32" t="s">
        <v>3791</v>
      </c>
      <c r="K1230" s="17" t="n">
        <v>1905</v>
      </c>
      <c r="L1230" s="38" t="s">
        <v>330</v>
      </c>
      <c r="M1230" s="27"/>
      <c r="N1230" s="39" t="s">
        <v>315</v>
      </c>
      <c r="O1230" s="17"/>
      <c r="P1230" s="40" t="s">
        <v>111</v>
      </c>
      <c r="Q1230" s="12"/>
      <c r="R1230" s="12"/>
      <c r="S1230" s="12"/>
      <c r="T1230" s="12"/>
      <c r="U1230" s="12"/>
      <c r="V1230" s="21"/>
      <c r="Z1230" s="12"/>
      <c r="AA1230" s="29" t="n">
        <v>4</v>
      </c>
      <c r="AB1230" s="12"/>
      <c r="AC1230" s="12"/>
      <c r="AD1230" s="12"/>
      <c r="AE1230" s="12"/>
    </row>
    <row r="1231" customFormat="false" ht="15.75" hidden="false" customHeight="false" outlineLevel="0" collapsed="false">
      <c r="A1231" s="12" t="str">
        <f aca="false">IF((AA1231&gt;=4), "Y", "N")</f>
        <v>Y</v>
      </c>
      <c r="B1231" s="12" t="s">
        <v>32</v>
      </c>
      <c r="C1231" s="23" t="s">
        <v>4775</v>
      </c>
      <c r="D1231" s="24" t="s">
        <v>94</v>
      </c>
      <c r="E1231" s="25" t="s">
        <v>4776</v>
      </c>
      <c r="F1231" s="17" t="s">
        <v>4777</v>
      </c>
      <c r="G1231" s="17" t="s">
        <v>4778</v>
      </c>
      <c r="H1231" s="26" t="s">
        <v>341</v>
      </c>
      <c r="I1231" s="17" t="s">
        <v>36</v>
      </c>
      <c r="J1231" s="32" t="s">
        <v>3791</v>
      </c>
      <c r="K1231" s="17" t="n">
        <v>1919</v>
      </c>
      <c r="L1231" s="33" t="s">
        <v>275</v>
      </c>
      <c r="M1231" s="27"/>
      <c r="N1231" s="39" t="s">
        <v>315</v>
      </c>
      <c r="O1231" s="17"/>
      <c r="P1231" s="40" t="s">
        <v>111</v>
      </c>
      <c r="Q1231" s="20"/>
      <c r="R1231" s="20"/>
      <c r="S1231" s="20"/>
      <c r="T1231" s="20"/>
      <c r="U1231" s="20"/>
      <c r="V1231" s="45"/>
      <c r="Z1231" s="20"/>
      <c r="AA1231" s="22" t="n">
        <v>4</v>
      </c>
      <c r="AB1231" s="20"/>
      <c r="AC1231" s="20"/>
      <c r="AD1231" s="20"/>
      <c r="AE1231" s="20"/>
    </row>
    <row r="1232" customFormat="false" ht="15.75" hidden="false" customHeight="false" outlineLevel="0" collapsed="false">
      <c r="A1232" s="12" t="s">
        <v>193</v>
      </c>
      <c r="B1232" s="12" t="s">
        <v>1376</v>
      </c>
      <c r="C1232" s="23" t="s">
        <v>4779</v>
      </c>
      <c r="D1232" s="24"/>
      <c r="E1232" s="17"/>
      <c r="F1232" s="17"/>
      <c r="G1232" s="17"/>
      <c r="H1232" s="17"/>
      <c r="I1232" s="17" t="s">
        <v>260</v>
      </c>
      <c r="J1232" s="32" t="s">
        <v>3791</v>
      </c>
      <c r="K1232" s="17"/>
      <c r="L1232" s="17"/>
      <c r="M1232" s="27"/>
      <c r="N1232" s="17"/>
      <c r="O1232" s="17"/>
      <c r="P1232" s="40" t="s">
        <v>261</v>
      </c>
      <c r="Q1232" s="12"/>
      <c r="R1232" s="12"/>
      <c r="S1232" s="12"/>
      <c r="T1232" s="12"/>
      <c r="U1232" s="12"/>
      <c r="V1232" s="21"/>
      <c r="Z1232" s="12"/>
      <c r="AA1232" s="29" t="n">
        <v>1</v>
      </c>
      <c r="AB1232" s="12" t="s">
        <v>4770</v>
      </c>
      <c r="AC1232" s="12"/>
      <c r="AD1232" s="12"/>
      <c r="AE1232" s="12"/>
    </row>
    <row r="1233" customFormat="false" ht="15.75" hidden="false" customHeight="false" outlineLevel="0" collapsed="false">
      <c r="A1233" s="12" t="s">
        <v>193</v>
      </c>
      <c r="B1233" s="12" t="s">
        <v>1376</v>
      </c>
      <c r="C1233" s="23" t="s">
        <v>4780</v>
      </c>
      <c r="D1233" s="24"/>
      <c r="E1233" s="17"/>
      <c r="F1233" s="17"/>
      <c r="G1233" s="17"/>
      <c r="H1233" s="17"/>
      <c r="I1233" s="17" t="s">
        <v>260</v>
      </c>
      <c r="J1233" s="32" t="s">
        <v>3791</v>
      </c>
      <c r="K1233" s="17"/>
      <c r="L1233" s="17"/>
      <c r="M1233" s="27"/>
      <c r="N1233" s="17"/>
      <c r="O1233" s="17"/>
      <c r="P1233" s="40" t="s">
        <v>261</v>
      </c>
      <c r="Q1233" s="12"/>
      <c r="R1233" s="12"/>
      <c r="S1233" s="12"/>
      <c r="T1233" s="12"/>
      <c r="U1233" s="12"/>
      <c r="V1233" s="21"/>
      <c r="Z1233" s="12"/>
      <c r="AA1233" s="29" t="n">
        <v>1</v>
      </c>
      <c r="AB1233" s="12" t="s">
        <v>4770</v>
      </c>
      <c r="AC1233" s="12"/>
      <c r="AD1233" s="12"/>
      <c r="AE1233" s="12"/>
    </row>
    <row r="1234" customFormat="false" ht="15.75" hidden="false" customHeight="false" outlineLevel="0" collapsed="false">
      <c r="A1234" s="12" t="str">
        <f aca="false">IF((AA1234&gt;=4), "Y", "N")</f>
        <v>Y</v>
      </c>
      <c r="B1234" s="13" t="s">
        <v>49</v>
      </c>
      <c r="C1234" s="31" t="s">
        <v>4781</v>
      </c>
      <c r="D1234" s="16" t="s">
        <v>51</v>
      </c>
      <c r="E1234" s="32" t="s">
        <v>4782</v>
      </c>
      <c r="F1234" s="110" t="s">
        <v>4783</v>
      </c>
      <c r="G1234" s="17" t="s">
        <v>2652</v>
      </c>
      <c r="H1234" s="17" t="s">
        <v>4422</v>
      </c>
      <c r="I1234" s="26" t="s">
        <v>266</v>
      </c>
      <c r="J1234" s="32" t="s">
        <v>3791</v>
      </c>
      <c r="K1234" s="33" t="n">
        <v>1985</v>
      </c>
      <c r="L1234" s="33" t="s">
        <v>99</v>
      </c>
      <c r="M1234" s="27" t="s">
        <v>147</v>
      </c>
      <c r="N1234" s="17" t="s">
        <v>4784</v>
      </c>
      <c r="O1234" s="17"/>
      <c r="P1234" s="40" t="s">
        <v>268</v>
      </c>
      <c r="Q1234" s="12"/>
      <c r="R1234" s="12"/>
      <c r="S1234" s="12"/>
      <c r="T1234" s="12"/>
      <c r="U1234" s="12"/>
      <c r="V1234" s="21"/>
      <c r="Z1234" s="12"/>
      <c r="AA1234" s="29" t="str">
        <f aca="false">IF(P1234="OD500 MX", "5", " ")</f>
        <v>5</v>
      </c>
      <c r="AB1234" s="12"/>
      <c r="AC1234" s="12"/>
      <c r="AD1234" s="12"/>
      <c r="AE1234" s="12"/>
    </row>
    <row r="1235" customFormat="false" ht="15.75" hidden="false" customHeight="false" outlineLevel="0" collapsed="false">
      <c r="A1235" s="12" t="s">
        <v>193</v>
      </c>
      <c r="B1235" s="12" t="s">
        <v>32</v>
      </c>
      <c r="C1235" s="23" t="s">
        <v>4785</v>
      </c>
      <c r="D1235" s="24" t="s">
        <v>195</v>
      </c>
      <c r="E1235" s="17"/>
      <c r="F1235" s="17" t="s">
        <v>4786</v>
      </c>
      <c r="G1235" s="17" t="s">
        <v>296</v>
      </c>
      <c r="H1235" s="17"/>
      <c r="I1235" s="17" t="s">
        <v>36</v>
      </c>
      <c r="J1235" s="32" t="s">
        <v>3791</v>
      </c>
      <c r="K1235" s="17"/>
      <c r="L1235" s="17"/>
      <c r="M1235" s="27"/>
      <c r="N1235" s="17"/>
      <c r="O1235" s="17"/>
      <c r="P1235" s="28" t="s">
        <v>59</v>
      </c>
      <c r="Q1235" s="12"/>
      <c r="R1235" s="12"/>
      <c r="S1235" s="12"/>
      <c r="T1235" s="12"/>
      <c r="U1235" s="12"/>
      <c r="V1235" s="21"/>
      <c r="Z1235" s="12"/>
      <c r="AA1235" s="29" t="n">
        <v>1</v>
      </c>
      <c r="AB1235" s="12" t="s">
        <v>4787</v>
      </c>
      <c r="AC1235" s="12"/>
      <c r="AD1235" s="12"/>
      <c r="AE1235" s="12"/>
    </row>
    <row r="1236" customFormat="false" ht="15.75" hidden="false" customHeight="false" outlineLevel="0" collapsed="false">
      <c r="A1236" s="12" t="s">
        <v>193</v>
      </c>
      <c r="B1236" s="12" t="s">
        <v>1376</v>
      </c>
      <c r="C1236" s="23" t="s">
        <v>4788</v>
      </c>
      <c r="D1236" s="24"/>
      <c r="E1236" s="17"/>
      <c r="F1236" s="17"/>
      <c r="G1236" s="17"/>
      <c r="H1236" s="17"/>
      <c r="I1236" s="17" t="s">
        <v>260</v>
      </c>
      <c r="J1236" s="32" t="s">
        <v>3791</v>
      </c>
      <c r="K1236" s="17"/>
      <c r="L1236" s="17"/>
      <c r="M1236" s="27"/>
      <c r="N1236" s="17"/>
      <c r="O1236" s="17"/>
      <c r="P1236" s="40" t="s">
        <v>261</v>
      </c>
      <c r="Q1236" s="12"/>
      <c r="R1236" s="12"/>
      <c r="S1236" s="12"/>
      <c r="T1236" s="12"/>
      <c r="U1236" s="12"/>
      <c r="V1236" s="21"/>
      <c r="Z1236" s="12"/>
      <c r="AA1236" s="29" t="n">
        <v>3</v>
      </c>
      <c r="AB1236" s="12" t="s">
        <v>4627</v>
      </c>
      <c r="AC1236" s="12"/>
      <c r="AD1236" s="12"/>
      <c r="AE1236" s="12"/>
    </row>
    <row r="1237" customFormat="false" ht="15.75" hidden="false" customHeight="false" outlineLevel="0" collapsed="false">
      <c r="A1237" s="12" t="s">
        <v>193</v>
      </c>
      <c r="B1237" s="12" t="s">
        <v>1376</v>
      </c>
      <c r="C1237" s="23" t="s">
        <v>4789</v>
      </c>
      <c r="D1237" s="24"/>
      <c r="E1237" s="17"/>
      <c r="F1237" s="17"/>
      <c r="G1237" s="17"/>
      <c r="H1237" s="17"/>
      <c r="I1237" s="17" t="s">
        <v>260</v>
      </c>
      <c r="J1237" s="32" t="s">
        <v>3791</v>
      </c>
      <c r="K1237" s="17"/>
      <c r="L1237" s="17"/>
      <c r="M1237" s="27"/>
      <c r="N1237" s="17"/>
      <c r="O1237" s="17"/>
      <c r="P1237" s="40" t="s">
        <v>261</v>
      </c>
      <c r="Q1237" s="12"/>
      <c r="R1237" s="12"/>
      <c r="S1237" s="12"/>
      <c r="T1237" s="12"/>
      <c r="U1237" s="12"/>
      <c r="V1237" s="21"/>
      <c r="Z1237" s="12"/>
      <c r="AA1237" s="29" t="n">
        <v>3</v>
      </c>
      <c r="AB1237" s="12" t="s">
        <v>4627</v>
      </c>
      <c r="AC1237" s="12"/>
      <c r="AD1237" s="12"/>
      <c r="AE1237" s="12"/>
    </row>
    <row r="1238" customFormat="false" ht="15.75" hidden="false" customHeight="false" outlineLevel="0" collapsed="false">
      <c r="A1238" s="12" t="s">
        <v>193</v>
      </c>
      <c r="B1238" s="12" t="s">
        <v>1376</v>
      </c>
      <c r="C1238" s="23" t="s">
        <v>4790</v>
      </c>
      <c r="D1238" s="24"/>
      <c r="E1238" s="17"/>
      <c r="F1238" s="17"/>
      <c r="G1238" s="17"/>
      <c r="H1238" s="17"/>
      <c r="I1238" s="17" t="s">
        <v>260</v>
      </c>
      <c r="J1238" s="32" t="s">
        <v>3791</v>
      </c>
      <c r="K1238" s="17"/>
      <c r="L1238" s="17"/>
      <c r="M1238" s="27"/>
      <c r="N1238" s="17"/>
      <c r="O1238" s="17"/>
      <c r="P1238" s="40" t="s">
        <v>261</v>
      </c>
      <c r="Q1238" s="12"/>
      <c r="R1238" s="12"/>
      <c r="S1238" s="12"/>
      <c r="T1238" s="12"/>
      <c r="U1238" s="12"/>
      <c r="V1238" s="21"/>
      <c r="Z1238" s="12"/>
      <c r="AA1238" s="29" t="n">
        <v>1</v>
      </c>
      <c r="AB1238" s="12" t="s">
        <v>4770</v>
      </c>
      <c r="AC1238" s="12"/>
      <c r="AD1238" s="12"/>
      <c r="AE1238" s="12"/>
    </row>
    <row r="1239" customFormat="false" ht="15.75" hidden="false" customHeight="false" outlineLevel="0" collapsed="false">
      <c r="A1239" s="12" t="s">
        <v>31</v>
      </c>
      <c r="B1239" s="12" t="s">
        <v>49</v>
      </c>
      <c r="C1239" s="23" t="s">
        <v>4791</v>
      </c>
      <c r="D1239" s="24" t="s">
        <v>94</v>
      </c>
      <c r="E1239" s="25" t="s">
        <v>4792</v>
      </c>
      <c r="F1239" s="17" t="s">
        <v>4793</v>
      </c>
      <c r="G1239" s="17" t="s">
        <v>754</v>
      </c>
      <c r="H1239" s="17"/>
      <c r="I1239" s="26" t="s">
        <v>166</v>
      </c>
      <c r="J1239" s="32" t="s">
        <v>3791</v>
      </c>
      <c r="K1239" s="17"/>
      <c r="L1239" s="17"/>
      <c r="M1239" s="27" t="s">
        <v>58</v>
      </c>
      <c r="N1239" s="17" t="s">
        <v>4794</v>
      </c>
      <c r="O1239" s="17"/>
      <c r="P1239" s="28" t="s">
        <v>59</v>
      </c>
      <c r="Q1239" s="12"/>
      <c r="R1239" s="12"/>
      <c r="S1239" s="12"/>
      <c r="T1239" s="12"/>
      <c r="U1239" s="12"/>
      <c r="V1239" s="21"/>
      <c r="Z1239" s="12"/>
      <c r="AA1239" s="29" t="n">
        <v>5</v>
      </c>
      <c r="AB1239" s="12"/>
      <c r="AC1239" s="12"/>
      <c r="AD1239" s="12"/>
      <c r="AE1239" s="12"/>
    </row>
    <row r="1240" customFormat="false" ht="15.75" hidden="false" customHeight="false" outlineLevel="0" collapsed="false">
      <c r="A1240" s="12" t="str">
        <f aca="false">IF((AA1240&gt;=4), "Y", "N")</f>
        <v>Y</v>
      </c>
      <c r="B1240" s="12" t="s">
        <v>49</v>
      </c>
      <c r="C1240" s="23" t="s">
        <v>4795</v>
      </c>
      <c r="D1240" s="24" t="s">
        <v>94</v>
      </c>
      <c r="E1240" s="25" t="s">
        <v>4796</v>
      </c>
      <c r="F1240" s="17" t="s">
        <v>4797</v>
      </c>
      <c r="G1240" s="17" t="s">
        <v>1905</v>
      </c>
      <c r="H1240" s="26" t="s">
        <v>72</v>
      </c>
      <c r="I1240" s="17" t="s">
        <v>36</v>
      </c>
      <c r="J1240" s="32" t="s">
        <v>3791</v>
      </c>
      <c r="K1240" s="17" t="n">
        <v>2005</v>
      </c>
      <c r="L1240" s="38" t="s">
        <v>330</v>
      </c>
      <c r="M1240" s="27" t="s">
        <v>74</v>
      </c>
      <c r="N1240" s="39" t="s">
        <v>4591</v>
      </c>
      <c r="O1240" s="17"/>
      <c r="P1240" s="40" t="s">
        <v>111</v>
      </c>
      <c r="Q1240" s="12"/>
      <c r="R1240" s="12"/>
      <c r="S1240" s="12"/>
      <c r="T1240" s="12"/>
      <c r="U1240" s="12"/>
      <c r="V1240" s="21"/>
      <c r="Z1240" s="12"/>
      <c r="AA1240" s="29" t="n">
        <v>4</v>
      </c>
      <c r="AB1240" s="12"/>
      <c r="AC1240" s="12"/>
      <c r="AD1240" s="12"/>
      <c r="AE1240" s="12"/>
    </row>
    <row r="1241" customFormat="false" ht="15.75" hidden="false" customHeight="false" outlineLevel="0" collapsed="false">
      <c r="A1241" s="12" t="s">
        <v>31</v>
      </c>
      <c r="B1241" s="12" t="s">
        <v>32</v>
      </c>
      <c r="C1241" s="23" t="s">
        <v>4798</v>
      </c>
      <c r="D1241" s="24" t="s">
        <v>94</v>
      </c>
      <c r="E1241" s="25" t="s">
        <v>4799</v>
      </c>
      <c r="F1241" s="17" t="s">
        <v>4800</v>
      </c>
      <c r="G1241" s="17"/>
      <c r="H1241" s="17"/>
      <c r="I1241" s="26" t="s">
        <v>1644</v>
      </c>
      <c r="J1241" s="32" t="s">
        <v>3791</v>
      </c>
      <c r="K1241" s="17"/>
      <c r="L1241" s="38"/>
      <c r="M1241" s="27"/>
      <c r="N1241" s="17"/>
      <c r="O1241" s="17"/>
      <c r="P1241" s="28" t="s">
        <v>59</v>
      </c>
      <c r="Q1241" s="17"/>
      <c r="R1241" s="17"/>
      <c r="S1241" s="17"/>
      <c r="T1241" s="17"/>
      <c r="U1241" s="17"/>
      <c r="V1241" s="27"/>
      <c r="Z1241" s="17"/>
      <c r="AA1241" s="29" t="n">
        <v>5</v>
      </c>
      <c r="AB1241" s="17"/>
      <c r="AC1241" s="17"/>
      <c r="AD1241" s="17"/>
      <c r="AE1241" s="17"/>
    </row>
    <row r="1242" customFormat="false" ht="15.75" hidden="false" customHeight="false" outlineLevel="0" collapsed="false">
      <c r="A1242" s="12" t="str">
        <f aca="false">IF((AA1242&gt;=4), "Y", "N")</f>
        <v>Y</v>
      </c>
      <c r="B1242" s="12" t="s">
        <v>32</v>
      </c>
      <c r="C1242" s="23" t="s">
        <v>4801</v>
      </c>
      <c r="D1242" s="24" t="s">
        <v>94</v>
      </c>
      <c r="E1242" s="25" t="s">
        <v>4802</v>
      </c>
      <c r="F1242" s="17" t="s">
        <v>4803</v>
      </c>
      <c r="G1242" s="17" t="s">
        <v>71</v>
      </c>
      <c r="H1242" s="26" t="s">
        <v>72</v>
      </c>
      <c r="I1242" s="17" t="s">
        <v>36</v>
      </c>
      <c r="J1242" s="32" t="s">
        <v>3791</v>
      </c>
      <c r="K1242" s="17" t="n">
        <v>2009</v>
      </c>
      <c r="L1242" s="38" t="s">
        <v>275</v>
      </c>
      <c r="M1242" s="27" t="s">
        <v>74</v>
      </c>
      <c r="N1242" s="39" t="s">
        <v>4804</v>
      </c>
      <c r="O1242" s="17" t="s">
        <v>4805</v>
      </c>
      <c r="P1242" s="40" t="s">
        <v>111</v>
      </c>
      <c r="Q1242" s="12"/>
      <c r="R1242" s="12"/>
      <c r="S1242" s="12"/>
      <c r="T1242" s="12"/>
      <c r="U1242" s="12"/>
      <c r="V1242" s="21"/>
      <c r="Z1242" s="12"/>
      <c r="AA1242" s="29" t="n">
        <v>4</v>
      </c>
      <c r="AB1242" s="12"/>
      <c r="AC1242" s="12"/>
      <c r="AD1242" s="12"/>
      <c r="AE1242" s="12"/>
    </row>
    <row r="1243" customFormat="false" ht="15.75" hidden="false" customHeight="false" outlineLevel="0" collapsed="false">
      <c r="A1243" s="12" t="str">
        <f aca="false">IF((AA1243&gt;=4), "Y", "N")</f>
        <v>Y</v>
      </c>
      <c r="B1243" s="12" t="s">
        <v>49</v>
      </c>
      <c r="C1243" s="23" t="s">
        <v>4806</v>
      </c>
      <c r="D1243" s="24" t="s">
        <v>94</v>
      </c>
      <c r="E1243" s="25" t="s">
        <v>4807</v>
      </c>
      <c r="F1243" s="17" t="s">
        <v>4808</v>
      </c>
      <c r="G1243" s="17" t="s">
        <v>1092</v>
      </c>
      <c r="H1243" s="26" t="s">
        <v>1093</v>
      </c>
      <c r="I1243" s="17" t="s">
        <v>36</v>
      </c>
      <c r="J1243" s="32" t="s">
        <v>3791</v>
      </c>
      <c r="K1243" s="17" t="n">
        <v>2006</v>
      </c>
      <c r="L1243" s="38" t="s">
        <v>109</v>
      </c>
      <c r="M1243" s="27" t="s">
        <v>74</v>
      </c>
      <c r="N1243" s="39" t="s">
        <v>315</v>
      </c>
      <c r="O1243" s="17"/>
      <c r="P1243" s="40" t="s">
        <v>111</v>
      </c>
      <c r="Q1243" s="12"/>
      <c r="R1243" s="12"/>
      <c r="S1243" s="12"/>
      <c r="T1243" s="12"/>
      <c r="U1243" s="12"/>
      <c r="V1243" s="21"/>
      <c r="Z1243" s="12"/>
      <c r="AA1243" s="29" t="n">
        <v>4</v>
      </c>
      <c r="AB1243" s="12"/>
      <c r="AC1243" s="12"/>
      <c r="AD1243" s="12"/>
      <c r="AE1243" s="12"/>
    </row>
    <row r="1244" customFormat="false" ht="15.75" hidden="false" customHeight="false" outlineLevel="0" collapsed="false">
      <c r="A1244" s="12" t="s">
        <v>193</v>
      </c>
      <c r="B1244" s="12" t="s">
        <v>1376</v>
      </c>
      <c r="C1244" s="23" t="s">
        <v>4809</v>
      </c>
      <c r="D1244" s="24"/>
      <c r="E1244" s="17"/>
      <c r="F1244" s="17"/>
      <c r="G1244" s="17"/>
      <c r="H1244" s="17"/>
      <c r="I1244" s="17" t="s">
        <v>260</v>
      </c>
      <c r="J1244" s="32" t="s">
        <v>3791</v>
      </c>
      <c r="K1244" s="17"/>
      <c r="L1244" s="38"/>
      <c r="M1244" s="27"/>
      <c r="N1244" s="17"/>
      <c r="O1244" s="17"/>
      <c r="P1244" s="40" t="s">
        <v>261</v>
      </c>
      <c r="Q1244" s="17"/>
      <c r="R1244" s="17"/>
      <c r="S1244" s="17"/>
      <c r="T1244" s="17"/>
      <c r="U1244" s="17"/>
      <c r="V1244" s="27"/>
      <c r="Z1244" s="17"/>
      <c r="AA1244" s="29"/>
      <c r="AB1244" s="17" t="s">
        <v>4810</v>
      </c>
      <c r="AC1244" s="17"/>
      <c r="AD1244" s="17"/>
      <c r="AE1244" s="17"/>
    </row>
    <row r="1245" customFormat="false" ht="15.75" hidden="false" customHeight="false" outlineLevel="0" collapsed="false">
      <c r="A1245" s="12"/>
      <c r="B1245" s="12" t="s">
        <v>1376</v>
      </c>
      <c r="C1245" s="23" t="s">
        <v>4811</v>
      </c>
      <c r="D1245" s="24"/>
      <c r="E1245" s="17"/>
      <c r="F1245" s="17"/>
      <c r="G1245" s="17"/>
      <c r="H1245" s="17"/>
      <c r="I1245" s="17" t="s">
        <v>260</v>
      </c>
      <c r="J1245" s="32" t="s">
        <v>3791</v>
      </c>
      <c r="K1245" s="17"/>
      <c r="L1245" s="38"/>
      <c r="M1245" s="27"/>
      <c r="N1245" s="17"/>
      <c r="O1245" s="17"/>
      <c r="P1245" s="40" t="s">
        <v>261</v>
      </c>
      <c r="Q1245" s="20"/>
      <c r="R1245" s="20"/>
      <c r="S1245" s="20"/>
      <c r="T1245" s="20"/>
      <c r="U1245" s="20"/>
      <c r="V1245" s="45"/>
      <c r="Z1245" s="20"/>
      <c r="AA1245" s="22" t="n">
        <v>3</v>
      </c>
      <c r="AB1245" s="20"/>
      <c r="AC1245" s="20"/>
      <c r="AD1245" s="20"/>
      <c r="AE1245" s="20"/>
    </row>
    <row r="1246" customFormat="false" ht="15.75" hidden="false" customHeight="false" outlineLevel="0" collapsed="false">
      <c r="A1246" s="12"/>
      <c r="B1246" s="12" t="s">
        <v>1376</v>
      </c>
      <c r="C1246" s="23" t="s">
        <v>4812</v>
      </c>
      <c r="D1246" s="24" t="s">
        <v>94</v>
      </c>
      <c r="E1246" s="17"/>
      <c r="F1246" s="17"/>
      <c r="G1246" s="17"/>
      <c r="H1246" s="17"/>
      <c r="I1246" s="17" t="s">
        <v>260</v>
      </c>
      <c r="J1246" s="32" t="s">
        <v>3791</v>
      </c>
      <c r="K1246" s="17"/>
      <c r="L1246" s="38"/>
      <c r="M1246" s="27"/>
      <c r="N1246" s="17"/>
      <c r="O1246" s="17"/>
      <c r="P1246" s="40" t="s">
        <v>261</v>
      </c>
      <c r="Q1246" s="12"/>
      <c r="R1246" s="12"/>
      <c r="S1246" s="12"/>
      <c r="T1246" s="12"/>
      <c r="U1246" s="12"/>
      <c r="V1246" s="21"/>
      <c r="Z1246" s="12"/>
      <c r="AA1246" s="29" t="n">
        <v>3</v>
      </c>
      <c r="AB1246" s="12"/>
      <c r="AC1246" s="12"/>
      <c r="AD1246" s="12"/>
      <c r="AE1246" s="12"/>
    </row>
    <row r="1247" customFormat="false" ht="15.75" hidden="false" customHeight="false" outlineLevel="0" collapsed="false">
      <c r="A1247" s="12" t="s">
        <v>31</v>
      </c>
      <c r="B1247" s="12" t="s">
        <v>1376</v>
      </c>
      <c r="C1247" s="23" t="s">
        <v>4813</v>
      </c>
      <c r="D1247" s="24" t="s">
        <v>94</v>
      </c>
      <c r="E1247" s="25" t="s">
        <v>4814</v>
      </c>
      <c r="F1247" s="17" t="s">
        <v>4815</v>
      </c>
      <c r="G1247" s="17" t="s">
        <v>4472</v>
      </c>
      <c r="H1247" s="26" t="s">
        <v>3482</v>
      </c>
      <c r="I1247" s="17" t="s">
        <v>36</v>
      </c>
      <c r="J1247" s="32" t="s">
        <v>3791</v>
      </c>
      <c r="K1247" s="17" t="n">
        <v>1945</v>
      </c>
      <c r="L1247" s="38" t="s">
        <v>73</v>
      </c>
      <c r="M1247" s="27"/>
      <c r="N1247" s="39" t="s">
        <v>315</v>
      </c>
      <c r="O1247" s="17"/>
      <c r="P1247" s="40" t="s">
        <v>111</v>
      </c>
      <c r="Q1247" s="12"/>
      <c r="R1247" s="12"/>
      <c r="S1247" s="12"/>
      <c r="T1247" s="12"/>
      <c r="U1247" s="12"/>
      <c r="V1247" s="21"/>
      <c r="Z1247" s="12"/>
      <c r="AA1247" s="29" t="n">
        <v>4</v>
      </c>
      <c r="AB1247" s="12"/>
      <c r="AC1247" s="12"/>
      <c r="AD1247" s="12"/>
      <c r="AE1247" s="12"/>
    </row>
    <row r="1248" customFormat="false" ht="15.75" hidden="false" customHeight="false" outlineLevel="0" collapsed="false">
      <c r="A1248" s="12" t="s">
        <v>31</v>
      </c>
      <c r="B1248" s="12" t="s">
        <v>1376</v>
      </c>
      <c r="C1248" s="23" t="s">
        <v>4816</v>
      </c>
      <c r="D1248" s="24" t="s">
        <v>620</v>
      </c>
      <c r="E1248" s="25" t="s">
        <v>4817</v>
      </c>
      <c r="F1248" s="17" t="s">
        <v>4818</v>
      </c>
      <c r="G1248" s="17" t="s">
        <v>779</v>
      </c>
      <c r="H1248" s="17"/>
      <c r="I1248" s="26" t="s">
        <v>45</v>
      </c>
      <c r="J1248" s="32" t="s">
        <v>3791</v>
      </c>
      <c r="K1248" s="17"/>
      <c r="L1248" s="38"/>
      <c r="M1248" s="27"/>
      <c r="N1248" s="17"/>
      <c r="O1248" s="17"/>
      <c r="P1248" s="28" t="s">
        <v>46</v>
      </c>
      <c r="Q1248" s="12"/>
      <c r="R1248" s="12"/>
      <c r="S1248" s="12"/>
      <c r="T1248" s="12"/>
      <c r="U1248" s="12"/>
      <c r="V1248" s="21"/>
      <c r="Z1248" s="12"/>
      <c r="AA1248" s="29" t="n">
        <v>4</v>
      </c>
      <c r="AB1248" s="12"/>
      <c r="AC1248" s="12"/>
      <c r="AD1248" s="12"/>
      <c r="AE1248" s="12"/>
    </row>
    <row r="1249" customFormat="false" ht="15.75" hidden="false" customHeight="false" outlineLevel="0" collapsed="false">
      <c r="A1249" s="12" t="s">
        <v>193</v>
      </c>
      <c r="B1249" s="13" t="s">
        <v>1376</v>
      </c>
      <c r="C1249" s="14" t="s">
        <v>4819</v>
      </c>
      <c r="D1249" s="24" t="s">
        <v>51</v>
      </c>
      <c r="E1249" s="25" t="s">
        <v>4820</v>
      </c>
      <c r="F1249" s="17" t="s">
        <v>4821</v>
      </c>
      <c r="G1249" s="17" t="s">
        <v>478</v>
      </c>
      <c r="H1249" s="17"/>
      <c r="I1249" s="17" t="s">
        <v>36</v>
      </c>
      <c r="J1249" s="32" t="s">
        <v>3791</v>
      </c>
      <c r="K1249" s="17" t="n">
        <v>2013</v>
      </c>
      <c r="L1249" s="38"/>
      <c r="M1249" s="27"/>
      <c r="N1249" s="17"/>
      <c r="O1249" s="17"/>
      <c r="P1249" s="52" t="s">
        <v>185</v>
      </c>
      <c r="Q1249" s="12"/>
      <c r="R1249" s="12"/>
      <c r="S1249" s="12"/>
      <c r="T1249" s="12"/>
      <c r="U1249" s="12"/>
      <c r="V1249" s="21"/>
      <c r="Z1249" s="12"/>
      <c r="AA1249" s="29" t="n">
        <v>2</v>
      </c>
      <c r="AB1249" s="12"/>
      <c r="AC1249" s="12"/>
      <c r="AD1249" s="12"/>
      <c r="AE1249" s="12"/>
    </row>
    <row r="1250" customFormat="false" ht="15.75" hidden="false" customHeight="false" outlineLevel="0" collapsed="false">
      <c r="A1250" s="12"/>
      <c r="B1250" s="13" t="s">
        <v>141</v>
      </c>
      <c r="C1250" s="14" t="s">
        <v>4822</v>
      </c>
      <c r="D1250" s="24" t="s">
        <v>94</v>
      </c>
      <c r="E1250" s="25" t="s">
        <v>4823</v>
      </c>
      <c r="F1250" s="17" t="s">
        <v>4824</v>
      </c>
      <c r="G1250" s="17" t="s">
        <v>296</v>
      </c>
      <c r="H1250" s="17" t="s">
        <v>297</v>
      </c>
      <c r="I1250" s="17" t="s">
        <v>36</v>
      </c>
      <c r="J1250" s="32" t="s">
        <v>4825</v>
      </c>
      <c r="K1250" s="17" t="n">
        <v>2012</v>
      </c>
      <c r="L1250" s="38" t="s">
        <v>99</v>
      </c>
      <c r="M1250" s="27" t="s">
        <v>74</v>
      </c>
      <c r="N1250" s="17" t="s">
        <v>1403</v>
      </c>
      <c r="O1250" s="17" t="s">
        <v>675</v>
      </c>
      <c r="P1250" s="40" t="s">
        <v>150</v>
      </c>
      <c r="Q1250" s="12"/>
      <c r="R1250" s="12"/>
      <c r="S1250" s="12"/>
      <c r="T1250" s="12"/>
      <c r="U1250" s="12"/>
      <c r="V1250" s="21"/>
      <c r="Z1250" s="12"/>
      <c r="AA1250" s="29" t="n">
        <v>5</v>
      </c>
      <c r="AB1250" s="12"/>
      <c r="AC1250" s="12"/>
      <c r="AD1250" s="12"/>
      <c r="AE1250" s="12"/>
    </row>
    <row r="1251" customFormat="false" ht="15.75" hidden="false" customHeight="false" outlineLevel="0" collapsed="false">
      <c r="A1251" s="12"/>
      <c r="B1251" s="13" t="s">
        <v>141</v>
      </c>
      <c r="C1251" s="14" t="s">
        <v>4826</v>
      </c>
      <c r="D1251" s="24" t="s">
        <v>94</v>
      </c>
      <c r="E1251" s="25" t="s">
        <v>4827</v>
      </c>
      <c r="F1251" s="17" t="s">
        <v>4828</v>
      </c>
      <c r="G1251" s="17" t="s">
        <v>4829</v>
      </c>
      <c r="H1251" s="17" t="s">
        <v>297</v>
      </c>
      <c r="I1251" s="17" t="s">
        <v>36</v>
      </c>
      <c r="J1251" s="32" t="s">
        <v>4825</v>
      </c>
      <c r="K1251" s="17" t="n">
        <v>1979</v>
      </c>
      <c r="L1251" s="38" t="s">
        <v>482</v>
      </c>
      <c r="M1251" s="27" t="s">
        <v>74</v>
      </c>
      <c r="N1251" s="17" t="s">
        <v>1403</v>
      </c>
      <c r="O1251" s="17" t="s">
        <v>4830</v>
      </c>
      <c r="P1251" s="40" t="s">
        <v>150</v>
      </c>
      <c r="Q1251" s="12"/>
      <c r="R1251" s="12"/>
      <c r="S1251" s="12"/>
      <c r="T1251" s="12"/>
      <c r="U1251" s="12"/>
      <c r="V1251" s="21"/>
      <c r="Z1251" s="12"/>
      <c r="AA1251" s="29" t="n">
        <v>5</v>
      </c>
      <c r="AB1251" s="12"/>
      <c r="AC1251" s="12"/>
      <c r="AD1251" s="12"/>
      <c r="AE1251" s="12"/>
    </row>
    <row r="1252" customFormat="false" ht="15.75" hidden="false" customHeight="false" outlineLevel="0" collapsed="false">
      <c r="A1252" s="12"/>
      <c r="B1252" s="13" t="s">
        <v>528</v>
      </c>
      <c r="C1252" s="14" t="s">
        <v>4831</v>
      </c>
      <c r="D1252" s="24" t="s">
        <v>1429</v>
      </c>
      <c r="E1252" s="25" t="s">
        <v>4832</v>
      </c>
      <c r="F1252" s="32" t="s">
        <v>4833</v>
      </c>
      <c r="G1252" s="17" t="s">
        <v>3213</v>
      </c>
      <c r="H1252" s="17" t="s">
        <v>369</v>
      </c>
      <c r="I1252" s="17" t="s">
        <v>36</v>
      </c>
      <c r="J1252" s="32" t="s">
        <v>4825</v>
      </c>
      <c r="K1252" s="17"/>
      <c r="L1252" s="38" t="s">
        <v>109</v>
      </c>
      <c r="M1252" s="17" t="s">
        <v>74</v>
      </c>
      <c r="N1252" s="17" t="s">
        <v>1403</v>
      </c>
      <c r="O1252" s="17" t="s">
        <v>149</v>
      </c>
      <c r="P1252" s="40" t="s">
        <v>150</v>
      </c>
      <c r="Q1252" s="12"/>
      <c r="R1252" s="12"/>
      <c r="S1252" s="12"/>
      <c r="T1252" s="12"/>
      <c r="U1252" s="12"/>
      <c r="V1252" s="21"/>
      <c r="Z1252" s="12"/>
      <c r="AA1252" s="29" t="n">
        <v>5</v>
      </c>
      <c r="AB1252" s="12" t="s">
        <v>4385</v>
      </c>
      <c r="AC1252" s="12"/>
      <c r="AD1252" s="12"/>
      <c r="AE1252" s="12"/>
    </row>
    <row r="1253" customFormat="false" ht="15.75" hidden="false" customHeight="false" outlineLevel="0" collapsed="false">
      <c r="A1253" s="12"/>
      <c r="B1253" s="13" t="s">
        <v>528</v>
      </c>
      <c r="C1253" s="72" t="s">
        <v>4834</v>
      </c>
      <c r="D1253" s="24" t="s">
        <v>94</v>
      </c>
      <c r="E1253" s="25" t="s">
        <v>4835</v>
      </c>
      <c r="F1253" s="17" t="s">
        <v>4836</v>
      </c>
      <c r="G1253" s="17" t="s">
        <v>145</v>
      </c>
      <c r="H1253" s="17" t="s">
        <v>146</v>
      </c>
      <c r="I1253" s="17" t="s">
        <v>36</v>
      </c>
      <c r="J1253" s="32" t="s">
        <v>4825</v>
      </c>
      <c r="K1253" s="17" t="n">
        <v>2010</v>
      </c>
      <c r="L1253" s="38" t="s">
        <v>99</v>
      </c>
      <c r="M1253" s="27" t="s">
        <v>74</v>
      </c>
      <c r="N1253" s="17" t="s">
        <v>1403</v>
      </c>
      <c r="O1253" s="17" t="s">
        <v>4837</v>
      </c>
      <c r="P1253" s="40" t="s">
        <v>150</v>
      </c>
      <c r="Q1253" s="12"/>
      <c r="R1253" s="12"/>
      <c r="S1253" s="12"/>
      <c r="T1253" s="12"/>
      <c r="U1253" s="12"/>
      <c r="V1253" s="21"/>
      <c r="Z1253" s="12"/>
      <c r="AA1253" s="29" t="n">
        <v>5</v>
      </c>
      <c r="AB1253" s="12" t="s">
        <v>4385</v>
      </c>
      <c r="AC1253" s="12"/>
      <c r="AD1253" s="12"/>
      <c r="AE1253" s="12"/>
    </row>
    <row r="1254" customFormat="false" ht="15.75" hidden="false" customHeight="false" outlineLevel="0" collapsed="false">
      <c r="A1254" s="12"/>
      <c r="B1254" s="13" t="s">
        <v>528</v>
      </c>
      <c r="C1254" s="14" t="s">
        <v>4838</v>
      </c>
      <c r="D1254" s="24" t="s">
        <v>94</v>
      </c>
      <c r="E1254" s="25" t="s">
        <v>4839</v>
      </c>
      <c r="F1254" s="17" t="s">
        <v>4840</v>
      </c>
      <c r="G1254" s="17" t="s">
        <v>3497</v>
      </c>
      <c r="H1254" s="17" t="s">
        <v>390</v>
      </c>
      <c r="I1254" s="17" t="s">
        <v>36</v>
      </c>
      <c r="J1254" s="32" t="s">
        <v>4825</v>
      </c>
      <c r="K1254" s="17"/>
      <c r="L1254" s="38"/>
      <c r="M1254" s="27" t="s">
        <v>74</v>
      </c>
      <c r="N1254" s="17" t="s">
        <v>1403</v>
      </c>
      <c r="O1254" s="17" t="s">
        <v>1426</v>
      </c>
      <c r="P1254" s="40" t="s">
        <v>150</v>
      </c>
      <c r="Q1254" s="12"/>
      <c r="R1254" s="12"/>
      <c r="S1254" s="12"/>
      <c r="T1254" s="12"/>
      <c r="U1254" s="12"/>
      <c r="V1254" s="21"/>
      <c r="Z1254" s="12"/>
      <c r="AA1254" s="29" t="n">
        <v>5</v>
      </c>
      <c r="AB1254" s="12" t="s">
        <v>4398</v>
      </c>
      <c r="AC1254" s="12"/>
      <c r="AD1254" s="12"/>
      <c r="AE1254" s="12"/>
    </row>
    <row r="1255" customFormat="false" ht="15.75" hidden="false" customHeight="false" outlineLevel="0" collapsed="false">
      <c r="A1255" s="12"/>
      <c r="B1255" s="13" t="s">
        <v>528</v>
      </c>
      <c r="C1255" s="14" t="s">
        <v>4841</v>
      </c>
      <c r="D1255" s="24" t="s">
        <v>1429</v>
      </c>
      <c r="E1255" s="25" t="s">
        <v>4842</v>
      </c>
      <c r="F1255" s="17" t="s">
        <v>4843</v>
      </c>
      <c r="G1255" s="17" t="s">
        <v>4844</v>
      </c>
      <c r="H1255" s="17" t="s">
        <v>423</v>
      </c>
      <c r="I1255" s="17" t="s">
        <v>36</v>
      </c>
      <c r="J1255" s="32" t="s">
        <v>4825</v>
      </c>
      <c r="K1255" s="17" t="n">
        <v>2008</v>
      </c>
      <c r="L1255" s="38" t="s">
        <v>99</v>
      </c>
      <c r="M1255" s="27" t="s">
        <v>74</v>
      </c>
      <c r="N1255" s="17" t="s">
        <v>4845</v>
      </c>
      <c r="O1255" s="17" t="s">
        <v>4846</v>
      </c>
      <c r="P1255" s="40" t="s">
        <v>150</v>
      </c>
      <c r="Q1255" s="12"/>
      <c r="R1255" s="12"/>
      <c r="S1255" s="12"/>
      <c r="T1255" s="12"/>
      <c r="U1255" s="12"/>
      <c r="V1255" s="21"/>
      <c r="Z1255" s="12"/>
      <c r="AA1255" s="29" t="n">
        <v>4</v>
      </c>
      <c r="AB1255" s="12" t="s">
        <v>4398</v>
      </c>
      <c r="AC1255" s="12"/>
      <c r="AD1255" s="12"/>
      <c r="AE1255" s="12"/>
    </row>
    <row r="1256" customFormat="false" ht="15.75" hidden="false" customHeight="false" outlineLevel="0" collapsed="false">
      <c r="A1256" s="12"/>
      <c r="B1256" s="12" t="s">
        <v>32</v>
      </c>
      <c r="C1256" s="23" t="s">
        <v>4847</v>
      </c>
      <c r="D1256" s="24"/>
      <c r="E1256" s="25" t="s">
        <v>4848</v>
      </c>
      <c r="F1256" s="17"/>
      <c r="G1256" s="17" t="s">
        <v>126</v>
      </c>
      <c r="H1256" s="17"/>
      <c r="I1256" s="26" t="s">
        <v>127</v>
      </c>
      <c r="J1256" s="17" t="s">
        <v>2009</v>
      </c>
      <c r="K1256" s="17"/>
      <c r="L1256" s="38"/>
      <c r="M1256" s="27"/>
      <c r="N1256" s="17"/>
      <c r="O1256" s="17"/>
      <c r="P1256" s="28" t="s">
        <v>46</v>
      </c>
      <c r="Q1256" s="20"/>
      <c r="R1256" s="20"/>
      <c r="S1256" s="20"/>
      <c r="T1256" s="20"/>
      <c r="U1256" s="20"/>
      <c r="V1256" s="45"/>
      <c r="Z1256" s="20"/>
      <c r="AA1256" s="22" t="n">
        <v>3</v>
      </c>
      <c r="AB1256" s="30" t="s">
        <v>4849</v>
      </c>
      <c r="AC1256" s="20"/>
      <c r="AD1256" s="20"/>
      <c r="AE1256" s="20"/>
    </row>
    <row r="1257" customFormat="false" ht="15.75" hidden="false" customHeight="false" outlineLevel="0" collapsed="false">
      <c r="A1257" s="12" t="s">
        <v>31</v>
      </c>
      <c r="B1257" s="54" t="s">
        <v>49</v>
      </c>
      <c r="C1257" s="55" t="s">
        <v>4850</v>
      </c>
      <c r="D1257" s="15" t="s">
        <v>620</v>
      </c>
      <c r="E1257" s="16" t="s">
        <v>4851</v>
      </c>
      <c r="F1257" s="15" t="s">
        <v>4852</v>
      </c>
      <c r="G1257" s="15" t="s">
        <v>478</v>
      </c>
      <c r="H1257" s="15" t="s">
        <v>478</v>
      </c>
      <c r="I1257" s="26" t="s">
        <v>610</v>
      </c>
      <c r="J1257" s="47" t="s">
        <v>2009</v>
      </c>
      <c r="K1257" s="17"/>
      <c r="L1257" s="38" t="s">
        <v>109</v>
      </c>
      <c r="M1257" s="18" t="s">
        <v>140</v>
      </c>
      <c r="N1257" s="17"/>
      <c r="O1257" s="17" t="s">
        <v>4853</v>
      </c>
      <c r="P1257" s="19" t="s">
        <v>39</v>
      </c>
      <c r="Q1257" s="17"/>
      <c r="R1257" s="17" t="s">
        <v>612</v>
      </c>
      <c r="S1257" s="17"/>
      <c r="T1257" s="17" t="s">
        <v>613</v>
      </c>
      <c r="U1257" s="17"/>
      <c r="V1257" s="21" t="s">
        <v>31</v>
      </c>
      <c r="Z1257" s="17"/>
      <c r="AA1257" s="29" t="n">
        <v>5</v>
      </c>
      <c r="AB1257" s="17" t="s">
        <v>4854</v>
      </c>
      <c r="AC1257" s="17"/>
      <c r="AD1257" s="17"/>
      <c r="AE1257" s="17"/>
    </row>
    <row r="1258" customFormat="false" ht="15.75" hidden="false" customHeight="false" outlineLevel="0" collapsed="false">
      <c r="A1258" s="12" t="s">
        <v>31</v>
      </c>
      <c r="B1258" s="20" t="s">
        <v>32</v>
      </c>
      <c r="C1258" s="41" t="s">
        <v>4855</v>
      </c>
      <c r="D1258" s="24" t="s">
        <v>94</v>
      </c>
      <c r="E1258" s="42" t="s">
        <v>4856</v>
      </c>
      <c r="F1258" s="43" t="s">
        <v>4857</v>
      </c>
      <c r="G1258" s="17" t="s">
        <v>4858</v>
      </c>
      <c r="H1258" s="17" t="s">
        <v>4859</v>
      </c>
      <c r="I1258" s="26" t="s">
        <v>82</v>
      </c>
      <c r="J1258" s="47" t="s">
        <v>2009</v>
      </c>
      <c r="K1258" s="17" t="n">
        <v>2008</v>
      </c>
      <c r="L1258" s="38" t="s">
        <v>73</v>
      </c>
      <c r="M1258" s="27" t="s">
        <v>147</v>
      </c>
      <c r="N1258" s="17"/>
      <c r="O1258" s="17"/>
      <c r="P1258" s="19" t="s">
        <v>84</v>
      </c>
      <c r="Q1258" s="20"/>
      <c r="R1258" s="20"/>
      <c r="S1258" s="20"/>
      <c r="T1258" s="20"/>
      <c r="U1258" s="20"/>
      <c r="V1258" s="45"/>
      <c r="Z1258" s="20"/>
      <c r="AA1258" s="22" t="n">
        <v>4</v>
      </c>
      <c r="AB1258" s="20"/>
      <c r="AC1258" s="20"/>
      <c r="AD1258" s="20"/>
      <c r="AE1258" s="20"/>
    </row>
    <row r="1259" customFormat="false" ht="15.75" hidden="false" customHeight="false" outlineLevel="0" collapsed="false">
      <c r="A1259" s="12" t="s">
        <v>193</v>
      </c>
      <c r="B1259" s="12" t="s">
        <v>32</v>
      </c>
      <c r="C1259" s="23" t="s">
        <v>4860</v>
      </c>
      <c r="D1259" s="24" t="s">
        <v>195</v>
      </c>
      <c r="E1259" s="17"/>
      <c r="F1259" s="17" t="s">
        <v>4861</v>
      </c>
      <c r="G1259" s="17"/>
      <c r="H1259" s="17"/>
      <c r="I1259" s="26" t="s">
        <v>577</v>
      </c>
      <c r="J1259" s="47" t="s">
        <v>2009</v>
      </c>
      <c r="K1259" s="17"/>
      <c r="L1259" s="38"/>
      <c r="M1259" s="27"/>
      <c r="N1259" s="17"/>
      <c r="O1259" s="17"/>
      <c r="P1259" s="28" t="s">
        <v>59</v>
      </c>
      <c r="Q1259" s="20"/>
      <c r="R1259" s="20"/>
      <c r="S1259" s="20"/>
      <c r="T1259" s="20"/>
      <c r="U1259" s="20"/>
      <c r="V1259" s="45"/>
      <c r="Z1259" s="20"/>
      <c r="AA1259" s="22" t="n">
        <v>1</v>
      </c>
      <c r="AB1259" s="20" t="s">
        <v>4862</v>
      </c>
      <c r="AC1259" s="20"/>
      <c r="AD1259" s="20"/>
      <c r="AE1259" s="20"/>
    </row>
    <row r="1260" customFormat="false" ht="15.75" hidden="false" customHeight="false" outlineLevel="0" collapsed="false">
      <c r="A1260" s="12" t="str">
        <f aca="false">IF((AA1260&gt;=4), "Y", "N")</f>
        <v>Y</v>
      </c>
      <c r="B1260" s="13" t="s">
        <v>49</v>
      </c>
      <c r="C1260" s="31" t="s">
        <v>4863</v>
      </c>
      <c r="D1260" s="16" t="s">
        <v>94</v>
      </c>
      <c r="E1260" s="32" t="s">
        <v>4864</v>
      </c>
      <c r="F1260" s="32" t="s">
        <v>4865</v>
      </c>
      <c r="G1260" s="32" t="s">
        <v>71</v>
      </c>
      <c r="H1260" s="26" t="s">
        <v>72</v>
      </c>
      <c r="I1260" s="17" t="s">
        <v>36</v>
      </c>
      <c r="J1260" s="47" t="s">
        <v>2009</v>
      </c>
      <c r="K1260" s="33" t="n">
        <v>2009</v>
      </c>
      <c r="L1260" s="38" t="s">
        <v>99</v>
      </c>
      <c r="M1260" s="27" t="s">
        <v>140</v>
      </c>
      <c r="N1260" s="39" t="s">
        <v>4866</v>
      </c>
      <c r="O1260" s="17"/>
      <c r="P1260" s="19" t="s">
        <v>76</v>
      </c>
      <c r="Q1260" s="12"/>
      <c r="R1260" s="12" t="s">
        <v>4867</v>
      </c>
      <c r="S1260" s="12"/>
      <c r="T1260" s="12" t="s">
        <v>4868</v>
      </c>
      <c r="U1260" s="12"/>
      <c r="V1260" s="21" t="s">
        <v>31</v>
      </c>
      <c r="Z1260" s="12"/>
      <c r="AA1260" s="22" t="str">
        <f aca="false">IF(P1260="OD500 US (submitted)", "5", " ")</f>
        <v>5</v>
      </c>
      <c r="AB1260" s="12"/>
      <c r="AC1260" s="12"/>
      <c r="AD1260" s="12"/>
      <c r="AE1260" s="12"/>
    </row>
    <row r="1261" customFormat="false" ht="15.75" hidden="false" customHeight="false" outlineLevel="0" collapsed="false">
      <c r="A1261" s="12" t="str">
        <f aca="false">IF((AA1261&gt;=4), "Y", "N")</f>
        <v>Y</v>
      </c>
      <c r="B1261" s="13" t="s">
        <v>49</v>
      </c>
      <c r="C1261" s="31" t="s">
        <v>4869</v>
      </c>
      <c r="D1261" s="16" t="s">
        <v>94</v>
      </c>
      <c r="E1261" s="32" t="s">
        <v>4870</v>
      </c>
      <c r="F1261" s="32" t="s">
        <v>4871</v>
      </c>
      <c r="G1261" s="32" t="s">
        <v>4872</v>
      </c>
      <c r="H1261" s="26" t="s">
        <v>146</v>
      </c>
      <c r="I1261" s="17" t="s">
        <v>36</v>
      </c>
      <c r="J1261" s="47" t="s">
        <v>2009</v>
      </c>
      <c r="K1261" s="33" t="n">
        <v>2001</v>
      </c>
      <c r="L1261" s="38" t="s">
        <v>99</v>
      </c>
      <c r="M1261" s="27" t="s">
        <v>140</v>
      </c>
      <c r="N1261" s="39" t="s">
        <v>4873</v>
      </c>
      <c r="O1261" s="17"/>
      <c r="P1261" s="19" t="s">
        <v>76</v>
      </c>
      <c r="Q1261" s="12"/>
      <c r="R1261" s="12" t="s">
        <v>4874</v>
      </c>
      <c r="S1261" s="12"/>
      <c r="T1261" s="12" t="s">
        <v>4875</v>
      </c>
      <c r="U1261" s="12"/>
      <c r="V1261" s="21" t="s">
        <v>31</v>
      </c>
      <c r="Z1261" s="12"/>
      <c r="AA1261" s="22" t="str">
        <f aca="false">IF(P1261="OD500 US (submitted)", "5", " ")</f>
        <v>5</v>
      </c>
      <c r="AB1261" s="12"/>
      <c r="AC1261" s="12"/>
      <c r="AD1261" s="12"/>
      <c r="AE1261" s="12"/>
    </row>
    <row r="1262" customFormat="false" ht="15.75" hidden="false" customHeight="false" outlineLevel="0" collapsed="false">
      <c r="A1262" s="12"/>
      <c r="B1262" s="13" t="s">
        <v>32</v>
      </c>
      <c r="C1262" s="14" t="s">
        <v>4876</v>
      </c>
      <c r="D1262" s="24" t="s">
        <v>51</v>
      </c>
      <c r="E1262" s="25" t="s">
        <v>4877</v>
      </c>
      <c r="F1262" s="17" t="s">
        <v>4878</v>
      </c>
      <c r="G1262" s="17" t="s">
        <v>4879</v>
      </c>
      <c r="H1262" s="17"/>
      <c r="I1262" s="17" t="s">
        <v>131</v>
      </c>
      <c r="J1262" s="32" t="s">
        <v>2009</v>
      </c>
      <c r="K1262" s="17"/>
      <c r="L1262" s="38"/>
      <c r="M1262" s="27"/>
      <c r="N1262" s="17"/>
      <c r="O1262" s="17"/>
      <c r="P1262" s="52" t="s">
        <v>185</v>
      </c>
      <c r="Q1262" s="12"/>
      <c r="R1262" s="12"/>
      <c r="S1262" s="12"/>
      <c r="T1262" s="12"/>
      <c r="U1262" s="12"/>
      <c r="V1262" s="21"/>
      <c r="Z1262" s="12"/>
      <c r="AA1262" s="29" t="n">
        <v>3</v>
      </c>
      <c r="AB1262" s="12" t="s">
        <v>4880</v>
      </c>
      <c r="AC1262" s="12"/>
      <c r="AD1262" s="12"/>
      <c r="AE1262" s="12"/>
    </row>
    <row r="1263" customFormat="false" ht="15.75" hidden="false" customHeight="false" outlineLevel="0" collapsed="false">
      <c r="A1263" s="12"/>
      <c r="B1263" s="54"/>
      <c r="C1263" s="55" t="s">
        <v>4881</v>
      </c>
      <c r="D1263" s="24"/>
      <c r="E1263" s="57" t="s">
        <v>4882</v>
      </c>
      <c r="F1263" s="15" t="s">
        <v>4883</v>
      </c>
      <c r="G1263" s="15"/>
      <c r="H1263" s="15"/>
      <c r="I1263" s="26" t="s">
        <v>92</v>
      </c>
      <c r="J1263" s="15" t="s">
        <v>4884</v>
      </c>
      <c r="K1263" s="17"/>
      <c r="L1263" s="38"/>
      <c r="M1263" s="18"/>
      <c r="N1263" s="17"/>
      <c r="O1263" s="17"/>
      <c r="P1263" s="19" t="s">
        <v>39</v>
      </c>
      <c r="Q1263" s="47"/>
      <c r="R1263" s="47" t="s">
        <v>4885</v>
      </c>
      <c r="S1263" s="47"/>
      <c r="T1263" s="47" t="s">
        <v>4886</v>
      </c>
      <c r="V1263" s="21" t="s">
        <v>31</v>
      </c>
      <c r="AA1263" s="63"/>
      <c r="AB1263" s="18" t="s">
        <v>4887</v>
      </c>
    </row>
    <row r="1264" customFormat="false" ht="15.75" hidden="false" customHeight="false" outlineLevel="0" collapsed="false">
      <c r="A1264" s="12" t="str">
        <f aca="false">IF((AA1264&gt;=4), "Y", "N")</f>
        <v>Y</v>
      </c>
      <c r="B1264" s="12"/>
      <c r="C1264" s="23" t="s">
        <v>4888</v>
      </c>
      <c r="D1264" s="24" t="s">
        <v>61</v>
      </c>
      <c r="E1264" s="25" t="s">
        <v>4889</v>
      </c>
      <c r="F1264" s="17" t="s">
        <v>4890</v>
      </c>
      <c r="G1264" s="17" t="s">
        <v>4891</v>
      </c>
      <c r="H1264" s="17" t="s">
        <v>423</v>
      </c>
      <c r="I1264" s="17" t="s">
        <v>36</v>
      </c>
      <c r="J1264" s="47" t="s">
        <v>4892</v>
      </c>
      <c r="K1264" s="17" t="n">
        <v>1962</v>
      </c>
      <c r="L1264" s="38" t="s">
        <v>330</v>
      </c>
      <c r="M1264" s="27" t="s">
        <v>140</v>
      </c>
      <c r="N1264" s="37" t="s">
        <v>4893</v>
      </c>
      <c r="O1264" s="17"/>
      <c r="P1264" s="40" t="s">
        <v>111</v>
      </c>
      <c r="Q1264" s="12"/>
      <c r="R1264" s="12"/>
      <c r="S1264" s="12"/>
      <c r="T1264" s="12"/>
      <c r="U1264" s="12"/>
      <c r="V1264" s="21"/>
      <c r="Z1264" s="12"/>
      <c r="AA1264" s="29" t="n">
        <v>5</v>
      </c>
      <c r="AB1264" s="12" t="s">
        <v>4894</v>
      </c>
      <c r="AC1264" s="59" t="s">
        <v>4895</v>
      </c>
      <c r="AD1264" s="12"/>
      <c r="AE1264" s="12"/>
    </row>
    <row r="1265" customFormat="false" ht="15.75" hidden="false" customHeight="false" outlineLevel="0" collapsed="false">
      <c r="A1265" s="12" t="str">
        <f aca="false">IF((AA1265&gt;=4), "Y", "N")</f>
        <v>Y</v>
      </c>
      <c r="B1265" s="13" t="s">
        <v>49</v>
      </c>
      <c r="C1265" s="31" t="s">
        <v>4896</v>
      </c>
      <c r="D1265" s="16" t="s">
        <v>61</v>
      </c>
      <c r="E1265" s="32" t="s">
        <v>4897</v>
      </c>
      <c r="F1265" s="17" t="s">
        <v>4898</v>
      </c>
      <c r="G1265" s="17"/>
      <c r="H1265" s="17"/>
      <c r="I1265" s="26" t="s">
        <v>266</v>
      </c>
      <c r="J1265" s="32" t="s">
        <v>4892</v>
      </c>
      <c r="K1265" s="33" t="n">
        <v>2000</v>
      </c>
      <c r="L1265" s="38" t="s">
        <v>109</v>
      </c>
      <c r="M1265" s="27" t="s">
        <v>140</v>
      </c>
      <c r="N1265" s="17" t="s">
        <v>4899</v>
      </c>
      <c r="O1265" s="17"/>
      <c r="P1265" s="40" t="s">
        <v>268</v>
      </c>
      <c r="V1265" s="60"/>
      <c r="AA1265" s="29" t="str">
        <f aca="false">IF(P1265="OD500 MX", "5", " ")</f>
        <v>5</v>
      </c>
      <c r="AB1265" s="47" t="s">
        <v>4894</v>
      </c>
    </row>
    <row r="1266" customFormat="false" ht="15.75" hidden="false" customHeight="false" outlineLevel="0" collapsed="false">
      <c r="A1266" s="12" t="str">
        <f aca="false">IF((AA1266&gt;=4), "Y", "N")</f>
        <v>Y</v>
      </c>
      <c r="B1266" s="12" t="s">
        <v>32</v>
      </c>
      <c r="C1266" s="31" t="s">
        <v>4900</v>
      </c>
      <c r="D1266" s="24" t="s">
        <v>94</v>
      </c>
      <c r="E1266" s="25" t="s">
        <v>4901</v>
      </c>
      <c r="F1266" s="17" t="s">
        <v>4902</v>
      </c>
      <c r="G1266" s="17" t="s">
        <v>145</v>
      </c>
      <c r="H1266" s="26" t="s">
        <v>146</v>
      </c>
      <c r="I1266" s="17" t="s">
        <v>36</v>
      </c>
      <c r="J1266" s="47" t="s">
        <v>4892</v>
      </c>
      <c r="K1266" s="17" t="n">
        <v>2012</v>
      </c>
      <c r="L1266" s="38" t="s">
        <v>109</v>
      </c>
      <c r="M1266" s="27" t="s">
        <v>140</v>
      </c>
      <c r="N1266" s="36" t="s">
        <v>4903</v>
      </c>
      <c r="O1266" s="17" t="s">
        <v>4904</v>
      </c>
      <c r="P1266" s="40" t="s">
        <v>526</v>
      </c>
      <c r="Q1266" s="12"/>
      <c r="R1266" s="12"/>
      <c r="S1266" s="12"/>
      <c r="T1266" s="12"/>
      <c r="U1266" s="12"/>
      <c r="V1266" s="21"/>
      <c r="Z1266" s="12"/>
      <c r="AA1266" s="29" t="n">
        <v>5</v>
      </c>
      <c r="AB1266" s="59" t="s">
        <v>4905</v>
      </c>
      <c r="AC1266" s="12"/>
      <c r="AD1266" s="12"/>
      <c r="AE1266" s="12"/>
    </row>
    <row r="1267" customFormat="false" ht="15.75" hidden="false" customHeight="false" outlineLevel="0" collapsed="false">
      <c r="A1267" s="12" t="str">
        <f aca="false">IF((AA1267&gt;=4), "Y", "N")</f>
        <v>Y</v>
      </c>
      <c r="B1267" s="13"/>
      <c r="C1267" s="31" t="s">
        <v>4906</v>
      </c>
      <c r="D1267" s="16" t="s">
        <v>94</v>
      </c>
      <c r="E1267" s="32" t="s">
        <v>4907</v>
      </c>
      <c r="F1267" s="32" t="s">
        <v>4908</v>
      </c>
      <c r="G1267" s="32" t="s">
        <v>389</v>
      </c>
      <c r="H1267" s="26" t="s">
        <v>390</v>
      </c>
      <c r="I1267" s="17" t="s">
        <v>36</v>
      </c>
      <c r="J1267" s="47" t="s">
        <v>4892</v>
      </c>
      <c r="K1267" s="33" t="n">
        <v>2004</v>
      </c>
      <c r="L1267" s="38" t="s">
        <v>109</v>
      </c>
      <c r="M1267" s="27" t="s">
        <v>140</v>
      </c>
      <c r="N1267" s="39" t="s">
        <v>1961</v>
      </c>
      <c r="O1267" s="17"/>
      <c r="P1267" s="19" t="s">
        <v>76</v>
      </c>
      <c r="Q1267" s="12"/>
      <c r="R1267" s="12" t="s">
        <v>4909</v>
      </c>
      <c r="S1267" s="12"/>
      <c r="T1267" s="12" t="s">
        <v>4910</v>
      </c>
      <c r="U1267" s="12"/>
      <c r="V1267" s="21" t="s">
        <v>31</v>
      </c>
      <c r="Z1267" s="12"/>
      <c r="AA1267" s="22" t="str">
        <f aca="false">IF(P1267="OD500 US (submitted)", "5", " ")</f>
        <v>5</v>
      </c>
      <c r="AB1267" s="12"/>
      <c r="AC1267" s="12"/>
      <c r="AD1267" s="12"/>
      <c r="AE1267" s="12"/>
    </row>
    <row r="1268" customFormat="false" ht="15.75" hidden="false" customHeight="false" outlineLevel="0" collapsed="false">
      <c r="A1268" s="12"/>
      <c r="B1268" s="12"/>
      <c r="C1268" s="23" t="s">
        <v>4911</v>
      </c>
      <c r="D1268" s="24" t="s">
        <v>94</v>
      </c>
      <c r="E1268" s="25" t="s">
        <v>4912</v>
      </c>
      <c r="F1268" s="17" t="s">
        <v>4913</v>
      </c>
      <c r="G1268" s="17" t="s">
        <v>458</v>
      </c>
      <c r="H1268" s="26" t="s">
        <v>444</v>
      </c>
      <c r="I1268" s="17" t="s">
        <v>36</v>
      </c>
      <c r="J1268" s="47" t="s">
        <v>4892</v>
      </c>
      <c r="K1268" s="17" t="n">
        <v>1982</v>
      </c>
      <c r="L1268" s="38" t="s">
        <v>275</v>
      </c>
      <c r="M1268" s="27"/>
      <c r="N1268" s="39" t="s">
        <v>4914</v>
      </c>
      <c r="O1268" s="17"/>
      <c r="P1268" s="40" t="s">
        <v>111</v>
      </c>
      <c r="Q1268" s="12"/>
      <c r="R1268" s="12"/>
      <c r="S1268" s="12"/>
      <c r="T1268" s="12"/>
      <c r="U1268" s="12"/>
      <c r="V1268" s="21"/>
      <c r="Z1268" s="12"/>
      <c r="AA1268" s="29" t="n">
        <v>5</v>
      </c>
      <c r="AB1268" s="12" t="s">
        <v>4915</v>
      </c>
      <c r="AC1268" s="12"/>
      <c r="AD1268" s="12"/>
      <c r="AE1268" s="12"/>
    </row>
    <row r="1269" customFormat="false" ht="15.75" hidden="false" customHeight="false" outlineLevel="0" collapsed="false">
      <c r="A1269" s="12"/>
      <c r="B1269" s="12"/>
      <c r="C1269" s="23" t="s">
        <v>4916</v>
      </c>
      <c r="D1269" s="24" t="s">
        <v>94</v>
      </c>
      <c r="E1269" s="25" t="s">
        <v>4917</v>
      </c>
      <c r="F1269" s="17" t="s">
        <v>4918</v>
      </c>
      <c r="G1269" s="17" t="s">
        <v>4919</v>
      </c>
      <c r="H1269" s="26" t="s">
        <v>4920</v>
      </c>
      <c r="I1269" s="17" t="s">
        <v>36</v>
      </c>
      <c r="J1269" s="47" t="s">
        <v>4892</v>
      </c>
      <c r="K1269" s="17" t="n">
        <v>1999</v>
      </c>
      <c r="L1269" s="38" t="s">
        <v>73</v>
      </c>
      <c r="M1269" s="27"/>
      <c r="N1269" s="39" t="s">
        <v>1961</v>
      </c>
      <c r="O1269" s="17"/>
      <c r="P1269" s="40" t="s">
        <v>111</v>
      </c>
      <c r="Q1269" s="20"/>
      <c r="R1269" s="20"/>
      <c r="S1269" s="20"/>
      <c r="T1269" s="20"/>
      <c r="U1269" s="20"/>
      <c r="V1269" s="45"/>
      <c r="Z1269" s="20"/>
      <c r="AA1269" s="22" t="n">
        <v>4</v>
      </c>
      <c r="AB1269" s="12" t="s">
        <v>4915</v>
      </c>
      <c r="AC1269" s="20"/>
      <c r="AD1269" s="20"/>
      <c r="AE1269" s="20"/>
    </row>
    <row r="1270" customFormat="false" ht="15.75" hidden="false" customHeight="false" outlineLevel="0" collapsed="false">
      <c r="A1270" s="12"/>
      <c r="B1270" s="12"/>
      <c r="C1270" s="23" t="s">
        <v>4921</v>
      </c>
      <c r="D1270" s="24" t="s">
        <v>94</v>
      </c>
      <c r="E1270" s="25" t="s">
        <v>4922</v>
      </c>
      <c r="F1270" s="17" t="s">
        <v>4923</v>
      </c>
      <c r="G1270" s="17" t="s">
        <v>71</v>
      </c>
      <c r="H1270" s="26" t="s">
        <v>72</v>
      </c>
      <c r="I1270" s="17" t="s">
        <v>36</v>
      </c>
      <c r="J1270" s="47" t="s">
        <v>4892</v>
      </c>
      <c r="K1270" s="17" t="n">
        <v>1995</v>
      </c>
      <c r="L1270" s="38" t="s">
        <v>73</v>
      </c>
      <c r="M1270" s="27"/>
      <c r="N1270" s="39" t="s">
        <v>4914</v>
      </c>
      <c r="O1270" s="17"/>
      <c r="P1270" s="40" t="s">
        <v>111</v>
      </c>
      <c r="Q1270" s="20"/>
      <c r="R1270" s="20"/>
      <c r="S1270" s="20"/>
      <c r="T1270" s="20"/>
      <c r="U1270" s="20"/>
      <c r="V1270" s="45"/>
      <c r="Z1270" s="20"/>
      <c r="AA1270" s="22" t="n">
        <v>5</v>
      </c>
      <c r="AB1270" s="12" t="s">
        <v>4915</v>
      </c>
      <c r="AC1270" s="20"/>
      <c r="AD1270" s="20"/>
      <c r="AE1270" s="20"/>
    </row>
    <row r="1271" customFormat="false" ht="15.75" hidden="false" customHeight="false" outlineLevel="0" collapsed="false">
      <c r="A1271" s="12" t="str">
        <f aca="false">IF((AA1271&gt;=4), "Y", "N")</f>
        <v>Y</v>
      </c>
      <c r="B1271" s="12" t="s">
        <v>49</v>
      </c>
      <c r="C1271" s="23" t="s">
        <v>4924</v>
      </c>
      <c r="D1271" s="24" t="s">
        <v>61</v>
      </c>
      <c r="E1271" s="25" t="s">
        <v>4925</v>
      </c>
      <c r="F1271" s="47" t="s">
        <v>4926</v>
      </c>
      <c r="G1271" s="17" t="s">
        <v>2637</v>
      </c>
      <c r="H1271" s="17"/>
      <c r="I1271" s="26" t="s">
        <v>82</v>
      </c>
      <c r="J1271" s="32" t="s">
        <v>611</v>
      </c>
      <c r="K1271" s="17"/>
      <c r="L1271" s="38"/>
      <c r="M1271" s="27" t="s">
        <v>74</v>
      </c>
      <c r="N1271" s="17"/>
      <c r="O1271" s="17"/>
      <c r="P1271" s="40" t="s">
        <v>638</v>
      </c>
      <c r="Q1271" s="12"/>
      <c r="R1271" s="12" t="s">
        <v>4927</v>
      </c>
      <c r="S1271" s="12"/>
      <c r="T1271" s="12" t="s">
        <v>4928</v>
      </c>
      <c r="U1271" s="12"/>
      <c r="V1271" s="21" t="s">
        <v>31</v>
      </c>
      <c r="Z1271" s="12"/>
      <c r="AA1271" s="29" t="n">
        <v>5</v>
      </c>
      <c r="AB1271" s="12" t="s">
        <v>4929</v>
      </c>
      <c r="AC1271" s="59" t="s">
        <v>4930</v>
      </c>
      <c r="AD1271" s="12"/>
      <c r="AE1271" s="12"/>
    </row>
    <row r="1272" customFormat="false" ht="15.75" hidden="false" customHeight="false" outlineLevel="0" collapsed="false">
      <c r="A1272" s="12"/>
      <c r="B1272" s="20"/>
      <c r="C1272" s="48" t="s">
        <v>4931</v>
      </c>
      <c r="D1272" s="24" t="s">
        <v>61</v>
      </c>
      <c r="E1272" s="49" t="s">
        <v>4932</v>
      </c>
      <c r="F1272" s="49" t="s">
        <v>4933</v>
      </c>
      <c r="G1272" s="17"/>
      <c r="H1272" s="17"/>
      <c r="I1272" s="26" t="s">
        <v>166</v>
      </c>
      <c r="J1272" s="32"/>
      <c r="K1272" s="17"/>
      <c r="L1272" s="38"/>
      <c r="M1272" s="50"/>
      <c r="N1272" s="17"/>
      <c r="O1272" s="17"/>
      <c r="P1272" s="40" t="s">
        <v>168</v>
      </c>
      <c r="Q1272" s="12"/>
      <c r="R1272" s="12"/>
      <c r="S1272" s="12"/>
      <c r="T1272" s="12" t="s">
        <v>4934</v>
      </c>
      <c r="U1272" s="12" t="s">
        <v>4935</v>
      </c>
      <c r="V1272" s="21" t="s">
        <v>31</v>
      </c>
      <c r="Z1272" s="12"/>
      <c r="AA1272" s="29"/>
      <c r="AB1272" s="50" t="s">
        <v>4936</v>
      </c>
      <c r="AC1272" s="12"/>
      <c r="AD1272" s="12"/>
      <c r="AE1272" s="12"/>
      <c r="AF1272" s="47"/>
      <c r="AG1272" s="47"/>
    </row>
    <row r="1273" customFormat="false" ht="15.75" hidden="false" customHeight="false" outlineLevel="0" collapsed="false">
      <c r="A1273" s="12"/>
      <c r="B1273" s="20"/>
      <c r="C1273" s="48" t="s">
        <v>4937</v>
      </c>
      <c r="D1273" s="24" t="s">
        <v>61</v>
      </c>
      <c r="E1273" s="49" t="s">
        <v>4938</v>
      </c>
      <c r="F1273" s="49" t="s">
        <v>4939</v>
      </c>
      <c r="G1273" s="17"/>
      <c r="H1273" s="17"/>
      <c r="I1273" s="26" t="s">
        <v>166</v>
      </c>
      <c r="J1273" s="32"/>
      <c r="K1273" s="17"/>
      <c r="L1273" s="38"/>
      <c r="M1273" s="50"/>
      <c r="N1273" s="17"/>
      <c r="O1273" s="17"/>
      <c r="P1273" s="40" t="s">
        <v>168</v>
      </c>
      <c r="Q1273" s="12"/>
      <c r="R1273" s="12"/>
      <c r="S1273" s="12"/>
      <c r="T1273" s="12" t="s">
        <v>4940</v>
      </c>
      <c r="U1273" s="12"/>
      <c r="V1273" s="21" t="s">
        <v>31</v>
      </c>
      <c r="Z1273" s="12"/>
      <c r="AA1273" s="29"/>
      <c r="AB1273" s="50" t="s">
        <v>4941</v>
      </c>
      <c r="AC1273" s="12"/>
      <c r="AD1273" s="12"/>
      <c r="AE1273" s="12"/>
      <c r="AG1273" s="47"/>
    </row>
    <row r="1274" customFormat="false" ht="15.75" hidden="false" customHeight="false" outlineLevel="0" collapsed="false">
      <c r="A1274" s="12"/>
      <c r="B1274" s="12"/>
      <c r="C1274" s="23" t="s">
        <v>4942</v>
      </c>
      <c r="D1274" s="24"/>
      <c r="E1274" s="25" t="s">
        <v>4943</v>
      </c>
      <c r="F1274" s="17" t="s">
        <v>4944</v>
      </c>
      <c r="G1274" s="17" t="s">
        <v>1600</v>
      </c>
      <c r="H1274" s="17"/>
      <c r="I1274" s="26" t="s">
        <v>82</v>
      </c>
      <c r="J1274" s="32"/>
      <c r="K1274" s="17"/>
      <c r="L1274" s="38"/>
      <c r="M1274" s="27"/>
      <c r="N1274" s="17"/>
      <c r="O1274" s="17"/>
      <c r="P1274" s="40" t="s">
        <v>638</v>
      </c>
      <c r="Q1274" s="47"/>
      <c r="R1274" s="47" t="s">
        <v>4945</v>
      </c>
      <c r="S1274" s="47"/>
      <c r="T1274" s="47" t="s">
        <v>4946</v>
      </c>
      <c r="V1274" s="21" t="s">
        <v>31</v>
      </c>
      <c r="AA1274" s="63"/>
      <c r="AB1274" s="84"/>
    </row>
    <row r="1275" customFormat="false" ht="15.75" hidden="false" customHeight="false" outlineLevel="0" collapsed="false">
      <c r="A1275" s="12"/>
      <c r="B1275" s="20"/>
      <c r="C1275" s="48" t="s">
        <v>4947</v>
      </c>
      <c r="D1275" s="24"/>
      <c r="E1275" s="49"/>
      <c r="F1275" s="49"/>
      <c r="G1275" s="17"/>
      <c r="H1275" s="17"/>
      <c r="I1275" s="26" t="s">
        <v>882</v>
      </c>
      <c r="J1275" s="32"/>
      <c r="K1275" s="17"/>
      <c r="L1275" s="38"/>
      <c r="M1275" s="50"/>
      <c r="N1275" s="17"/>
      <c r="O1275" s="17"/>
      <c r="P1275" s="40"/>
      <c r="Q1275" s="12"/>
      <c r="R1275" s="12"/>
      <c r="S1275" s="12"/>
      <c r="T1275" s="12"/>
      <c r="U1275" s="12"/>
      <c r="V1275" s="21"/>
      <c r="Z1275" s="12"/>
      <c r="AA1275" s="29"/>
      <c r="AB1275" s="111"/>
      <c r="AC1275" s="12"/>
      <c r="AD1275" s="12"/>
      <c r="AE1275" s="12"/>
    </row>
    <row r="1276" customFormat="false" ht="15.75" hidden="false" customHeight="false" outlineLevel="0" collapsed="false">
      <c r="A1276" s="12"/>
      <c r="B1276" s="20"/>
      <c r="C1276" s="48" t="s">
        <v>4948</v>
      </c>
      <c r="D1276" s="24" t="s">
        <v>61</v>
      </c>
      <c r="E1276" s="49" t="s">
        <v>4949</v>
      </c>
      <c r="F1276" s="49" t="s">
        <v>4950</v>
      </c>
      <c r="G1276" s="17"/>
      <c r="H1276" s="17"/>
      <c r="I1276" s="26" t="s">
        <v>166</v>
      </c>
      <c r="J1276" s="32"/>
      <c r="K1276" s="17"/>
      <c r="L1276" s="38"/>
      <c r="M1276" s="50"/>
      <c r="N1276" s="17"/>
      <c r="O1276" s="17"/>
      <c r="P1276" s="40" t="s">
        <v>168</v>
      </c>
      <c r="Q1276" s="12"/>
      <c r="R1276" s="12" t="s">
        <v>4951</v>
      </c>
      <c r="S1276" s="12"/>
      <c r="T1276" s="12" t="s">
        <v>4952</v>
      </c>
      <c r="U1276" s="12" t="s">
        <v>4953</v>
      </c>
      <c r="V1276" s="21" t="s">
        <v>31</v>
      </c>
      <c r="Z1276" s="12"/>
      <c r="AA1276" s="29"/>
      <c r="AB1276" s="50" t="s">
        <v>4954</v>
      </c>
      <c r="AC1276" s="12"/>
      <c r="AD1276" s="12"/>
      <c r="AE1276" s="12"/>
      <c r="AG1276" s="47"/>
    </row>
    <row r="1277" customFormat="false" ht="15.75" hidden="false" customHeight="false" outlineLevel="0" collapsed="false">
      <c r="A1277" s="12"/>
      <c r="B1277" s="20"/>
      <c r="C1277" s="48" t="s">
        <v>4955</v>
      </c>
      <c r="D1277" s="24" t="s">
        <v>61</v>
      </c>
      <c r="E1277" s="49" t="s">
        <v>4956</v>
      </c>
      <c r="F1277" s="49" t="s">
        <v>4957</v>
      </c>
      <c r="G1277" s="17"/>
      <c r="H1277" s="17"/>
      <c r="I1277" s="26" t="s">
        <v>166</v>
      </c>
      <c r="J1277" s="32"/>
      <c r="K1277" s="17"/>
      <c r="L1277" s="38"/>
      <c r="M1277" s="46"/>
      <c r="N1277" s="17"/>
      <c r="O1277" s="17"/>
      <c r="P1277" s="40" t="s">
        <v>168</v>
      </c>
      <c r="Q1277" s="12"/>
      <c r="R1277" s="12" t="s">
        <v>4958</v>
      </c>
      <c r="S1277" s="12"/>
      <c r="T1277" s="12" t="s">
        <v>4959</v>
      </c>
      <c r="U1277" s="12" t="s">
        <v>4960</v>
      </c>
      <c r="V1277" s="21" t="s">
        <v>31</v>
      </c>
      <c r="Z1277" s="12"/>
      <c r="AA1277" s="29"/>
      <c r="AB1277" s="46"/>
      <c r="AC1277" s="12"/>
      <c r="AD1277" s="12"/>
      <c r="AE1277" s="12"/>
      <c r="AF1277" s="47"/>
      <c r="AG1277" s="47"/>
    </row>
    <row r="1278" customFormat="false" ht="15.75" hidden="false" customHeight="false" outlineLevel="0" collapsed="false">
      <c r="A1278" s="12"/>
      <c r="B1278" s="20"/>
      <c r="C1278" s="48" t="s">
        <v>4961</v>
      </c>
      <c r="D1278" s="24" t="s">
        <v>61</v>
      </c>
      <c r="E1278" s="49" t="s">
        <v>4962</v>
      </c>
      <c r="F1278" s="49" t="s">
        <v>4963</v>
      </c>
      <c r="G1278" s="17"/>
      <c r="H1278" s="17"/>
      <c r="I1278" s="26" t="s">
        <v>166</v>
      </c>
      <c r="J1278" s="32"/>
      <c r="K1278" s="17"/>
      <c r="L1278" s="38"/>
      <c r="M1278" s="50"/>
      <c r="N1278" s="17"/>
      <c r="O1278" s="17"/>
      <c r="P1278" s="40" t="s">
        <v>168</v>
      </c>
      <c r="Q1278" s="12"/>
      <c r="R1278" s="12" t="s">
        <v>4964</v>
      </c>
      <c r="S1278" s="12"/>
      <c r="T1278" s="12" t="s">
        <v>4965</v>
      </c>
      <c r="U1278" s="12" t="s">
        <v>4966</v>
      </c>
      <c r="V1278" s="21" t="s">
        <v>31</v>
      </c>
      <c r="Z1278" s="12"/>
      <c r="AA1278" s="29"/>
      <c r="AB1278" s="50" t="s">
        <v>4967</v>
      </c>
      <c r="AC1278" s="12"/>
      <c r="AD1278" s="12"/>
      <c r="AE1278" s="12"/>
      <c r="AF1278" s="47"/>
      <c r="AG1278" s="47"/>
    </row>
    <row r="1279" customFormat="false" ht="15.75" hidden="false" customHeight="false" outlineLevel="0" collapsed="false">
      <c r="A1279" s="12"/>
      <c r="B1279" s="20"/>
      <c r="C1279" s="48" t="s">
        <v>4968</v>
      </c>
      <c r="D1279" s="24" t="s">
        <v>61</v>
      </c>
      <c r="E1279" s="49" t="s">
        <v>4969</v>
      </c>
      <c r="F1279" s="49" t="s">
        <v>4970</v>
      </c>
      <c r="G1279" s="17"/>
      <c r="H1279" s="17"/>
      <c r="I1279" s="26" t="s">
        <v>166</v>
      </c>
      <c r="J1279" s="32"/>
      <c r="K1279" s="17"/>
      <c r="L1279" s="38"/>
      <c r="M1279" s="50"/>
      <c r="N1279" s="17"/>
      <c r="O1279" s="17"/>
      <c r="P1279" s="40" t="s">
        <v>168</v>
      </c>
      <c r="Q1279" s="12"/>
      <c r="R1279" s="12" t="s">
        <v>4971</v>
      </c>
      <c r="S1279" s="12"/>
      <c r="T1279" s="12" t="s">
        <v>4972</v>
      </c>
      <c r="U1279" s="12" t="s">
        <v>4973</v>
      </c>
      <c r="V1279" s="21" t="s">
        <v>31</v>
      </c>
      <c r="Z1279" s="12"/>
      <c r="AA1279" s="29"/>
      <c r="AB1279" s="12" t="s">
        <v>4974</v>
      </c>
      <c r="AC1279" s="12"/>
      <c r="AD1279" s="12"/>
      <c r="AE1279" s="12"/>
      <c r="AF1279" s="47"/>
      <c r="AG1279" s="47"/>
    </row>
    <row r="1280" customFormat="false" ht="15.75" hidden="false" customHeight="false" outlineLevel="0" collapsed="false">
      <c r="A1280" s="12"/>
      <c r="B1280" s="12"/>
      <c r="C1280" s="23" t="s">
        <v>4975</v>
      </c>
      <c r="D1280" s="24"/>
      <c r="E1280" s="25" t="s">
        <v>4976</v>
      </c>
      <c r="F1280" s="17" t="s">
        <v>4977</v>
      </c>
      <c r="G1280" s="17" t="s">
        <v>1100</v>
      </c>
      <c r="H1280" s="17"/>
      <c r="I1280" s="26" t="s">
        <v>82</v>
      </c>
      <c r="J1280" s="32"/>
      <c r="K1280" s="17"/>
      <c r="L1280" s="38"/>
      <c r="M1280" s="27"/>
      <c r="N1280" s="17"/>
      <c r="O1280" s="17"/>
      <c r="P1280" s="40" t="s">
        <v>638</v>
      </c>
      <c r="Q1280" s="12"/>
      <c r="R1280" s="12" t="s">
        <v>4978</v>
      </c>
      <c r="S1280" s="12"/>
      <c r="T1280" s="12" t="s">
        <v>4979</v>
      </c>
      <c r="U1280" s="12"/>
      <c r="V1280" s="21" t="s">
        <v>31</v>
      </c>
      <c r="Z1280" s="12"/>
      <c r="AA1280" s="29"/>
      <c r="AB1280" s="12"/>
      <c r="AC1280" s="12"/>
      <c r="AD1280" s="12"/>
      <c r="AE1280" s="12"/>
    </row>
    <row r="1281" customFormat="false" ht="15.75" hidden="false" customHeight="false" outlineLevel="0" collapsed="false">
      <c r="A1281" s="12"/>
      <c r="B1281" s="12"/>
      <c r="C1281" s="23" t="s">
        <v>4980</v>
      </c>
      <c r="D1281" s="24"/>
      <c r="E1281" s="25" t="s">
        <v>4981</v>
      </c>
      <c r="F1281" s="17" t="s">
        <v>4982</v>
      </c>
      <c r="G1281" s="17" t="s">
        <v>1600</v>
      </c>
      <c r="H1281" s="17"/>
      <c r="I1281" s="26" t="s">
        <v>82</v>
      </c>
      <c r="J1281" s="32"/>
      <c r="K1281" s="17"/>
      <c r="L1281" s="38"/>
      <c r="M1281" s="27"/>
      <c r="N1281" s="17"/>
      <c r="O1281" s="17"/>
      <c r="P1281" s="40" t="s">
        <v>638</v>
      </c>
      <c r="Q1281" s="47"/>
      <c r="R1281" s="47" t="s">
        <v>4983</v>
      </c>
      <c r="S1281" s="47"/>
      <c r="T1281" s="47" t="s">
        <v>4984</v>
      </c>
      <c r="V1281" s="21" t="s">
        <v>31</v>
      </c>
      <c r="AA1281" s="63"/>
    </row>
    <row r="1282" customFormat="false" ht="15.75" hidden="false" customHeight="false" outlineLevel="0" collapsed="false">
      <c r="A1282" s="12"/>
      <c r="B1282" s="12"/>
      <c r="C1282" s="23" t="s">
        <v>4985</v>
      </c>
      <c r="D1282" s="24"/>
      <c r="E1282" s="25" t="s">
        <v>4986</v>
      </c>
      <c r="F1282" s="17" t="s">
        <v>4987</v>
      </c>
      <c r="G1282" s="17" t="s">
        <v>2637</v>
      </c>
      <c r="H1282" s="17"/>
      <c r="I1282" s="26" t="s">
        <v>82</v>
      </c>
      <c r="J1282" s="32"/>
      <c r="K1282" s="17"/>
      <c r="L1282" s="38"/>
      <c r="M1282" s="27"/>
      <c r="N1282" s="17"/>
      <c r="O1282" s="17"/>
      <c r="P1282" s="40" t="s">
        <v>638</v>
      </c>
      <c r="Q1282" s="47"/>
      <c r="R1282" s="47" t="s">
        <v>4988</v>
      </c>
      <c r="S1282" s="47"/>
      <c r="T1282" s="47" t="s">
        <v>4989</v>
      </c>
      <c r="V1282" s="21" t="s">
        <v>31</v>
      </c>
      <c r="AA1282" s="63"/>
    </row>
    <row r="1283" customFormat="false" ht="15.75" hidden="false" customHeight="false" outlineLevel="0" collapsed="false">
      <c r="A1283" s="12"/>
      <c r="B1283" s="20"/>
      <c r="C1283" s="48" t="s">
        <v>4990</v>
      </c>
      <c r="D1283" s="24" t="s">
        <v>61</v>
      </c>
      <c r="E1283" s="49" t="s">
        <v>4991</v>
      </c>
      <c r="F1283" s="49" t="s">
        <v>4992</v>
      </c>
      <c r="G1283" s="17"/>
      <c r="H1283" s="17"/>
      <c r="I1283" s="26" t="s">
        <v>166</v>
      </c>
      <c r="J1283" s="32"/>
      <c r="K1283" s="17"/>
      <c r="L1283" s="38"/>
      <c r="M1283" s="50"/>
      <c r="N1283" s="17"/>
      <c r="O1283" s="17"/>
      <c r="P1283" s="40" t="s">
        <v>168</v>
      </c>
      <c r="Q1283" s="12"/>
      <c r="R1283" s="12" t="s">
        <v>4993</v>
      </c>
      <c r="S1283" s="12"/>
      <c r="T1283" s="12" t="s">
        <v>4994</v>
      </c>
      <c r="U1283" s="12" t="s">
        <v>4995</v>
      </c>
      <c r="V1283" s="21" t="s">
        <v>31</v>
      </c>
      <c r="Z1283" s="12"/>
      <c r="AA1283" s="29"/>
      <c r="AB1283" s="50" t="s">
        <v>4996</v>
      </c>
      <c r="AC1283" s="12"/>
      <c r="AD1283" s="12"/>
      <c r="AE1283" s="12"/>
      <c r="AF1283" s="47"/>
      <c r="AG1283" s="47"/>
    </row>
    <row r="1284" customFormat="false" ht="15.75" hidden="false" customHeight="false" outlineLevel="0" collapsed="false">
      <c r="A1284" s="12"/>
      <c r="B1284" s="20"/>
      <c r="C1284" s="48" t="s">
        <v>4997</v>
      </c>
      <c r="D1284" s="24" t="s">
        <v>61</v>
      </c>
      <c r="E1284" s="49" t="s">
        <v>4998</v>
      </c>
      <c r="F1284" s="49" t="s">
        <v>4999</v>
      </c>
      <c r="G1284" s="17"/>
      <c r="H1284" s="17"/>
      <c r="I1284" s="26" t="s">
        <v>166</v>
      </c>
      <c r="J1284" s="32"/>
      <c r="K1284" s="17"/>
      <c r="L1284" s="38"/>
      <c r="M1284" s="50"/>
      <c r="N1284" s="17"/>
      <c r="O1284" s="17"/>
      <c r="P1284" s="40" t="s">
        <v>168</v>
      </c>
      <c r="Q1284" s="12"/>
      <c r="R1284" s="12"/>
      <c r="S1284" s="12"/>
      <c r="T1284" s="12" t="s">
        <v>5000</v>
      </c>
      <c r="U1284" s="12"/>
      <c r="V1284" s="21" t="s">
        <v>31</v>
      </c>
      <c r="Z1284" s="12"/>
      <c r="AA1284" s="29"/>
      <c r="AB1284" s="50" t="s">
        <v>5001</v>
      </c>
      <c r="AC1284" s="12"/>
      <c r="AD1284" s="12"/>
      <c r="AE1284" s="12"/>
      <c r="AF1284" s="47"/>
      <c r="AG1284" s="47"/>
    </row>
    <row r="1285" customFormat="false" ht="15.75" hidden="false" customHeight="false" outlineLevel="0" collapsed="false">
      <c r="A1285" s="12"/>
      <c r="B1285" s="12"/>
      <c r="C1285" s="23" t="s">
        <v>5002</v>
      </c>
      <c r="D1285" s="24"/>
      <c r="E1285" s="25" t="s">
        <v>5003</v>
      </c>
      <c r="F1285" s="17" t="s">
        <v>5004</v>
      </c>
      <c r="G1285" s="17" t="s">
        <v>1100</v>
      </c>
      <c r="H1285" s="17"/>
      <c r="I1285" s="26" t="s">
        <v>82</v>
      </c>
      <c r="J1285" s="32"/>
      <c r="K1285" s="17"/>
      <c r="L1285" s="38"/>
      <c r="M1285" s="27"/>
      <c r="N1285" s="17"/>
      <c r="O1285" s="17"/>
      <c r="P1285" s="40" t="s">
        <v>638</v>
      </c>
      <c r="Q1285" s="12"/>
      <c r="R1285" s="12" t="s">
        <v>5005</v>
      </c>
      <c r="S1285" s="12"/>
      <c r="T1285" s="12" t="s">
        <v>5006</v>
      </c>
      <c r="U1285" s="12"/>
      <c r="V1285" s="21" t="s">
        <v>31</v>
      </c>
      <c r="Z1285" s="12"/>
      <c r="AA1285" s="29"/>
      <c r="AB1285" s="84"/>
      <c r="AC1285" s="12"/>
      <c r="AD1285" s="12"/>
      <c r="AE1285" s="12"/>
    </row>
    <row r="1286" customFormat="false" ht="15.75" hidden="false" customHeight="false" outlineLevel="0" collapsed="false">
      <c r="A1286" s="12"/>
      <c r="B1286" s="12"/>
      <c r="C1286" s="23" t="s">
        <v>5007</v>
      </c>
      <c r="D1286" s="24"/>
      <c r="E1286" s="25" t="s">
        <v>5008</v>
      </c>
      <c r="F1286" s="17" t="s">
        <v>5009</v>
      </c>
      <c r="G1286" s="17" t="s">
        <v>2637</v>
      </c>
      <c r="H1286" s="17"/>
      <c r="I1286" s="26" t="s">
        <v>82</v>
      </c>
      <c r="J1286" s="32"/>
      <c r="K1286" s="17"/>
      <c r="L1286" s="38"/>
      <c r="M1286" s="27"/>
      <c r="N1286" s="17"/>
      <c r="O1286" s="17"/>
      <c r="P1286" s="40" t="s">
        <v>638</v>
      </c>
      <c r="Q1286" s="12"/>
      <c r="R1286" s="12" t="s">
        <v>5010</v>
      </c>
      <c r="S1286" s="12"/>
      <c r="T1286" s="12"/>
      <c r="U1286" s="12"/>
      <c r="V1286" s="21"/>
      <c r="Z1286" s="12"/>
      <c r="AA1286" s="29"/>
      <c r="AB1286" s="84"/>
      <c r="AC1286" s="12"/>
      <c r="AD1286" s="12"/>
      <c r="AE1286" s="12"/>
    </row>
    <row r="1287" customFormat="false" ht="15.75" hidden="false" customHeight="false" outlineLevel="0" collapsed="false">
      <c r="A1287" s="12"/>
      <c r="B1287" s="20"/>
      <c r="C1287" s="48" t="s">
        <v>5011</v>
      </c>
      <c r="D1287" s="24" t="s">
        <v>61</v>
      </c>
      <c r="E1287" s="49" t="s">
        <v>5012</v>
      </c>
      <c r="F1287" s="49" t="s">
        <v>5013</v>
      </c>
      <c r="G1287" s="17"/>
      <c r="H1287" s="17"/>
      <c r="I1287" s="26" t="s">
        <v>166</v>
      </c>
      <c r="J1287" s="32"/>
      <c r="K1287" s="17"/>
      <c r="L1287" s="38"/>
      <c r="M1287" s="50"/>
      <c r="N1287" s="17"/>
      <c r="O1287" s="17"/>
      <c r="P1287" s="40" t="s">
        <v>168</v>
      </c>
      <c r="Q1287" s="12"/>
      <c r="R1287" s="12" t="s">
        <v>5014</v>
      </c>
      <c r="S1287" s="12"/>
      <c r="T1287" s="12" t="s">
        <v>5015</v>
      </c>
      <c r="U1287" s="12" t="s">
        <v>5016</v>
      </c>
      <c r="V1287" s="21" t="s">
        <v>31</v>
      </c>
      <c r="Z1287" s="12"/>
      <c r="AA1287" s="29"/>
      <c r="AB1287" s="50" t="s">
        <v>5017</v>
      </c>
      <c r="AC1287" s="12"/>
      <c r="AD1287" s="12"/>
      <c r="AE1287" s="12"/>
      <c r="AG1287" s="47"/>
    </row>
    <row r="1288" customFormat="false" ht="15.75" hidden="false" customHeight="false" outlineLevel="0" collapsed="false">
      <c r="A1288" s="12"/>
      <c r="B1288" s="12"/>
      <c r="C1288" s="23" t="s">
        <v>5018</v>
      </c>
      <c r="D1288" s="24"/>
      <c r="E1288" s="25" t="s">
        <v>5019</v>
      </c>
      <c r="F1288" s="17" t="s">
        <v>5020</v>
      </c>
      <c r="G1288" s="17" t="s">
        <v>5021</v>
      </c>
      <c r="H1288" s="17"/>
      <c r="I1288" s="26" t="s">
        <v>82</v>
      </c>
      <c r="J1288" s="32"/>
      <c r="K1288" s="17"/>
      <c r="L1288" s="38"/>
      <c r="M1288" s="27"/>
      <c r="N1288" s="17"/>
      <c r="O1288" s="17"/>
      <c r="P1288" s="40" t="s">
        <v>638</v>
      </c>
      <c r="Q1288" s="47"/>
      <c r="R1288" s="47" t="s">
        <v>5022</v>
      </c>
      <c r="S1288" s="47"/>
      <c r="T1288" s="47" t="s">
        <v>5023</v>
      </c>
      <c r="V1288" s="21" t="s">
        <v>31</v>
      </c>
      <c r="AA1288" s="63"/>
      <c r="AB1288" s="84"/>
    </row>
    <row r="1289" customFormat="false" ht="15.75" hidden="false" customHeight="false" outlineLevel="0" collapsed="false">
      <c r="A1289" s="12"/>
      <c r="B1289" s="20"/>
      <c r="C1289" s="48" t="s">
        <v>5024</v>
      </c>
      <c r="D1289" s="24" t="s">
        <v>61</v>
      </c>
      <c r="E1289" s="49" t="s">
        <v>5025</v>
      </c>
      <c r="F1289" s="49" t="s">
        <v>5026</v>
      </c>
      <c r="G1289" s="17"/>
      <c r="H1289" s="17"/>
      <c r="I1289" s="26" t="s">
        <v>166</v>
      </c>
      <c r="J1289" s="32"/>
      <c r="K1289" s="17"/>
      <c r="L1289" s="38"/>
      <c r="M1289" s="50"/>
      <c r="N1289" s="17"/>
      <c r="O1289" s="17"/>
      <c r="P1289" s="40" t="s">
        <v>168</v>
      </c>
      <c r="Q1289" s="12"/>
      <c r="R1289" s="12"/>
      <c r="S1289" s="12"/>
      <c r="T1289" s="12" t="s">
        <v>5027</v>
      </c>
      <c r="U1289" s="12"/>
      <c r="V1289" s="21" t="s">
        <v>31</v>
      </c>
      <c r="Z1289" s="12"/>
      <c r="AA1289" s="29"/>
      <c r="AB1289" s="50" t="s">
        <v>5028</v>
      </c>
      <c r="AC1289" s="12"/>
      <c r="AD1289" s="12"/>
      <c r="AE1289" s="12"/>
      <c r="AF1289" s="47"/>
      <c r="AG1289" s="47"/>
    </row>
    <row r="1290" customFormat="false" ht="15.75" hidden="false" customHeight="false" outlineLevel="0" collapsed="false">
      <c r="A1290" s="12"/>
      <c r="B1290" s="12"/>
      <c r="C1290" s="23" t="s">
        <v>5029</v>
      </c>
      <c r="D1290" s="24"/>
      <c r="E1290" s="25" t="s">
        <v>5030</v>
      </c>
      <c r="F1290" s="17" t="s">
        <v>5031</v>
      </c>
      <c r="G1290" s="17" t="s">
        <v>2637</v>
      </c>
      <c r="H1290" s="17"/>
      <c r="I1290" s="26" t="s">
        <v>82</v>
      </c>
      <c r="J1290" s="32"/>
      <c r="K1290" s="17"/>
      <c r="L1290" s="38"/>
      <c r="M1290" s="27"/>
      <c r="N1290" s="17"/>
      <c r="O1290" s="17"/>
      <c r="P1290" s="40" t="s">
        <v>638</v>
      </c>
      <c r="Q1290" s="12"/>
      <c r="R1290" s="12" t="s">
        <v>5032</v>
      </c>
      <c r="S1290" s="12"/>
      <c r="T1290" s="12" t="s">
        <v>5033</v>
      </c>
      <c r="U1290" s="12"/>
      <c r="V1290" s="21" t="s">
        <v>31</v>
      </c>
      <c r="Z1290" s="12"/>
      <c r="AA1290" s="29"/>
      <c r="AB1290" s="84"/>
      <c r="AC1290" s="12"/>
      <c r="AD1290" s="12"/>
      <c r="AE1290" s="12"/>
    </row>
    <row r="1291" customFormat="false" ht="15.75" hidden="false" customHeight="false" outlineLevel="0" collapsed="false">
      <c r="A1291" s="12"/>
      <c r="B1291" s="20"/>
      <c r="C1291" s="48" t="s">
        <v>5034</v>
      </c>
      <c r="D1291" s="24" t="s">
        <v>61</v>
      </c>
      <c r="E1291" s="49" t="s">
        <v>5035</v>
      </c>
      <c r="F1291" s="49" t="s">
        <v>5036</v>
      </c>
      <c r="G1291" s="17"/>
      <c r="H1291" s="17"/>
      <c r="I1291" s="26" t="s">
        <v>166</v>
      </c>
      <c r="J1291" s="32"/>
      <c r="K1291" s="17"/>
      <c r="L1291" s="38"/>
      <c r="M1291" s="49"/>
      <c r="N1291" s="17"/>
      <c r="O1291" s="17"/>
      <c r="P1291" s="40" t="s">
        <v>168</v>
      </c>
      <c r="Q1291" s="12"/>
      <c r="R1291" s="12" t="s">
        <v>5037</v>
      </c>
      <c r="S1291" s="12"/>
      <c r="T1291" s="12" t="s">
        <v>5038</v>
      </c>
      <c r="U1291" s="12"/>
      <c r="V1291" s="21" t="s">
        <v>31</v>
      </c>
      <c r="Z1291" s="12"/>
      <c r="AA1291" s="29"/>
      <c r="AB1291" s="49" t="s">
        <v>5039</v>
      </c>
      <c r="AC1291" s="21"/>
      <c r="AD1291" s="12"/>
      <c r="AE1291" s="12"/>
      <c r="AG1291" s="47"/>
    </row>
    <row r="1292" customFormat="false" ht="15.75" hidden="false" customHeight="false" outlineLevel="0" collapsed="false">
      <c r="A1292" s="12" t="s">
        <v>31</v>
      </c>
      <c r="B1292" s="20" t="s">
        <v>32</v>
      </c>
      <c r="C1292" s="41" t="s">
        <v>5040</v>
      </c>
      <c r="D1292" s="24" t="s">
        <v>5041</v>
      </c>
      <c r="E1292" s="16" t="s">
        <v>5042</v>
      </c>
      <c r="F1292" s="49" t="s">
        <v>5043</v>
      </c>
      <c r="G1292" s="17"/>
      <c r="H1292" s="17"/>
      <c r="I1292" s="26" t="s">
        <v>166</v>
      </c>
      <c r="J1292" s="32" t="s">
        <v>58</v>
      </c>
      <c r="K1292" s="17"/>
      <c r="L1292" s="38"/>
      <c r="M1292" s="50"/>
      <c r="N1292" s="17"/>
      <c r="O1292" s="17"/>
      <c r="P1292" s="40" t="s">
        <v>168</v>
      </c>
      <c r="Q1292" s="12"/>
      <c r="R1292" s="12"/>
      <c r="S1292" s="12"/>
      <c r="T1292" s="12" t="s">
        <v>5044</v>
      </c>
      <c r="U1292" s="12"/>
      <c r="V1292" s="21" t="s">
        <v>31</v>
      </c>
      <c r="Z1292" s="12"/>
      <c r="AA1292" s="29" t="n">
        <v>4</v>
      </c>
      <c r="AB1292" s="111"/>
      <c r="AC1292" s="12"/>
      <c r="AD1292" s="12"/>
      <c r="AE1292" s="12"/>
      <c r="AF1292" s="47"/>
      <c r="AG1292" s="47"/>
    </row>
    <row r="1293" customFormat="false" ht="15.75" hidden="false" customHeight="false" outlineLevel="0" collapsed="false">
      <c r="A1293" s="12"/>
      <c r="B1293" s="20"/>
      <c r="C1293" s="48" t="s">
        <v>5045</v>
      </c>
      <c r="D1293" s="24" t="s">
        <v>61</v>
      </c>
      <c r="E1293" s="49" t="s">
        <v>5046</v>
      </c>
      <c r="F1293" s="49" t="s">
        <v>5047</v>
      </c>
      <c r="G1293" s="17"/>
      <c r="H1293" s="17"/>
      <c r="I1293" s="26" t="s">
        <v>166</v>
      </c>
      <c r="J1293" s="32"/>
      <c r="K1293" s="17"/>
      <c r="L1293" s="38"/>
      <c r="M1293" s="50"/>
      <c r="N1293" s="17"/>
      <c r="O1293" s="17"/>
      <c r="P1293" s="40" t="s">
        <v>168</v>
      </c>
      <c r="Q1293" s="12"/>
      <c r="R1293" s="12" t="s">
        <v>5048</v>
      </c>
      <c r="S1293" s="12"/>
      <c r="T1293" s="12" t="s">
        <v>5049</v>
      </c>
      <c r="U1293" s="12" t="s">
        <v>5050</v>
      </c>
      <c r="V1293" s="21" t="s">
        <v>31</v>
      </c>
      <c r="Z1293" s="12"/>
      <c r="AA1293" s="29"/>
      <c r="AB1293" s="50" t="s">
        <v>5051</v>
      </c>
      <c r="AC1293" s="12"/>
      <c r="AD1293" s="12"/>
      <c r="AE1293" s="12"/>
      <c r="AG1293" s="47"/>
    </row>
    <row r="1294" customFormat="false" ht="15.75" hidden="false" customHeight="false" outlineLevel="0" collapsed="false">
      <c r="A1294" s="12"/>
      <c r="B1294" s="20" t="s">
        <v>32</v>
      </c>
      <c r="C1294" s="41" t="s">
        <v>5052</v>
      </c>
      <c r="D1294" s="24" t="s">
        <v>195</v>
      </c>
      <c r="E1294" s="16" t="s">
        <v>5053</v>
      </c>
      <c r="F1294" s="49" t="s">
        <v>5054</v>
      </c>
      <c r="G1294" s="17"/>
      <c r="H1294" s="17"/>
      <c r="I1294" s="26" t="s">
        <v>166</v>
      </c>
      <c r="J1294" s="32"/>
      <c r="K1294" s="17"/>
      <c r="L1294" s="38"/>
      <c r="M1294" s="60"/>
      <c r="N1294" s="17"/>
      <c r="O1294" s="17"/>
      <c r="P1294" s="40" t="s">
        <v>168</v>
      </c>
      <c r="Q1294" s="12"/>
      <c r="R1294" s="12" t="s">
        <v>5055</v>
      </c>
      <c r="S1294" s="12"/>
      <c r="T1294" s="12" t="s">
        <v>5056</v>
      </c>
      <c r="U1294" s="12" t="s">
        <v>5057</v>
      </c>
      <c r="V1294" s="21" t="s">
        <v>31</v>
      </c>
      <c r="Z1294" s="12"/>
      <c r="AA1294" s="29" t="n">
        <v>3</v>
      </c>
      <c r="AB1294" s="84"/>
      <c r="AC1294" s="12"/>
      <c r="AD1294" s="12"/>
      <c r="AE1294" s="12"/>
      <c r="AF1294" s="47"/>
      <c r="AG1294" s="47"/>
    </row>
    <row r="1295" customFormat="false" ht="15.75" hidden="false" customHeight="false" outlineLevel="0" collapsed="false">
      <c r="A1295" s="12"/>
      <c r="B1295" s="20"/>
      <c r="C1295" s="48" t="s">
        <v>5058</v>
      </c>
      <c r="D1295" s="24" t="s">
        <v>61</v>
      </c>
      <c r="E1295" s="49" t="s">
        <v>5059</v>
      </c>
      <c r="F1295" s="49" t="s">
        <v>5060</v>
      </c>
      <c r="G1295" s="17"/>
      <c r="H1295" s="17"/>
      <c r="I1295" s="26" t="s">
        <v>166</v>
      </c>
      <c r="J1295" s="32"/>
      <c r="K1295" s="17"/>
      <c r="L1295" s="38"/>
      <c r="M1295" s="50"/>
      <c r="N1295" s="17"/>
      <c r="O1295" s="17"/>
      <c r="P1295" s="40" t="s">
        <v>168</v>
      </c>
      <c r="Q1295" s="12"/>
      <c r="R1295" s="12" t="s">
        <v>5061</v>
      </c>
      <c r="S1295" s="12"/>
      <c r="T1295" s="12" t="s">
        <v>5062</v>
      </c>
      <c r="U1295" s="12"/>
      <c r="V1295" s="21" t="s">
        <v>31</v>
      </c>
      <c r="Z1295" s="12"/>
      <c r="AA1295" s="29"/>
      <c r="AB1295" s="50" t="s">
        <v>5063</v>
      </c>
      <c r="AC1295" s="12"/>
      <c r="AD1295" s="12"/>
      <c r="AE1295" s="12"/>
      <c r="AF1295" s="47"/>
      <c r="AG1295" s="47"/>
    </row>
    <row r="1296" customFormat="false" ht="15.75" hidden="false" customHeight="false" outlineLevel="0" collapsed="false">
      <c r="A1296" s="12"/>
      <c r="B1296" s="20"/>
      <c r="C1296" s="48" t="s">
        <v>5064</v>
      </c>
      <c r="D1296" s="24"/>
      <c r="E1296" s="49" t="s">
        <v>5065</v>
      </c>
      <c r="F1296" s="49" t="s">
        <v>5066</v>
      </c>
      <c r="G1296" s="17"/>
      <c r="H1296" s="17"/>
      <c r="I1296" s="26" t="s">
        <v>166</v>
      </c>
      <c r="J1296" s="32"/>
      <c r="K1296" s="17"/>
      <c r="L1296" s="38"/>
      <c r="M1296" s="50"/>
      <c r="N1296" s="17"/>
      <c r="O1296" s="17"/>
      <c r="P1296" s="40" t="s">
        <v>168</v>
      </c>
      <c r="Q1296" s="12"/>
      <c r="R1296" s="12" t="s">
        <v>5067</v>
      </c>
      <c r="S1296" s="12"/>
      <c r="T1296" s="12" t="s">
        <v>5068</v>
      </c>
      <c r="U1296" s="12"/>
      <c r="V1296" s="21" t="s">
        <v>31</v>
      </c>
      <c r="Z1296" s="12"/>
      <c r="AA1296" s="29"/>
      <c r="AB1296" s="50" t="s">
        <v>5069</v>
      </c>
      <c r="AC1296" s="12"/>
      <c r="AD1296" s="12"/>
      <c r="AE1296" s="12"/>
      <c r="AF1296" s="47"/>
      <c r="AG1296" s="47"/>
    </row>
    <row r="1297" customFormat="false" ht="15.75" hidden="false" customHeight="false" outlineLevel="0" collapsed="false">
      <c r="A1297" s="12"/>
      <c r="B1297" s="13"/>
      <c r="C1297" s="14" t="s">
        <v>5070</v>
      </c>
      <c r="D1297" s="24" t="s">
        <v>51</v>
      </c>
      <c r="E1297" s="16" t="s">
        <v>5071</v>
      </c>
      <c r="F1297" s="16" t="s">
        <v>5072</v>
      </c>
      <c r="G1297" s="17"/>
      <c r="H1297" s="17"/>
      <c r="I1297" s="26" t="s">
        <v>166</v>
      </c>
      <c r="J1297" s="32"/>
      <c r="K1297" s="17"/>
      <c r="L1297" s="38"/>
      <c r="M1297" s="46" t="s">
        <v>147</v>
      </c>
      <c r="N1297" s="17"/>
      <c r="O1297" s="17"/>
      <c r="P1297" s="40" t="s">
        <v>168</v>
      </c>
      <c r="Q1297" s="12"/>
      <c r="R1297" s="12" t="s">
        <v>5073</v>
      </c>
      <c r="S1297" s="12"/>
      <c r="T1297" s="12" t="s">
        <v>5074</v>
      </c>
      <c r="U1297" s="12" t="s">
        <v>5075</v>
      </c>
      <c r="V1297" s="21" t="s">
        <v>31</v>
      </c>
      <c r="Z1297" s="12"/>
      <c r="AA1297" s="29" t="n">
        <v>2</v>
      </c>
      <c r="AB1297" s="12" t="s">
        <v>5076</v>
      </c>
      <c r="AC1297" s="12"/>
      <c r="AD1297" s="12"/>
      <c r="AE1297" s="12"/>
      <c r="AF1297" s="47"/>
      <c r="AG1297" s="47"/>
    </row>
    <row r="1298" customFormat="false" ht="15.75" hidden="false" customHeight="false" outlineLevel="0" collapsed="false">
      <c r="A1298" s="12"/>
      <c r="B1298" s="20"/>
      <c r="C1298" s="48" t="s">
        <v>5077</v>
      </c>
      <c r="D1298" s="24" t="s">
        <v>61</v>
      </c>
      <c r="E1298" s="49" t="s">
        <v>5078</v>
      </c>
      <c r="F1298" s="49" t="s">
        <v>5079</v>
      </c>
      <c r="G1298" s="17"/>
      <c r="H1298" s="17"/>
      <c r="I1298" s="26" t="s">
        <v>166</v>
      </c>
      <c r="J1298" s="32"/>
      <c r="K1298" s="17"/>
      <c r="L1298" s="38"/>
      <c r="M1298" s="50"/>
      <c r="N1298" s="17"/>
      <c r="O1298" s="17"/>
      <c r="P1298" s="40" t="s">
        <v>168</v>
      </c>
      <c r="Q1298" s="12"/>
      <c r="R1298" s="12" t="s">
        <v>5080</v>
      </c>
      <c r="S1298" s="12"/>
      <c r="T1298" s="12" t="s">
        <v>5081</v>
      </c>
      <c r="U1298" s="12" t="s">
        <v>5082</v>
      </c>
      <c r="V1298" s="21" t="s">
        <v>31</v>
      </c>
      <c r="Z1298" s="12"/>
      <c r="AA1298" s="29"/>
      <c r="AB1298" s="12" t="s">
        <v>5083</v>
      </c>
      <c r="AC1298" s="12"/>
      <c r="AD1298" s="12"/>
      <c r="AE1298" s="12"/>
      <c r="AF1298" s="47"/>
      <c r="AG1298" s="47"/>
    </row>
    <row r="1299" customFormat="false" ht="15.75" hidden="false" customHeight="false" outlineLevel="0" collapsed="false">
      <c r="A1299" s="12"/>
      <c r="B1299" s="12"/>
      <c r="C1299" s="23" t="s">
        <v>5084</v>
      </c>
      <c r="D1299" s="24"/>
      <c r="E1299" s="25" t="s">
        <v>5085</v>
      </c>
      <c r="F1299" s="17" t="s">
        <v>5086</v>
      </c>
      <c r="G1299" s="17" t="s">
        <v>478</v>
      </c>
      <c r="H1299" s="17"/>
      <c r="I1299" s="26" t="s">
        <v>82</v>
      </c>
      <c r="J1299" s="32"/>
      <c r="K1299" s="17"/>
      <c r="L1299" s="38"/>
      <c r="M1299" s="27"/>
      <c r="N1299" s="17"/>
      <c r="O1299" s="17"/>
      <c r="P1299" s="40" t="s">
        <v>638</v>
      </c>
      <c r="Q1299" s="47"/>
      <c r="R1299" s="47" t="s">
        <v>5087</v>
      </c>
      <c r="S1299" s="47"/>
      <c r="T1299" s="47" t="s">
        <v>5088</v>
      </c>
      <c r="V1299" s="21" t="s">
        <v>31</v>
      </c>
      <c r="AA1299" s="63"/>
    </row>
    <row r="1300" customFormat="false" ht="15.75" hidden="false" customHeight="false" outlineLevel="0" collapsed="false">
      <c r="A1300" s="12"/>
      <c r="B1300" s="13"/>
      <c r="C1300" s="14" t="s">
        <v>5089</v>
      </c>
      <c r="D1300" s="24"/>
      <c r="E1300" s="16" t="s">
        <v>5090</v>
      </c>
      <c r="F1300" s="16" t="s">
        <v>5091</v>
      </c>
      <c r="G1300" s="17"/>
      <c r="H1300" s="17"/>
      <c r="I1300" s="26" t="s">
        <v>166</v>
      </c>
      <c r="J1300" s="32"/>
      <c r="K1300" s="17"/>
      <c r="L1300" s="38"/>
      <c r="M1300" s="78"/>
      <c r="N1300" s="17"/>
      <c r="O1300" s="17"/>
      <c r="P1300" s="40" t="s">
        <v>168</v>
      </c>
      <c r="Q1300" s="12"/>
      <c r="R1300" s="12" t="s">
        <v>5092</v>
      </c>
      <c r="S1300" s="12"/>
      <c r="T1300" s="12" t="s">
        <v>5093</v>
      </c>
      <c r="U1300" s="12"/>
      <c r="V1300" s="21" t="s">
        <v>31</v>
      </c>
      <c r="Z1300" s="12"/>
      <c r="AA1300" s="29"/>
      <c r="AB1300" s="78" t="s">
        <v>5094</v>
      </c>
      <c r="AC1300" s="12"/>
      <c r="AD1300" s="12"/>
      <c r="AE1300" s="12"/>
      <c r="AF1300" s="47"/>
      <c r="AG1300" s="47"/>
    </row>
    <row r="1301" customFormat="false" ht="15.75" hidden="false" customHeight="false" outlineLevel="0" collapsed="false">
      <c r="A1301" s="12"/>
      <c r="B1301" s="13"/>
      <c r="C1301" s="14" t="s">
        <v>5095</v>
      </c>
      <c r="D1301" s="24" t="s">
        <v>51</v>
      </c>
      <c r="E1301" s="16" t="s">
        <v>5096</v>
      </c>
      <c r="F1301" s="16" t="s">
        <v>5097</v>
      </c>
      <c r="G1301" s="17"/>
      <c r="H1301" s="17"/>
      <c r="I1301" s="26" t="s">
        <v>166</v>
      </c>
      <c r="J1301" s="32"/>
      <c r="K1301" s="17"/>
      <c r="L1301" s="38"/>
      <c r="M1301" s="46" t="s">
        <v>147</v>
      </c>
      <c r="N1301" s="17"/>
      <c r="O1301" s="17"/>
      <c r="P1301" s="40" t="s">
        <v>168</v>
      </c>
      <c r="Q1301" s="12"/>
      <c r="R1301" s="12" t="s">
        <v>5098</v>
      </c>
      <c r="S1301" s="12"/>
      <c r="T1301" s="12" t="s">
        <v>5099</v>
      </c>
      <c r="U1301" s="12"/>
      <c r="V1301" s="21" t="s">
        <v>31</v>
      </c>
      <c r="Z1301" s="12"/>
      <c r="AA1301" s="29" t="n">
        <v>1</v>
      </c>
      <c r="AB1301" s="12" t="s">
        <v>5100</v>
      </c>
      <c r="AC1301" s="12"/>
      <c r="AD1301" s="12"/>
      <c r="AE1301" s="12"/>
      <c r="AF1301" s="47"/>
      <c r="AG1301" s="47"/>
    </row>
    <row r="1302" customFormat="false" ht="15.75" hidden="false" customHeight="false" outlineLevel="0" collapsed="false">
      <c r="A1302" s="12"/>
      <c r="B1302" s="12"/>
      <c r="C1302" s="23" t="s">
        <v>5101</v>
      </c>
      <c r="D1302" s="24"/>
      <c r="E1302" s="25" t="s">
        <v>5102</v>
      </c>
      <c r="F1302" s="17" t="s">
        <v>5103</v>
      </c>
      <c r="G1302" s="17" t="s">
        <v>5104</v>
      </c>
      <c r="H1302" s="17"/>
      <c r="I1302" s="26" t="s">
        <v>82</v>
      </c>
      <c r="J1302" s="32"/>
      <c r="K1302" s="17"/>
      <c r="L1302" s="38"/>
      <c r="M1302" s="27"/>
      <c r="N1302" s="17"/>
      <c r="O1302" s="17"/>
      <c r="P1302" s="40" t="s">
        <v>638</v>
      </c>
      <c r="Q1302" s="47"/>
      <c r="R1302" s="47" t="s">
        <v>5105</v>
      </c>
      <c r="S1302" s="47"/>
      <c r="T1302" s="47" t="s">
        <v>5106</v>
      </c>
      <c r="V1302" s="21" t="s">
        <v>31</v>
      </c>
      <c r="AA1302" s="63"/>
    </row>
    <row r="1303" customFormat="false" ht="15.75" hidden="false" customHeight="false" outlineLevel="0" collapsed="false">
      <c r="A1303" s="12"/>
      <c r="B1303" s="20"/>
      <c r="C1303" s="48" t="s">
        <v>5107</v>
      </c>
      <c r="D1303" s="24" t="s">
        <v>51</v>
      </c>
      <c r="E1303" s="49" t="s">
        <v>5108</v>
      </c>
      <c r="F1303" s="49" t="s">
        <v>5109</v>
      </c>
      <c r="G1303" s="17"/>
      <c r="H1303" s="17"/>
      <c r="I1303" s="26" t="s">
        <v>166</v>
      </c>
      <c r="J1303" s="32"/>
      <c r="K1303" s="17"/>
      <c r="L1303" s="38"/>
      <c r="M1303" s="50"/>
      <c r="N1303" s="17"/>
      <c r="O1303" s="17"/>
      <c r="P1303" s="40" t="s">
        <v>168</v>
      </c>
      <c r="Q1303" s="12"/>
      <c r="R1303" s="12"/>
      <c r="S1303" s="12"/>
      <c r="T1303" s="12" t="s">
        <v>5110</v>
      </c>
      <c r="U1303" s="12" t="s">
        <v>5111</v>
      </c>
      <c r="V1303" s="21" t="s">
        <v>31</v>
      </c>
      <c r="Z1303" s="12"/>
      <c r="AA1303" s="29"/>
      <c r="AB1303" s="50" t="s">
        <v>5112</v>
      </c>
      <c r="AC1303" s="12"/>
      <c r="AD1303" s="12"/>
      <c r="AE1303" s="12"/>
      <c r="AF1303" s="47"/>
      <c r="AG1303" s="47"/>
    </row>
    <row r="1304" customFormat="false" ht="15.75" hidden="false" customHeight="false" outlineLevel="0" collapsed="false">
      <c r="A1304" s="12"/>
      <c r="B1304" s="12"/>
      <c r="C1304" s="23" t="s">
        <v>5113</v>
      </c>
      <c r="D1304" s="24"/>
      <c r="E1304" s="25" t="s">
        <v>5114</v>
      </c>
      <c r="F1304" s="17" t="s">
        <v>5115</v>
      </c>
      <c r="G1304" s="17" t="s">
        <v>5021</v>
      </c>
      <c r="H1304" s="17"/>
      <c r="I1304" s="26" t="s">
        <v>82</v>
      </c>
      <c r="J1304" s="32"/>
      <c r="K1304" s="17"/>
      <c r="L1304" s="38"/>
      <c r="M1304" s="27"/>
      <c r="N1304" s="17"/>
      <c r="O1304" s="17"/>
      <c r="P1304" s="40" t="s">
        <v>638</v>
      </c>
      <c r="Q1304" s="12"/>
      <c r="R1304" s="12" t="s">
        <v>5116</v>
      </c>
      <c r="S1304" s="12"/>
      <c r="T1304" s="12" t="s">
        <v>5117</v>
      </c>
      <c r="U1304" s="12"/>
      <c r="V1304" s="21" t="s">
        <v>31</v>
      </c>
      <c r="Z1304" s="12"/>
      <c r="AA1304" s="29"/>
      <c r="AB1304" s="12"/>
      <c r="AC1304" s="12"/>
      <c r="AD1304" s="12"/>
      <c r="AE1304" s="12"/>
    </row>
    <row r="1305" customFormat="false" ht="15.75" hidden="false" customHeight="false" outlineLevel="0" collapsed="false">
      <c r="A1305" s="12"/>
      <c r="B1305" s="20"/>
      <c r="C1305" s="48" t="s">
        <v>5118</v>
      </c>
      <c r="D1305" s="24" t="s">
        <v>61</v>
      </c>
      <c r="E1305" s="49" t="s">
        <v>5119</v>
      </c>
      <c r="F1305" s="49" t="s">
        <v>5120</v>
      </c>
      <c r="G1305" s="17"/>
      <c r="H1305" s="17"/>
      <c r="I1305" s="26" t="s">
        <v>166</v>
      </c>
      <c r="J1305" s="32"/>
      <c r="K1305" s="17"/>
      <c r="L1305" s="38"/>
      <c r="M1305" s="46"/>
      <c r="N1305" s="17"/>
      <c r="O1305" s="17"/>
      <c r="P1305" s="40" t="s">
        <v>168</v>
      </c>
      <c r="Q1305" s="12"/>
      <c r="R1305" s="12" t="s">
        <v>5121</v>
      </c>
      <c r="S1305" s="12"/>
      <c r="T1305" s="12" t="s">
        <v>5122</v>
      </c>
      <c r="U1305" s="12" t="s">
        <v>5123</v>
      </c>
      <c r="V1305" s="21" t="s">
        <v>31</v>
      </c>
      <c r="Z1305" s="12"/>
      <c r="AA1305" s="29"/>
      <c r="AB1305" s="12" t="s">
        <v>5124</v>
      </c>
      <c r="AC1305" s="12"/>
      <c r="AD1305" s="12"/>
      <c r="AE1305" s="12"/>
      <c r="AG1305" s="47"/>
    </row>
    <row r="1306" customFormat="false" ht="15.75" hidden="false" customHeight="false" outlineLevel="0" collapsed="false">
      <c r="A1306" s="12"/>
      <c r="B1306" s="13"/>
      <c r="C1306" s="14" t="s">
        <v>5125</v>
      </c>
      <c r="D1306" s="24"/>
      <c r="E1306" s="16" t="s">
        <v>5126</v>
      </c>
      <c r="F1306" s="16" t="s">
        <v>5127</v>
      </c>
      <c r="G1306" s="17"/>
      <c r="H1306" s="17"/>
      <c r="I1306" s="26" t="s">
        <v>166</v>
      </c>
      <c r="J1306" s="32"/>
      <c r="K1306" s="17"/>
      <c r="L1306" s="38"/>
      <c r="M1306" s="46"/>
      <c r="N1306" s="17"/>
      <c r="O1306" s="17"/>
      <c r="P1306" s="40" t="s">
        <v>168</v>
      </c>
      <c r="Q1306" s="12"/>
      <c r="R1306" s="12" t="s">
        <v>5128</v>
      </c>
      <c r="S1306" s="12"/>
      <c r="T1306" s="12" t="s">
        <v>5129</v>
      </c>
      <c r="U1306" s="12" t="s">
        <v>5130</v>
      </c>
      <c r="V1306" s="21" t="s">
        <v>31</v>
      </c>
      <c r="Z1306" s="12"/>
      <c r="AA1306" s="29"/>
      <c r="AB1306" s="12" t="s">
        <v>5131</v>
      </c>
      <c r="AC1306" s="12"/>
      <c r="AD1306" s="12"/>
      <c r="AE1306" s="12"/>
      <c r="AF1306" s="47"/>
      <c r="AG1306" s="47"/>
    </row>
    <row r="1307" customFormat="false" ht="15.75" hidden="false" customHeight="false" outlineLevel="0" collapsed="false">
      <c r="A1307" s="12"/>
      <c r="B1307" s="13"/>
      <c r="C1307" s="14" t="s">
        <v>5132</v>
      </c>
      <c r="D1307" s="24" t="s">
        <v>61</v>
      </c>
      <c r="E1307" s="16" t="s">
        <v>5133</v>
      </c>
      <c r="F1307" s="16" t="s">
        <v>5134</v>
      </c>
      <c r="G1307" s="17"/>
      <c r="H1307" s="17"/>
      <c r="I1307" s="26" t="s">
        <v>166</v>
      </c>
      <c r="J1307" s="32"/>
      <c r="K1307" s="17"/>
      <c r="L1307" s="38"/>
      <c r="M1307" s="78"/>
      <c r="N1307" s="17"/>
      <c r="O1307" s="17"/>
      <c r="P1307" s="40" t="s">
        <v>168</v>
      </c>
      <c r="Q1307" s="12"/>
      <c r="R1307" s="12" t="s">
        <v>5135</v>
      </c>
      <c r="S1307" s="12"/>
      <c r="T1307" s="12" t="s">
        <v>5136</v>
      </c>
      <c r="U1307" s="12" t="s">
        <v>5137</v>
      </c>
      <c r="V1307" s="21" t="s">
        <v>31</v>
      </c>
      <c r="Z1307" s="12"/>
      <c r="AA1307" s="29"/>
      <c r="AB1307" s="12" t="s">
        <v>5138</v>
      </c>
      <c r="AC1307" s="12"/>
      <c r="AD1307" s="12"/>
      <c r="AE1307" s="12"/>
      <c r="AF1307" s="47"/>
      <c r="AG1307" s="47"/>
    </row>
    <row r="1308" customFormat="false" ht="15.75" hidden="false" customHeight="false" outlineLevel="0" collapsed="false">
      <c r="A1308" s="12"/>
      <c r="B1308" s="20"/>
      <c r="C1308" s="48" t="s">
        <v>5139</v>
      </c>
      <c r="D1308" s="24" t="s">
        <v>61</v>
      </c>
      <c r="E1308" s="49" t="s">
        <v>5140</v>
      </c>
      <c r="F1308" s="49" t="s">
        <v>5141</v>
      </c>
      <c r="G1308" s="17"/>
      <c r="H1308" s="17"/>
      <c r="I1308" s="26" t="s">
        <v>166</v>
      </c>
      <c r="J1308" s="32"/>
      <c r="K1308" s="17"/>
      <c r="L1308" s="38"/>
      <c r="M1308" s="50"/>
      <c r="N1308" s="17"/>
      <c r="O1308" s="17"/>
      <c r="P1308" s="40" t="s">
        <v>168</v>
      </c>
      <c r="Q1308" s="12"/>
      <c r="R1308" s="12"/>
      <c r="S1308" s="12"/>
      <c r="T1308" s="12" t="s">
        <v>5142</v>
      </c>
      <c r="U1308" s="12" t="s">
        <v>5143</v>
      </c>
      <c r="V1308" s="21" t="s">
        <v>31</v>
      </c>
      <c r="Z1308" s="12"/>
      <c r="AA1308" s="29"/>
      <c r="AB1308" s="12" t="s">
        <v>5144</v>
      </c>
      <c r="AC1308" s="12"/>
      <c r="AD1308" s="12"/>
      <c r="AE1308" s="12"/>
      <c r="AF1308" s="47"/>
      <c r="AG1308" s="47"/>
    </row>
    <row r="1309" customFormat="false" ht="15.75" hidden="false" customHeight="false" outlineLevel="0" collapsed="false">
      <c r="A1309" s="12"/>
      <c r="B1309" s="20"/>
      <c r="C1309" s="48" t="s">
        <v>5145</v>
      </c>
      <c r="D1309" s="24" t="s">
        <v>61</v>
      </c>
      <c r="E1309" s="49" t="s">
        <v>5146</v>
      </c>
      <c r="F1309" s="49" t="s">
        <v>5147</v>
      </c>
      <c r="G1309" s="17"/>
      <c r="H1309" s="17"/>
      <c r="I1309" s="26" t="s">
        <v>166</v>
      </c>
      <c r="J1309" s="32"/>
      <c r="K1309" s="17"/>
      <c r="L1309" s="38"/>
      <c r="M1309" s="50"/>
      <c r="N1309" s="17"/>
      <c r="O1309" s="17"/>
      <c r="P1309" s="40" t="s">
        <v>168</v>
      </c>
      <c r="Q1309" s="12"/>
      <c r="R1309" s="12" t="s">
        <v>5148</v>
      </c>
      <c r="S1309" s="12"/>
      <c r="T1309" s="12" t="s">
        <v>5149</v>
      </c>
      <c r="U1309" s="12" t="s">
        <v>5150</v>
      </c>
      <c r="V1309" s="21" t="s">
        <v>31</v>
      </c>
      <c r="Z1309" s="12"/>
      <c r="AA1309" s="29"/>
      <c r="AB1309" s="12" t="s">
        <v>5151</v>
      </c>
      <c r="AC1309" s="12"/>
      <c r="AD1309" s="12"/>
      <c r="AE1309" s="12"/>
      <c r="AG1309" s="47"/>
    </row>
    <row r="1310" customFormat="false" ht="15.75" hidden="false" customHeight="false" outlineLevel="0" collapsed="false">
      <c r="A1310" s="12" t="s">
        <v>31</v>
      </c>
      <c r="B1310" s="20" t="s">
        <v>32</v>
      </c>
      <c r="C1310" s="48" t="s">
        <v>5152</v>
      </c>
      <c r="D1310" s="24" t="s">
        <v>94</v>
      </c>
      <c r="E1310" s="49" t="s">
        <v>5153</v>
      </c>
      <c r="F1310" s="49" t="s">
        <v>5154</v>
      </c>
      <c r="G1310" s="17"/>
      <c r="H1310" s="17"/>
      <c r="I1310" s="26" t="s">
        <v>166</v>
      </c>
      <c r="J1310" s="32"/>
      <c r="K1310" s="17" t="n">
        <v>1921</v>
      </c>
      <c r="L1310" s="38"/>
      <c r="M1310" s="50" t="s">
        <v>140</v>
      </c>
      <c r="N1310" s="17"/>
      <c r="O1310" s="17" t="s">
        <v>4337</v>
      </c>
      <c r="P1310" s="40" t="s">
        <v>168</v>
      </c>
      <c r="Q1310" s="12"/>
      <c r="R1310" s="12" t="s">
        <v>5155</v>
      </c>
      <c r="S1310" s="12"/>
      <c r="T1310" s="12" t="s">
        <v>5156</v>
      </c>
      <c r="U1310" s="12" t="s">
        <v>5157</v>
      </c>
      <c r="V1310" s="21" t="s">
        <v>31</v>
      </c>
      <c r="Z1310" s="12"/>
      <c r="AA1310" s="29" t="n">
        <v>4</v>
      </c>
      <c r="AB1310" s="12" t="s">
        <v>5100</v>
      </c>
      <c r="AC1310" s="12"/>
      <c r="AD1310" s="12"/>
      <c r="AE1310" s="12"/>
      <c r="AF1310" s="47"/>
      <c r="AG1310" s="47"/>
    </row>
    <row r="1311" customFormat="false" ht="15.75" hidden="false" customHeight="false" outlineLevel="0" collapsed="false">
      <c r="A1311" s="12"/>
      <c r="B1311" s="20"/>
      <c r="C1311" s="48" t="s">
        <v>5158</v>
      </c>
      <c r="D1311" s="24" t="s">
        <v>51</v>
      </c>
      <c r="E1311" s="49" t="s">
        <v>5159</v>
      </c>
      <c r="F1311" s="49" t="s">
        <v>5160</v>
      </c>
      <c r="G1311" s="17"/>
      <c r="H1311" s="17"/>
      <c r="I1311" s="26" t="s">
        <v>166</v>
      </c>
      <c r="J1311" s="32"/>
      <c r="K1311" s="17"/>
      <c r="L1311" s="38"/>
      <c r="M1311" s="50"/>
      <c r="N1311" s="17"/>
      <c r="O1311" s="17"/>
      <c r="P1311" s="40" t="s">
        <v>168</v>
      </c>
      <c r="Q1311" s="12"/>
      <c r="R1311" s="12" t="s">
        <v>5161</v>
      </c>
      <c r="S1311" s="12"/>
      <c r="T1311" s="12" t="s">
        <v>5162</v>
      </c>
      <c r="U1311" s="12" t="s">
        <v>5163</v>
      </c>
      <c r="V1311" s="21" t="s">
        <v>31</v>
      </c>
      <c r="Z1311" s="12"/>
      <c r="AA1311" s="29"/>
      <c r="AB1311" s="12" t="s">
        <v>5164</v>
      </c>
      <c r="AC1311" s="12"/>
      <c r="AD1311" s="12"/>
      <c r="AE1311" s="12"/>
      <c r="AF1311" s="47"/>
      <c r="AG1311" s="47"/>
    </row>
    <row r="1312" customFormat="false" ht="15.75" hidden="false" customHeight="false" outlineLevel="0" collapsed="false">
      <c r="A1312" s="12"/>
      <c r="B1312" s="20"/>
      <c r="C1312" s="48" t="s">
        <v>5165</v>
      </c>
      <c r="D1312" s="24" t="s">
        <v>61</v>
      </c>
      <c r="E1312" s="49" t="s">
        <v>5166</v>
      </c>
      <c r="F1312" s="49" t="s">
        <v>5167</v>
      </c>
      <c r="G1312" s="17"/>
      <c r="H1312" s="17"/>
      <c r="I1312" s="26" t="s">
        <v>166</v>
      </c>
      <c r="J1312" s="32"/>
      <c r="K1312" s="17"/>
      <c r="L1312" s="38"/>
      <c r="M1312" s="46"/>
      <c r="N1312" s="17"/>
      <c r="O1312" s="17"/>
      <c r="P1312" s="40" t="s">
        <v>168</v>
      </c>
      <c r="Q1312" s="12"/>
      <c r="R1312" s="12" t="s">
        <v>5168</v>
      </c>
      <c r="S1312" s="12"/>
      <c r="T1312" s="12"/>
      <c r="U1312" s="12"/>
      <c r="V1312" s="21" t="s">
        <v>31</v>
      </c>
      <c r="Z1312" s="12"/>
      <c r="AA1312" s="29"/>
      <c r="AB1312" s="12"/>
      <c r="AC1312" s="12"/>
      <c r="AD1312" s="12"/>
      <c r="AE1312" s="12"/>
      <c r="AF1312" s="47"/>
      <c r="AG1312" s="47"/>
    </row>
    <row r="1313" customFormat="false" ht="15.75" hidden="false" customHeight="false" outlineLevel="0" collapsed="false">
      <c r="A1313" s="12"/>
      <c r="B1313" s="20"/>
      <c r="C1313" s="48" t="s">
        <v>5169</v>
      </c>
      <c r="D1313" s="24" t="s">
        <v>61</v>
      </c>
      <c r="E1313" s="49" t="s">
        <v>5170</v>
      </c>
      <c r="F1313" s="49" t="s">
        <v>5171</v>
      </c>
      <c r="G1313" s="17"/>
      <c r="H1313" s="17"/>
      <c r="I1313" s="26" t="s">
        <v>166</v>
      </c>
      <c r="J1313" s="32"/>
      <c r="K1313" s="17"/>
      <c r="L1313" s="38"/>
      <c r="M1313" s="50"/>
      <c r="N1313" s="17"/>
      <c r="O1313" s="17"/>
      <c r="P1313" s="40" t="s">
        <v>168</v>
      </c>
      <c r="Q1313" s="12"/>
      <c r="R1313" s="12" t="s">
        <v>5172</v>
      </c>
      <c r="S1313" s="12"/>
      <c r="T1313" s="12" t="s">
        <v>5173</v>
      </c>
      <c r="U1313" s="12"/>
      <c r="V1313" s="21" t="s">
        <v>31</v>
      </c>
      <c r="Z1313" s="12"/>
      <c r="AA1313" s="29"/>
      <c r="AB1313" s="12" t="s">
        <v>5174</v>
      </c>
      <c r="AC1313" s="12"/>
      <c r="AD1313" s="12"/>
      <c r="AE1313" s="12"/>
      <c r="AF1313" s="47"/>
    </row>
    <row r="1314" customFormat="false" ht="15.75" hidden="false" customHeight="false" outlineLevel="0" collapsed="false">
      <c r="A1314" s="12"/>
      <c r="B1314" s="13"/>
      <c r="C1314" s="14" t="s">
        <v>5175</v>
      </c>
      <c r="D1314" s="24" t="s">
        <v>51</v>
      </c>
      <c r="E1314" s="16" t="s">
        <v>5176</v>
      </c>
      <c r="F1314" s="16" t="s">
        <v>5177</v>
      </c>
      <c r="G1314" s="17"/>
      <c r="H1314" s="17"/>
      <c r="I1314" s="26" t="s">
        <v>166</v>
      </c>
      <c r="J1314" s="32"/>
      <c r="K1314" s="17"/>
      <c r="L1314" s="38"/>
      <c r="M1314" s="46"/>
      <c r="N1314" s="17"/>
      <c r="O1314" s="17"/>
      <c r="P1314" s="40" t="s">
        <v>168</v>
      </c>
      <c r="Q1314" s="12"/>
      <c r="R1314" s="12" t="s">
        <v>5178</v>
      </c>
      <c r="S1314" s="12"/>
      <c r="T1314" s="12" t="s">
        <v>5179</v>
      </c>
      <c r="U1314" s="12" t="s">
        <v>5180</v>
      </c>
      <c r="V1314" s="21" t="s">
        <v>31</v>
      </c>
      <c r="Z1314" s="12"/>
      <c r="AA1314" s="29"/>
      <c r="AB1314" s="12" t="s">
        <v>5100</v>
      </c>
      <c r="AC1314" s="12"/>
      <c r="AD1314" s="12"/>
      <c r="AE1314" s="12"/>
      <c r="AF1314" s="47"/>
      <c r="AG1314" s="47"/>
    </row>
    <row r="1315" customFormat="false" ht="15.75" hidden="false" customHeight="false" outlineLevel="0" collapsed="false">
      <c r="A1315" s="12"/>
      <c r="B1315" s="13"/>
      <c r="C1315" s="14" t="s">
        <v>5181</v>
      </c>
      <c r="D1315" s="24"/>
      <c r="E1315" s="16" t="s">
        <v>5182</v>
      </c>
      <c r="F1315" s="16" t="s">
        <v>5183</v>
      </c>
      <c r="G1315" s="17"/>
      <c r="H1315" s="17"/>
      <c r="I1315" s="26" t="s">
        <v>166</v>
      </c>
      <c r="J1315" s="32"/>
      <c r="K1315" s="17"/>
      <c r="L1315" s="38"/>
      <c r="M1315" s="46"/>
      <c r="N1315" s="17"/>
      <c r="O1315" s="17"/>
      <c r="P1315" s="40" t="s">
        <v>168</v>
      </c>
      <c r="Q1315" s="12"/>
      <c r="R1315" s="12" t="s">
        <v>5184</v>
      </c>
      <c r="S1315" s="12"/>
      <c r="T1315" s="12" t="s">
        <v>5185</v>
      </c>
      <c r="U1315" s="12" t="s">
        <v>5186</v>
      </c>
      <c r="V1315" s="21" t="s">
        <v>31</v>
      </c>
      <c r="Z1315" s="12"/>
      <c r="AA1315" s="29"/>
      <c r="AB1315" s="12" t="s">
        <v>5100</v>
      </c>
      <c r="AC1315" s="12"/>
      <c r="AD1315" s="12"/>
      <c r="AE1315" s="12"/>
      <c r="AF1315" s="47"/>
      <c r="AG1315" s="47"/>
    </row>
    <row r="1316" customFormat="false" ht="15.75" hidden="false" customHeight="false" outlineLevel="0" collapsed="false">
      <c r="A1316" s="12"/>
      <c r="B1316" s="12"/>
      <c r="C1316" s="64" t="s">
        <v>5187</v>
      </c>
      <c r="D1316" s="24"/>
      <c r="E1316" s="25" t="s">
        <v>5188</v>
      </c>
      <c r="F1316" s="17" t="s">
        <v>5189</v>
      </c>
      <c r="G1316" s="17" t="s">
        <v>2629</v>
      </c>
      <c r="H1316" s="17"/>
      <c r="I1316" s="26" t="s">
        <v>82</v>
      </c>
      <c r="J1316" s="32"/>
      <c r="K1316" s="17"/>
      <c r="L1316" s="38"/>
      <c r="M1316" s="27"/>
      <c r="N1316" s="17"/>
      <c r="O1316" s="17"/>
      <c r="P1316" s="40" t="s">
        <v>638</v>
      </c>
      <c r="Q1316" s="12"/>
      <c r="R1316" s="12" t="s">
        <v>5190</v>
      </c>
      <c r="S1316" s="12"/>
      <c r="T1316" s="12" t="s">
        <v>5191</v>
      </c>
      <c r="U1316" s="12"/>
      <c r="V1316" s="21" t="s">
        <v>31</v>
      </c>
      <c r="Z1316" s="12"/>
      <c r="AA1316" s="29"/>
      <c r="AB1316" s="12"/>
      <c r="AC1316" s="12"/>
      <c r="AD1316" s="12"/>
      <c r="AE1316" s="12"/>
    </row>
    <row r="1317" customFormat="false" ht="15.75" hidden="false" customHeight="false" outlineLevel="0" collapsed="false">
      <c r="A1317" s="12"/>
      <c r="B1317" s="12"/>
      <c r="C1317" s="23" t="s">
        <v>5192</v>
      </c>
      <c r="D1317" s="24"/>
      <c r="E1317" s="25" t="s">
        <v>5193</v>
      </c>
      <c r="F1317" s="17" t="s">
        <v>5194</v>
      </c>
      <c r="G1317" s="17" t="s">
        <v>5195</v>
      </c>
      <c r="H1317" s="17"/>
      <c r="I1317" s="26" t="s">
        <v>82</v>
      </c>
      <c r="J1317" s="32"/>
      <c r="K1317" s="17"/>
      <c r="L1317" s="38"/>
      <c r="M1317" s="27"/>
      <c r="N1317" s="17"/>
      <c r="O1317" s="17"/>
      <c r="P1317" s="40" t="s">
        <v>638</v>
      </c>
      <c r="Q1317" s="17"/>
      <c r="R1317" s="17" t="s">
        <v>5196</v>
      </c>
      <c r="S1317" s="17"/>
      <c r="T1317" s="17" t="s">
        <v>5197</v>
      </c>
      <c r="U1317" s="17"/>
      <c r="V1317" s="21" t="s">
        <v>31</v>
      </c>
      <c r="Z1317" s="17"/>
      <c r="AA1317" s="29"/>
      <c r="AB1317" s="17"/>
      <c r="AC1317" s="17"/>
      <c r="AD1317" s="17"/>
      <c r="AE1317" s="17"/>
    </row>
    <row r="1318" customFormat="false" ht="15.75" hidden="false" customHeight="false" outlineLevel="0" collapsed="false">
      <c r="A1318" s="12"/>
      <c r="B1318" s="13"/>
      <c r="C1318" s="14" t="s">
        <v>5198</v>
      </c>
      <c r="D1318" s="24" t="s">
        <v>51</v>
      </c>
      <c r="E1318" s="16" t="s">
        <v>5199</v>
      </c>
      <c r="F1318" s="16" t="s">
        <v>5200</v>
      </c>
      <c r="G1318" s="17"/>
      <c r="H1318" s="17"/>
      <c r="I1318" s="26" t="s">
        <v>166</v>
      </c>
      <c r="J1318" s="32"/>
      <c r="K1318" s="17"/>
      <c r="L1318" s="38"/>
      <c r="M1318" s="46"/>
      <c r="N1318" s="17"/>
      <c r="O1318" s="17"/>
      <c r="P1318" s="40" t="s">
        <v>168</v>
      </c>
      <c r="Q1318" s="17"/>
      <c r="R1318" s="17" t="s">
        <v>5168</v>
      </c>
      <c r="S1318" s="17"/>
      <c r="T1318" s="17"/>
      <c r="U1318" s="17"/>
      <c r="V1318" s="21" t="s">
        <v>31</v>
      </c>
      <c r="Z1318" s="17"/>
      <c r="AA1318" s="29"/>
      <c r="AB1318" s="17"/>
      <c r="AC1318" s="17"/>
      <c r="AD1318" s="17"/>
      <c r="AE1318" s="17"/>
      <c r="AF1318" s="47"/>
      <c r="AG1318" s="47"/>
    </row>
    <row r="1319" customFormat="false" ht="15.75" hidden="false" customHeight="false" outlineLevel="0" collapsed="false">
      <c r="A1319" s="12"/>
      <c r="B1319" s="54"/>
      <c r="C1319" s="112" t="s">
        <v>5201</v>
      </c>
      <c r="D1319" s="24"/>
      <c r="E1319" s="17"/>
      <c r="F1319" s="17"/>
      <c r="G1319" s="17"/>
      <c r="H1319" s="32"/>
      <c r="I1319" s="26" t="s">
        <v>561</v>
      </c>
      <c r="J1319" s="32"/>
      <c r="K1319" s="17"/>
      <c r="L1319" s="38"/>
      <c r="M1319" s="27"/>
      <c r="N1319" s="17"/>
      <c r="O1319" s="17"/>
      <c r="P1319" s="40" t="s">
        <v>3671</v>
      </c>
      <c r="Q1319" s="12"/>
      <c r="R1319" s="12"/>
      <c r="S1319" s="12"/>
      <c r="T1319" s="12"/>
      <c r="U1319" s="12"/>
      <c r="V1319" s="21"/>
      <c r="Z1319" s="12"/>
      <c r="AA1319" s="29"/>
      <c r="AB1319" s="12"/>
      <c r="AC1319" s="12"/>
      <c r="AD1319" s="12"/>
      <c r="AE1319" s="12"/>
    </row>
    <row r="1320" customFormat="false" ht="15.75" hidden="false" customHeight="false" outlineLevel="0" collapsed="false">
      <c r="A1320" s="12" t="str">
        <f aca="false">IF((AA1320&gt;=4), "Y", "N")</f>
        <v>Y</v>
      </c>
      <c r="B1320" s="13" t="s">
        <v>49</v>
      </c>
      <c r="C1320" s="31" t="s">
        <v>5202</v>
      </c>
      <c r="D1320" s="16" t="s">
        <v>51</v>
      </c>
      <c r="E1320" s="32" t="s">
        <v>5203</v>
      </c>
      <c r="F1320" s="17" t="s">
        <v>5204</v>
      </c>
      <c r="G1320" s="17"/>
      <c r="H1320" s="17"/>
      <c r="I1320" s="26" t="s">
        <v>266</v>
      </c>
      <c r="J1320" s="32" t="s">
        <v>48</v>
      </c>
      <c r="K1320" s="33" t="n">
        <v>1953</v>
      </c>
      <c r="L1320" s="38"/>
      <c r="M1320" s="27" t="s">
        <v>74</v>
      </c>
      <c r="N1320" s="17" t="s">
        <v>5205</v>
      </c>
      <c r="O1320" s="17"/>
      <c r="P1320" s="40" t="s">
        <v>268</v>
      </c>
      <c r="Q1320" s="12"/>
      <c r="R1320" s="12"/>
      <c r="S1320" s="12"/>
      <c r="T1320" s="12"/>
      <c r="U1320" s="12"/>
      <c r="V1320" s="21"/>
      <c r="Z1320" s="12"/>
      <c r="AA1320" s="29" t="str">
        <f aca="false">IF(P1320="OD500 MX", "5", " ")</f>
        <v>5</v>
      </c>
      <c r="AB1320" s="12"/>
      <c r="AC1320" s="12"/>
      <c r="AD1320" s="12"/>
      <c r="AE1320" s="12"/>
    </row>
    <row r="1321" customFormat="false" ht="15.75" hidden="false" customHeight="false" outlineLevel="0" collapsed="false">
      <c r="A1321" s="12"/>
      <c r="B1321" s="20"/>
      <c r="C1321" s="48" t="s">
        <v>5206</v>
      </c>
      <c r="D1321" s="24"/>
      <c r="E1321" s="49" t="s">
        <v>5207</v>
      </c>
      <c r="F1321" s="49" t="s">
        <v>5208</v>
      </c>
      <c r="G1321" s="17"/>
      <c r="H1321" s="17"/>
      <c r="I1321" s="26" t="s">
        <v>166</v>
      </c>
      <c r="J1321" s="32"/>
      <c r="K1321" s="17"/>
      <c r="L1321" s="38"/>
      <c r="M1321" s="50"/>
      <c r="N1321" s="17"/>
      <c r="O1321" s="17"/>
      <c r="P1321" s="40" t="s">
        <v>168</v>
      </c>
      <c r="Q1321" s="12"/>
      <c r="R1321" s="12" t="s">
        <v>5209</v>
      </c>
      <c r="S1321" s="12"/>
      <c r="T1321" s="12" t="s">
        <v>5210</v>
      </c>
      <c r="U1321" s="12" t="s">
        <v>5211</v>
      </c>
      <c r="V1321" s="21" t="s">
        <v>31</v>
      </c>
      <c r="Z1321" s="12"/>
      <c r="AA1321" s="29"/>
      <c r="AB1321" s="12" t="s">
        <v>5212</v>
      </c>
      <c r="AC1321" s="12"/>
      <c r="AD1321" s="12"/>
      <c r="AE1321" s="12"/>
      <c r="AF1321" s="47"/>
    </row>
    <row r="1322" customFormat="false" ht="15.75" hidden="false" customHeight="false" outlineLevel="0" collapsed="false">
      <c r="A1322" s="12"/>
      <c r="B1322" s="20"/>
      <c r="C1322" s="48" t="s">
        <v>5213</v>
      </c>
      <c r="D1322" s="24" t="s">
        <v>61</v>
      </c>
      <c r="E1322" s="49" t="s">
        <v>5214</v>
      </c>
      <c r="F1322" s="49" t="s">
        <v>5215</v>
      </c>
      <c r="G1322" s="17"/>
      <c r="H1322" s="17"/>
      <c r="I1322" s="26" t="s">
        <v>166</v>
      </c>
      <c r="J1322" s="32"/>
      <c r="K1322" s="17"/>
      <c r="L1322" s="38"/>
      <c r="M1322" s="50"/>
      <c r="N1322" s="17"/>
      <c r="O1322" s="17"/>
      <c r="P1322" s="40" t="s">
        <v>168</v>
      </c>
      <c r="Q1322" s="12"/>
      <c r="R1322" s="12" t="s">
        <v>5216</v>
      </c>
      <c r="S1322" s="12"/>
      <c r="T1322" s="59" t="s">
        <v>5217</v>
      </c>
      <c r="U1322" s="12"/>
      <c r="V1322" s="21" t="s">
        <v>31</v>
      </c>
      <c r="Z1322" s="12"/>
      <c r="AA1322" s="29"/>
      <c r="AB1322" s="12" t="s">
        <v>5218</v>
      </c>
      <c r="AC1322" s="12"/>
      <c r="AD1322" s="12"/>
      <c r="AE1322" s="12"/>
      <c r="AF1322" s="47"/>
      <c r="AG1322" s="47"/>
    </row>
    <row r="1323" customFormat="false" ht="15.75" hidden="false" customHeight="false" outlineLevel="0" collapsed="false">
      <c r="A1323" s="12"/>
      <c r="B1323" s="20"/>
      <c r="C1323" s="48" t="s">
        <v>5219</v>
      </c>
      <c r="D1323" s="24" t="s">
        <v>61</v>
      </c>
      <c r="E1323" s="49" t="s">
        <v>5220</v>
      </c>
      <c r="F1323" s="49" t="s">
        <v>5221</v>
      </c>
      <c r="G1323" s="17"/>
      <c r="H1323" s="17"/>
      <c r="I1323" s="26" t="s">
        <v>166</v>
      </c>
      <c r="J1323" s="32"/>
      <c r="K1323" s="17"/>
      <c r="L1323" s="38"/>
      <c r="M1323" s="50"/>
      <c r="N1323" s="17"/>
      <c r="O1323" s="17"/>
      <c r="P1323" s="40" t="s">
        <v>168</v>
      </c>
      <c r="Q1323" s="12"/>
      <c r="R1323" s="12" t="s">
        <v>5222</v>
      </c>
      <c r="S1323" s="12"/>
      <c r="T1323" s="12" t="s">
        <v>5223</v>
      </c>
      <c r="U1323" s="12" t="s">
        <v>5224</v>
      </c>
      <c r="V1323" s="21" t="s">
        <v>31</v>
      </c>
      <c r="Z1323" s="12"/>
      <c r="AA1323" s="29"/>
      <c r="AB1323" s="12" t="s">
        <v>5225</v>
      </c>
      <c r="AC1323" s="12"/>
      <c r="AD1323" s="12"/>
      <c r="AE1323" s="12"/>
      <c r="AF1323" s="47"/>
      <c r="AG1323" s="47"/>
    </row>
    <row r="1324" customFormat="false" ht="15.75" hidden="false" customHeight="false" outlineLevel="0" collapsed="false">
      <c r="A1324" s="12"/>
      <c r="B1324" s="20"/>
      <c r="C1324" s="48" t="s">
        <v>5226</v>
      </c>
      <c r="D1324" s="24" t="s">
        <v>61</v>
      </c>
      <c r="E1324" s="49" t="s">
        <v>1870</v>
      </c>
      <c r="F1324" s="49" t="s">
        <v>5227</v>
      </c>
      <c r="G1324" s="17"/>
      <c r="H1324" s="17"/>
      <c r="I1324" s="26" t="s">
        <v>166</v>
      </c>
      <c r="J1324" s="32"/>
      <c r="K1324" s="17"/>
      <c r="L1324" s="38"/>
      <c r="M1324" s="50"/>
      <c r="N1324" s="17"/>
      <c r="O1324" s="17"/>
      <c r="P1324" s="40" t="s">
        <v>168</v>
      </c>
      <c r="Q1324" s="12"/>
      <c r="R1324" s="12" t="s">
        <v>5228</v>
      </c>
      <c r="S1324" s="12"/>
      <c r="T1324" s="12" t="s">
        <v>5229</v>
      </c>
      <c r="U1324" s="12" t="s">
        <v>5230</v>
      </c>
      <c r="V1324" s="21" t="s">
        <v>31</v>
      </c>
      <c r="Z1324" s="12"/>
      <c r="AA1324" s="29"/>
      <c r="AB1324" s="12" t="s">
        <v>5231</v>
      </c>
      <c r="AC1324" s="12"/>
      <c r="AD1324" s="12"/>
      <c r="AE1324" s="12"/>
      <c r="AF1324" s="47"/>
      <c r="AG1324" s="47"/>
    </row>
    <row r="1325" customFormat="false" ht="15.75" hidden="false" customHeight="false" outlineLevel="0" collapsed="false">
      <c r="A1325" s="12"/>
      <c r="B1325" s="20"/>
      <c r="C1325" s="48" t="s">
        <v>5232</v>
      </c>
      <c r="D1325" s="24" t="s">
        <v>61</v>
      </c>
      <c r="E1325" s="49" t="s">
        <v>5233</v>
      </c>
      <c r="F1325" s="49" t="s">
        <v>5234</v>
      </c>
      <c r="G1325" s="17"/>
      <c r="H1325" s="17"/>
      <c r="I1325" s="26" t="s">
        <v>166</v>
      </c>
      <c r="J1325" s="32"/>
      <c r="K1325" s="17"/>
      <c r="L1325" s="38"/>
      <c r="M1325" s="50"/>
      <c r="N1325" s="17"/>
      <c r="O1325" s="17"/>
      <c r="P1325" s="40" t="s">
        <v>168</v>
      </c>
      <c r="Q1325" s="12"/>
      <c r="R1325" s="12" t="s">
        <v>5235</v>
      </c>
      <c r="S1325" s="12"/>
      <c r="T1325" s="12" t="s">
        <v>5236</v>
      </c>
      <c r="U1325" s="12" t="s">
        <v>5237</v>
      </c>
      <c r="V1325" s="21" t="s">
        <v>31</v>
      </c>
      <c r="Z1325" s="12"/>
      <c r="AA1325" s="29"/>
      <c r="AB1325" s="12" t="s">
        <v>5238</v>
      </c>
      <c r="AC1325" s="12"/>
      <c r="AD1325" s="12"/>
      <c r="AE1325" s="12"/>
      <c r="AF1325" s="47"/>
      <c r="AG1325" s="47"/>
    </row>
    <row r="1326" customFormat="false" ht="15.75" hidden="false" customHeight="false" outlineLevel="0" collapsed="false">
      <c r="A1326" s="12"/>
      <c r="B1326" s="20"/>
      <c r="C1326" s="48" t="s">
        <v>5239</v>
      </c>
      <c r="D1326" s="24" t="s">
        <v>61</v>
      </c>
      <c r="E1326" s="49" t="s">
        <v>5240</v>
      </c>
      <c r="F1326" s="49" t="s">
        <v>5241</v>
      </c>
      <c r="G1326" s="17"/>
      <c r="H1326" s="17"/>
      <c r="I1326" s="26" t="s">
        <v>166</v>
      </c>
      <c r="J1326" s="32"/>
      <c r="K1326" s="17"/>
      <c r="L1326" s="38"/>
      <c r="M1326" s="50"/>
      <c r="N1326" s="17"/>
      <c r="O1326" s="17"/>
      <c r="P1326" s="40" t="s">
        <v>168</v>
      </c>
      <c r="Q1326" s="17"/>
      <c r="R1326" s="17" t="s">
        <v>5242</v>
      </c>
      <c r="S1326" s="17"/>
      <c r="T1326" s="17" t="s">
        <v>5243</v>
      </c>
      <c r="U1326" s="17" t="s">
        <v>5244</v>
      </c>
      <c r="V1326" s="21" t="s">
        <v>31</v>
      </c>
      <c r="Z1326" s="17"/>
      <c r="AA1326" s="29"/>
      <c r="AB1326" s="17" t="s">
        <v>5245</v>
      </c>
      <c r="AC1326" s="17"/>
      <c r="AD1326" s="17"/>
      <c r="AE1326" s="17"/>
      <c r="AF1326" s="47"/>
      <c r="AG1326" s="47"/>
    </row>
    <row r="1327" customFormat="false" ht="15.75" hidden="false" customHeight="false" outlineLevel="0" collapsed="false">
      <c r="A1327" s="12"/>
      <c r="B1327" s="20"/>
      <c r="C1327" s="48" t="s">
        <v>5246</v>
      </c>
      <c r="D1327" s="24" t="s">
        <v>61</v>
      </c>
      <c r="E1327" s="49" t="s">
        <v>5247</v>
      </c>
      <c r="F1327" s="49" t="s">
        <v>5248</v>
      </c>
      <c r="G1327" s="17"/>
      <c r="H1327" s="17"/>
      <c r="I1327" s="26" t="s">
        <v>166</v>
      </c>
      <c r="J1327" s="32"/>
      <c r="K1327" s="17"/>
      <c r="L1327" s="38"/>
      <c r="M1327" s="50"/>
      <c r="N1327" s="17"/>
      <c r="O1327" s="17"/>
      <c r="P1327" s="40" t="s">
        <v>168</v>
      </c>
      <c r="Q1327" s="12"/>
      <c r="R1327" s="12" t="s">
        <v>5249</v>
      </c>
      <c r="S1327" s="12"/>
      <c r="T1327" s="12" t="s">
        <v>5250</v>
      </c>
      <c r="U1327" s="12" t="s">
        <v>5251</v>
      </c>
      <c r="V1327" s="21" t="s">
        <v>31</v>
      </c>
      <c r="Z1327" s="12"/>
      <c r="AA1327" s="29"/>
      <c r="AB1327" s="12" t="s">
        <v>5252</v>
      </c>
      <c r="AC1327" s="12"/>
      <c r="AD1327" s="12"/>
      <c r="AE1327" s="12"/>
      <c r="AF1327" s="47"/>
      <c r="AG1327" s="47"/>
    </row>
    <row r="1328" customFormat="false" ht="15.75" hidden="false" customHeight="false" outlineLevel="0" collapsed="false">
      <c r="A1328" s="12"/>
      <c r="B1328" s="20"/>
      <c r="C1328" s="48" t="s">
        <v>5253</v>
      </c>
      <c r="D1328" s="24"/>
      <c r="E1328" s="49" t="s">
        <v>5254</v>
      </c>
      <c r="F1328" s="49" t="s">
        <v>5255</v>
      </c>
      <c r="G1328" s="17"/>
      <c r="H1328" s="17"/>
      <c r="I1328" s="26" t="s">
        <v>166</v>
      </c>
      <c r="J1328" s="32"/>
      <c r="K1328" s="17"/>
      <c r="L1328" s="38"/>
      <c r="M1328" s="50"/>
      <c r="N1328" s="17"/>
      <c r="O1328" s="17"/>
      <c r="P1328" s="40" t="s">
        <v>168</v>
      </c>
      <c r="Q1328" s="12"/>
      <c r="R1328" s="12" t="s">
        <v>5256</v>
      </c>
      <c r="S1328" s="12"/>
      <c r="T1328" s="12" t="s">
        <v>5257</v>
      </c>
      <c r="U1328" s="12" t="s">
        <v>5258</v>
      </c>
      <c r="V1328" s="21" t="s">
        <v>31</v>
      </c>
      <c r="Z1328" s="12"/>
      <c r="AA1328" s="29"/>
      <c r="AB1328" s="50" t="s">
        <v>5259</v>
      </c>
      <c r="AC1328" s="12"/>
      <c r="AD1328" s="12"/>
      <c r="AE1328" s="12"/>
      <c r="AF1328" s="47"/>
      <c r="AG1328" s="47"/>
    </row>
    <row r="1329" customFormat="false" ht="15.75" hidden="false" customHeight="false" outlineLevel="0" collapsed="false">
      <c r="A1329" s="12"/>
      <c r="B1329" s="12"/>
      <c r="C1329" s="23" t="s">
        <v>5260</v>
      </c>
      <c r="D1329" s="24"/>
      <c r="E1329" s="25" t="s">
        <v>5261</v>
      </c>
      <c r="F1329" s="17" t="s">
        <v>5262</v>
      </c>
      <c r="G1329" s="17" t="s">
        <v>2629</v>
      </c>
      <c r="H1329" s="17"/>
      <c r="I1329" s="26" t="s">
        <v>82</v>
      </c>
      <c r="J1329" s="32"/>
      <c r="K1329" s="17"/>
      <c r="L1329" s="38"/>
      <c r="M1329" s="27"/>
      <c r="N1329" s="17"/>
      <c r="O1329" s="17"/>
      <c r="P1329" s="40" t="s">
        <v>638</v>
      </c>
      <c r="Q1329" s="12"/>
      <c r="R1329" s="12" t="s">
        <v>5263</v>
      </c>
      <c r="S1329" s="12"/>
      <c r="T1329" s="12" t="s">
        <v>5264</v>
      </c>
      <c r="U1329" s="12"/>
      <c r="V1329" s="21" t="s">
        <v>31</v>
      </c>
      <c r="Z1329" s="12"/>
      <c r="AA1329" s="29"/>
      <c r="AB1329" s="12"/>
      <c r="AC1329" s="12"/>
      <c r="AD1329" s="12"/>
      <c r="AE1329" s="12"/>
    </row>
    <row r="1330" customFormat="false" ht="15.75" hidden="false" customHeight="false" outlineLevel="0" collapsed="false">
      <c r="A1330" s="12"/>
      <c r="B1330" s="54"/>
      <c r="C1330" s="112" t="s">
        <v>5265</v>
      </c>
      <c r="D1330" s="24"/>
      <c r="E1330" s="17"/>
      <c r="F1330" s="17"/>
      <c r="G1330" s="17"/>
      <c r="H1330" s="32"/>
      <c r="I1330" s="17" t="s">
        <v>36</v>
      </c>
      <c r="J1330" s="32"/>
      <c r="K1330" s="17"/>
      <c r="L1330" s="38"/>
      <c r="M1330" s="27"/>
      <c r="N1330" s="17"/>
      <c r="O1330" s="17"/>
      <c r="P1330" s="40" t="s">
        <v>3671</v>
      </c>
      <c r="Q1330" s="12"/>
      <c r="R1330" s="12"/>
      <c r="S1330" s="12"/>
      <c r="T1330" s="12"/>
      <c r="U1330" s="12"/>
      <c r="V1330" s="21"/>
      <c r="Z1330" s="12"/>
      <c r="AA1330" s="29"/>
      <c r="AB1330" s="12"/>
      <c r="AC1330" s="12"/>
      <c r="AD1330" s="12"/>
      <c r="AE1330" s="12"/>
    </row>
    <row r="1331" customFormat="false" ht="15.75" hidden="false" customHeight="false" outlineLevel="0" collapsed="false">
      <c r="A1331" s="12"/>
      <c r="B1331" s="12"/>
      <c r="C1331" s="23" t="s">
        <v>5266</v>
      </c>
      <c r="D1331" s="24"/>
      <c r="E1331" s="25" t="s">
        <v>3793</v>
      </c>
      <c r="F1331" s="17" t="s">
        <v>5267</v>
      </c>
      <c r="G1331" s="17" t="s">
        <v>5268</v>
      </c>
      <c r="H1331" s="17"/>
      <c r="I1331" s="26" t="s">
        <v>82</v>
      </c>
      <c r="J1331" s="32"/>
      <c r="K1331" s="17"/>
      <c r="L1331" s="38"/>
      <c r="M1331" s="27"/>
      <c r="N1331" s="17"/>
      <c r="O1331" s="17"/>
      <c r="P1331" s="40" t="s">
        <v>638</v>
      </c>
      <c r="Q1331" s="12"/>
      <c r="R1331" s="12" t="s">
        <v>5269</v>
      </c>
      <c r="S1331" s="12"/>
      <c r="T1331" s="12" t="s">
        <v>5270</v>
      </c>
      <c r="U1331" s="12"/>
      <c r="V1331" s="21" t="s">
        <v>31</v>
      </c>
      <c r="Z1331" s="12"/>
      <c r="AA1331" s="29"/>
      <c r="AB1331" s="12"/>
      <c r="AC1331" s="12"/>
      <c r="AD1331" s="12"/>
      <c r="AE1331" s="12"/>
    </row>
    <row r="1332" customFormat="false" ht="15.75" hidden="false" customHeight="false" outlineLevel="0" collapsed="false">
      <c r="A1332" s="12"/>
      <c r="B1332" s="20"/>
      <c r="C1332" s="48" t="s">
        <v>5271</v>
      </c>
      <c r="D1332" s="24" t="s">
        <v>61</v>
      </c>
      <c r="E1332" s="49" t="s">
        <v>5272</v>
      </c>
      <c r="F1332" s="49" t="s">
        <v>5273</v>
      </c>
      <c r="G1332" s="17"/>
      <c r="H1332" s="17"/>
      <c r="I1332" s="26" t="s">
        <v>166</v>
      </c>
      <c r="J1332" s="32"/>
      <c r="K1332" s="17"/>
      <c r="L1332" s="38"/>
      <c r="M1332" s="50"/>
      <c r="N1332" s="17"/>
      <c r="O1332" s="17"/>
      <c r="P1332" s="40" t="s">
        <v>168</v>
      </c>
      <c r="Q1332" s="12"/>
      <c r="R1332" s="12"/>
      <c r="S1332" s="12"/>
      <c r="T1332" s="12" t="s">
        <v>5274</v>
      </c>
      <c r="U1332" s="12" t="s">
        <v>5275</v>
      </c>
      <c r="V1332" s="21" t="s">
        <v>31</v>
      </c>
      <c r="Z1332" s="12"/>
      <c r="AA1332" s="29"/>
      <c r="AB1332" s="50" t="s">
        <v>5276</v>
      </c>
      <c r="AC1332" s="12"/>
      <c r="AD1332" s="12"/>
      <c r="AE1332" s="12"/>
      <c r="AF1332" s="47"/>
      <c r="AG1332" s="47"/>
    </row>
    <row r="1333" customFormat="false" ht="15.75" hidden="false" customHeight="false" outlineLevel="0" collapsed="false">
      <c r="A1333" s="12"/>
      <c r="B1333" s="13"/>
      <c r="C1333" s="14" t="s">
        <v>5277</v>
      </c>
      <c r="D1333" s="24" t="s">
        <v>51</v>
      </c>
      <c r="E1333" s="16" t="s">
        <v>5278</v>
      </c>
      <c r="F1333" s="16" t="s">
        <v>5279</v>
      </c>
      <c r="G1333" s="17"/>
      <c r="H1333" s="17"/>
      <c r="I1333" s="26" t="s">
        <v>166</v>
      </c>
      <c r="J1333" s="32"/>
      <c r="K1333" s="17"/>
      <c r="L1333" s="38"/>
      <c r="M1333" s="46"/>
      <c r="N1333" s="17"/>
      <c r="O1333" s="17"/>
      <c r="P1333" s="40" t="s">
        <v>168</v>
      </c>
      <c r="Q1333" s="12"/>
      <c r="R1333" s="12" t="s">
        <v>5280</v>
      </c>
      <c r="S1333" s="12"/>
      <c r="T1333" s="12" t="s">
        <v>5281</v>
      </c>
      <c r="U1333" s="12"/>
      <c r="V1333" s="21" t="s">
        <v>31</v>
      </c>
      <c r="Z1333" s="12"/>
      <c r="AA1333" s="29"/>
      <c r="AB1333" s="12" t="s">
        <v>4255</v>
      </c>
      <c r="AC1333" s="12"/>
      <c r="AD1333" s="12"/>
      <c r="AE1333" s="12"/>
      <c r="AF1333" s="47"/>
      <c r="AG1333" s="47"/>
    </row>
    <row r="1334" customFormat="false" ht="15.75" hidden="false" customHeight="false" outlineLevel="0" collapsed="false">
      <c r="A1334" s="12"/>
      <c r="B1334" s="20"/>
      <c r="C1334" s="48" t="s">
        <v>5282</v>
      </c>
      <c r="D1334" s="24" t="s">
        <v>667</v>
      </c>
      <c r="E1334" s="49" t="s">
        <v>5283</v>
      </c>
      <c r="F1334" s="49" t="s">
        <v>5284</v>
      </c>
      <c r="G1334" s="17"/>
      <c r="H1334" s="17"/>
      <c r="I1334" s="26" t="s">
        <v>166</v>
      </c>
      <c r="J1334" s="32"/>
      <c r="K1334" s="17"/>
      <c r="L1334" s="38"/>
      <c r="M1334" s="50"/>
      <c r="N1334" s="17"/>
      <c r="O1334" s="17"/>
      <c r="P1334" s="40" t="s">
        <v>168</v>
      </c>
      <c r="Q1334" s="12"/>
      <c r="R1334" s="12" t="s">
        <v>5285</v>
      </c>
      <c r="S1334" s="12"/>
      <c r="T1334" s="12" t="s">
        <v>5286</v>
      </c>
      <c r="U1334" s="12"/>
      <c r="V1334" s="21" t="s">
        <v>31</v>
      </c>
      <c r="Z1334" s="12"/>
      <c r="AA1334" s="29"/>
      <c r="AB1334" s="50" t="s">
        <v>5287</v>
      </c>
      <c r="AC1334" s="12"/>
      <c r="AD1334" s="12"/>
      <c r="AE1334" s="12"/>
      <c r="AG1334" s="47"/>
    </row>
    <row r="1335" customFormat="false" ht="15.75" hidden="false" customHeight="false" outlineLevel="0" collapsed="false">
      <c r="A1335" s="12"/>
      <c r="B1335" s="12"/>
      <c r="C1335" s="23" t="s">
        <v>5288</v>
      </c>
      <c r="D1335" s="24"/>
      <c r="E1335" s="17"/>
      <c r="F1335" s="17"/>
      <c r="G1335" s="17"/>
      <c r="H1335" s="17"/>
      <c r="I1335" s="17"/>
      <c r="J1335" s="17"/>
      <c r="K1335" s="17"/>
      <c r="L1335" s="38"/>
      <c r="M1335" s="27"/>
      <c r="N1335" s="17"/>
      <c r="O1335" s="17"/>
      <c r="P1335" s="28"/>
      <c r="Q1335" s="12"/>
      <c r="R1335" s="12"/>
      <c r="S1335" s="12"/>
      <c r="T1335" s="12"/>
      <c r="U1335" s="12"/>
      <c r="V1335" s="21"/>
      <c r="Z1335" s="12"/>
      <c r="AA1335" s="29"/>
      <c r="AB1335" s="12"/>
      <c r="AC1335" s="12"/>
      <c r="AD1335" s="12"/>
      <c r="AE1335" s="12"/>
    </row>
    <row r="1336" customFormat="false" ht="15.75" hidden="false" customHeight="false" outlineLevel="0" collapsed="false">
      <c r="A1336" s="12" t="s">
        <v>193</v>
      </c>
      <c r="B1336" s="12" t="s">
        <v>32</v>
      </c>
      <c r="C1336" s="23" t="s">
        <v>5289</v>
      </c>
      <c r="D1336" s="24" t="s">
        <v>195</v>
      </c>
      <c r="E1336" s="25" t="s">
        <v>5290</v>
      </c>
      <c r="F1336" s="17" t="s">
        <v>5291</v>
      </c>
      <c r="G1336" s="17"/>
      <c r="H1336" s="17"/>
      <c r="I1336" s="17" t="s">
        <v>36</v>
      </c>
      <c r="J1336" s="17"/>
      <c r="K1336" s="17"/>
      <c r="L1336" s="38"/>
      <c r="M1336" s="27"/>
      <c r="N1336" s="17"/>
      <c r="O1336" s="17"/>
      <c r="P1336" s="28" t="s">
        <v>59</v>
      </c>
      <c r="Q1336" s="12"/>
      <c r="R1336" s="12"/>
      <c r="S1336" s="12"/>
      <c r="T1336" s="12"/>
      <c r="U1336" s="12"/>
      <c r="V1336" s="21"/>
      <c r="Z1336" s="12"/>
      <c r="AA1336" s="29" t="n">
        <v>2</v>
      </c>
      <c r="AB1336" s="12" t="s">
        <v>5292</v>
      </c>
      <c r="AC1336" s="12"/>
      <c r="AD1336" s="12"/>
      <c r="AE1336" s="12"/>
    </row>
    <row r="1337" customFormat="false" ht="15.75" hidden="false" customHeight="false" outlineLevel="0" collapsed="false">
      <c r="A1337" s="12"/>
      <c r="B1337" s="20"/>
      <c r="C1337" s="48" t="s">
        <v>5293</v>
      </c>
      <c r="D1337" s="24" t="s">
        <v>61</v>
      </c>
      <c r="E1337" s="49" t="s">
        <v>5294</v>
      </c>
      <c r="F1337" s="49" t="s">
        <v>5295</v>
      </c>
      <c r="G1337" s="17"/>
      <c r="H1337" s="17"/>
      <c r="I1337" s="26" t="s">
        <v>166</v>
      </c>
      <c r="J1337" s="32"/>
      <c r="K1337" s="17"/>
      <c r="L1337" s="38"/>
      <c r="M1337" s="50"/>
      <c r="N1337" s="17"/>
      <c r="O1337" s="17"/>
      <c r="P1337" s="40" t="s">
        <v>168</v>
      </c>
      <c r="Q1337" s="12"/>
      <c r="R1337" s="12" t="s">
        <v>5296</v>
      </c>
      <c r="S1337" s="12"/>
      <c r="T1337" s="12" t="s">
        <v>5297</v>
      </c>
      <c r="U1337" s="12" t="s">
        <v>5298</v>
      </c>
      <c r="V1337" s="21" t="s">
        <v>31</v>
      </c>
      <c r="Z1337" s="12"/>
      <c r="AA1337" s="29"/>
      <c r="AB1337" s="50" t="s">
        <v>5299</v>
      </c>
      <c r="AC1337" s="12"/>
      <c r="AD1337" s="12"/>
      <c r="AE1337" s="12"/>
      <c r="AF1337" s="47"/>
      <c r="AG1337" s="47"/>
    </row>
    <row r="1338" customFormat="false" ht="15.75" hidden="false" customHeight="false" outlineLevel="0" collapsed="false">
      <c r="A1338" s="12"/>
      <c r="B1338" s="20"/>
      <c r="C1338" s="48" t="s">
        <v>5300</v>
      </c>
      <c r="D1338" s="24" t="s">
        <v>61</v>
      </c>
      <c r="E1338" s="49" t="s">
        <v>5301</v>
      </c>
      <c r="F1338" s="49" t="s">
        <v>5302</v>
      </c>
      <c r="G1338" s="17"/>
      <c r="H1338" s="17"/>
      <c r="I1338" s="26" t="s">
        <v>166</v>
      </c>
      <c r="J1338" s="32"/>
      <c r="K1338" s="17"/>
      <c r="L1338" s="38"/>
      <c r="M1338" s="50"/>
      <c r="N1338" s="17"/>
      <c r="O1338" s="17"/>
      <c r="P1338" s="40" t="s">
        <v>168</v>
      </c>
      <c r="Q1338" s="12"/>
      <c r="R1338" s="12" t="s">
        <v>5303</v>
      </c>
      <c r="S1338" s="12"/>
      <c r="T1338" s="59" t="s">
        <v>5304</v>
      </c>
      <c r="U1338" s="12" t="s">
        <v>5305</v>
      </c>
      <c r="V1338" s="21" t="s">
        <v>31</v>
      </c>
      <c r="Z1338" s="12"/>
      <c r="AA1338" s="29"/>
      <c r="AB1338" s="50" t="s">
        <v>5306</v>
      </c>
      <c r="AC1338" s="12"/>
      <c r="AD1338" s="12"/>
      <c r="AE1338" s="12"/>
      <c r="AF1338" s="47"/>
      <c r="AG1338" s="47"/>
    </row>
    <row r="1339" customFormat="false" ht="15.75" hidden="false" customHeight="false" outlineLevel="0" collapsed="false">
      <c r="A1339" s="12"/>
      <c r="B1339" s="13"/>
      <c r="C1339" s="14" t="s">
        <v>5307</v>
      </c>
      <c r="D1339" s="24"/>
      <c r="E1339" s="16" t="s">
        <v>5308</v>
      </c>
      <c r="F1339" s="16" t="s">
        <v>5309</v>
      </c>
      <c r="G1339" s="17"/>
      <c r="H1339" s="17"/>
      <c r="I1339" s="26" t="s">
        <v>166</v>
      </c>
      <c r="J1339" s="32"/>
      <c r="K1339" s="17"/>
      <c r="L1339" s="38"/>
      <c r="M1339" s="78"/>
      <c r="N1339" s="17"/>
      <c r="O1339" s="17"/>
      <c r="P1339" s="40" t="s">
        <v>168</v>
      </c>
      <c r="Q1339" s="12"/>
      <c r="R1339" s="12" t="s">
        <v>5310</v>
      </c>
      <c r="S1339" s="12"/>
      <c r="T1339" s="12" t="s">
        <v>5311</v>
      </c>
      <c r="U1339" s="12"/>
      <c r="V1339" s="21" t="s">
        <v>31</v>
      </c>
      <c r="Z1339" s="12"/>
      <c r="AA1339" s="29"/>
      <c r="AB1339" s="12" t="s">
        <v>5312</v>
      </c>
      <c r="AC1339" s="12"/>
      <c r="AD1339" s="12"/>
      <c r="AE1339" s="12"/>
      <c r="AF1339" s="47"/>
      <c r="AG1339" s="47"/>
    </row>
    <row r="1340" customFormat="false" ht="15.75" hidden="false" customHeight="false" outlineLevel="0" collapsed="false">
      <c r="A1340" s="12"/>
      <c r="B1340" s="20"/>
      <c r="C1340" s="48" t="s">
        <v>5313</v>
      </c>
      <c r="D1340" s="24"/>
      <c r="E1340" s="49" t="s">
        <v>5314</v>
      </c>
      <c r="F1340" s="49" t="s">
        <v>5315</v>
      </c>
      <c r="G1340" s="17"/>
      <c r="H1340" s="17"/>
      <c r="I1340" s="26" t="s">
        <v>166</v>
      </c>
      <c r="J1340" s="32"/>
      <c r="K1340" s="17"/>
      <c r="L1340" s="38"/>
      <c r="M1340" s="50"/>
      <c r="N1340" s="17"/>
      <c r="O1340" s="17"/>
      <c r="P1340" s="40" t="s">
        <v>168</v>
      </c>
      <c r="Q1340" s="12"/>
      <c r="R1340" s="12"/>
      <c r="S1340" s="12"/>
      <c r="T1340" s="12" t="s">
        <v>5316</v>
      </c>
      <c r="U1340" s="12" t="s">
        <v>5317</v>
      </c>
      <c r="V1340" s="21" t="s">
        <v>31</v>
      </c>
      <c r="Z1340" s="12"/>
      <c r="AA1340" s="29"/>
      <c r="AB1340" s="50" t="s">
        <v>5318</v>
      </c>
      <c r="AC1340" s="12"/>
      <c r="AD1340" s="12"/>
      <c r="AE1340" s="12"/>
      <c r="AF1340" s="47"/>
      <c r="AG1340" s="47"/>
    </row>
    <row r="1341" customFormat="false" ht="15.75" hidden="false" customHeight="false" outlineLevel="0" collapsed="false">
      <c r="A1341" s="12"/>
      <c r="B1341" s="12"/>
      <c r="C1341" s="23" t="s">
        <v>5319</v>
      </c>
      <c r="D1341" s="24"/>
      <c r="E1341" s="25" t="s">
        <v>5320</v>
      </c>
      <c r="F1341" s="17" t="s">
        <v>5321</v>
      </c>
      <c r="G1341" s="17" t="s">
        <v>4858</v>
      </c>
      <c r="H1341" s="17"/>
      <c r="I1341" s="26" t="s">
        <v>82</v>
      </c>
      <c r="J1341" s="32"/>
      <c r="K1341" s="17"/>
      <c r="L1341" s="38"/>
      <c r="M1341" s="27"/>
      <c r="N1341" s="17"/>
      <c r="O1341" s="17"/>
      <c r="P1341" s="40" t="s">
        <v>638</v>
      </c>
      <c r="Q1341" s="20"/>
      <c r="R1341" s="20" t="s">
        <v>5322</v>
      </c>
      <c r="S1341" s="20"/>
      <c r="T1341" s="20" t="s">
        <v>5323</v>
      </c>
      <c r="U1341" s="20"/>
      <c r="V1341" s="21" t="s">
        <v>31</v>
      </c>
      <c r="Z1341" s="20"/>
      <c r="AA1341" s="22"/>
      <c r="AB1341" s="20"/>
      <c r="AC1341" s="20"/>
      <c r="AD1341" s="20"/>
      <c r="AE1341" s="20"/>
    </row>
    <row r="1342" customFormat="false" ht="15.75" hidden="false" customHeight="false" outlineLevel="0" collapsed="false">
      <c r="A1342" s="12" t="s">
        <v>31</v>
      </c>
      <c r="B1342" s="54" t="s">
        <v>32</v>
      </c>
      <c r="C1342" s="55" t="s">
        <v>5324</v>
      </c>
      <c r="D1342" s="24" t="s">
        <v>51</v>
      </c>
      <c r="E1342" s="57" t="s">
        <v>5325</v>
      </c>
      <c r="F1342" s="15" t="s">
        <v>5326</v>
      </c>
      <c r="G1342" s="15" t="s">
        <v>4745</v>
      </c>
      <c r="H1342" s="15"/>
      <c r="I1342" s="26" t="s">
        <v>1644</v>
      </c>
      <c r="J1342" s="15" t="s">
        <v>58</v>
      </c>
      <c r="K1342" s="17" t="n">
        <v>2010</v>
      </c>
      <c r="L1342" s="38" t="s">
        <v>99</v>
      </c>
      <c r="M1342" s="18" t="s">
        <v>147</v>
      </c>
      <c r="N1342" s="17" t="s">
        <v>5327</v>
      </c>
      <c r="O1342" s="17" t="s">
        <v>5328</v>
      </c>
      <c r="P1342" s="19" t="s">
        <v>39</v>
      </c>
      <c r="Q1342" s="20"/>
      <c r="R1342" s="20" t="s">
        <v>5329</v>
      </c>
      <c r="S1342" s="20"/>
      <c r="T1342" s="20" t="s">
        <v>5330</v>
      </c>
      <c r="U1342" s="20"/>
      <c r="V1342" s="21" t="s">
        <v>31</v>
      </c>
      <c r="Z1342" s="20"/>
      <c r="AA1342" s="22"/>
      <c r="AB1342" s="20"/>
      <c r="AC1342" s="20"/>
      <c r="AD1342" s="20"/>
      <c r="AE1342" s="20"/>
    </row>
    <row r="1343" customFormat="false" ht="15.75" hidden="false" customHeight="false" outlineLevel="0" collapsed="false">
      <c r="A1343" s="12"/>
      <c r="B1343" s="20"/>
      <c r="C1343" s="48" t="s">
        <v>5331</v>
      </c>
      <c r="D1343" s="24" t="s">
        <v>61</v>
      </c>
      <c r="E1343" s="49" t="s">
        <v>5332</v>
      </c>
      <c r="F1343" s="49" t="s">
        <v>5333</v>
      </c>
      <c r="G1343" s="17"/>
      <c r="H1343" s="17"/>
      <c r="I1343" s="26" t="s">
        <v>166</v>
      </c>
      <c r="J1343" s="32"/>
      <c r="K1343" s="17"/>
      <c r="L1343" s="38"/>
      <c r="M1343" s="50"/>
      <c r="N1343" s="17"/>
      <c r="O1343" s="17"/>
      <c r="P1343" s="40" t="s">
        <v>168</v>
      </c>
      <c r="Q1343" s="17"/>
      <c r="R1343" s="17" t="s">
        <v>5334</v>
      </c>
      <c r="S1343" s="17"/>
      <c r="T1343" s="17" t="s">
        <v>5335</v>
      </c>
      <c r="U1343" s="17" t="s">
        <v>5336</v>
      </c>
      <c r="V1343" s="21" t="s">
        <v>31</v>
      </c>
      <c r="Z1343" s="17"/>
      <c r="AA1343" s="29"/>
      <c r="AB1343" s="50" t="s">
        <v>5337</v>
      </c>
      <c r="AC1343" s="17"/>
      <c r="AD1343" s="17"/>
      <c r="AE1343" s="17"/>
      <c r="AF1343" s="47"/>
      <c r="AG1343" s="47"/>
    </row>
    <row r="1344" customFormat="false" ht="15.75" hidden="false" customHeight="false" outlineLevel="0" collapsed="false">
      <c r="A1344" s="12"/>
      <c r="B1344" s="12"/>
      <c r="C1344" s="23" t="s">
        <v>5338</v>
      </c>
      <c r="D1344" s="24"/>
      <c r="E1344" s="25" t="s">
        <v>5339</v>
      </c>
      <c r="F1344" s="17" t="s">
        <v>5340</v>
      </c>
      <c r="G1344" s="17" t="s">
        <v>5341</v>
      </c>
      <c r="H1344" s="17"/>
      <c r="I1344" s="26" t="s">
        <v>82</v>
      </c>
      <c r="J1344" s="32"/>
      <c r="K1344" s="17"/>
      <c r="L1344" s="38"/>
      <c r="M1344" s="27"/>
      <c r="N1344" s="17"/>
      <c r="O1344" s="17"/>
      <c r="P1344" s="40" t="s">
        <v>638</v>
      </c>
      <c r="Q1344" s="20"/>
      <c r="R1344" s="20" t="s">
        <v>5342</v>
      </c>
      <c r="S1344" s="20"/>
      <c r="T1344" s="20" t="s">
        <v>5343</v>
      </c>
      <c r="U1344" s="20"/>
      <c r="V1344" s="21" t="s">
        <v>31</v>
      </c>
      <c r="Z1344" s="20"/>
      <c r="AA1344" s="22"/>
      <c r="AB1344" s="20"/>
      <c r="AC1344" s="20"/>
      <c r="AD1344" s="20"/>
      <c r="AE1344" s="20"/>
    </row>
    <row r="1345" customFormat="false" ht="15.75" hidden="false" customHeight="false" outlineLevel="0" collapsed="false">
      <c r="A1345" s="12"/>
      <c r="B1345" s="20"/>
      <c r="C1345" s="48" t="s">
        <v>5344</v>
      </c>
      <c r="D1345" s="24" t="s">
        <v>61</v>
      </c>
      <c r="E1345" s="49" t="s">
        <v>5345</v>
      </c>
      <c r="F1345" s="49" t="s">
        <v>5346</v>
      </c>
      <c r="G1345" s="17"/>
      <c r="H1345" s="17"/>
      <c r="I1345" s="26" t="s">
        <v>166</v>
      </c>
      <c r="J1345" s="32"/>
      <c r="K1345" s="17"/>
      <c r="L1345" s="38"/>
      <c r="M1345" s="50"/>
      <c r="N1345" s="17"/>
      <c r="O1345" s="17"/>
      <c r="P1345" s="40" t="s">
        <v>168</v>
      </c>
      <c r="Q1345" s="12"/>
      <c r="R1345" s="12" t="s">
        <v>5347</v>
      </c>
      <c r="S1345" s="12"/>
      <c r="T1345" s="12" t="s">
        <v>5348</v>
      </c>
      <c r="U1345" s="12" t="s">
        <v>5349</v>
      </c>
      <c r="V1345" s="21" t="s">
        <v>31</v>
      </c>
      <c r="Z1345" s="12"/>
      <c r="AA1345" s="29"/>
      <c r="AB1345" s="12" t="s">
        <v>5350</v>
      </c>
      <c r="AC1345" s="12"/>
      <c r="AD1345" s="12"/>
      <c r="AE1345" s="12"/>
      <c r="AG1345" s="47"/>
    </row>
    <row r="1346" customFormat="false" ht="15.75" hidden="false" customHeight="false" outlineLevel="0" collapsed="false">
      <c r="A1346" s="12"/>
      <c r="B1346" s="12"/>
      <c r="C1346" s="23" t="s">
        <v>5351</v>
      </c>
      <c r="D1346" s="24"/>
      <c r="E1346" s="25" t="s">
        <v>5352</v>
      </c>
      <c r="F1346" s="17" t="s">
        <v>5353</v>
      </c>
      <c r="G1346" s="17" t="s">
        <v>637</v>
      </c>
      <c r="H1346" s="17"/>
      <c r="I1346" s="26" t="s">
        <v>82</v>
      </c>
      <c r="J1346" s="32"/>
      <c r="K1346" s="17"/>
      <c r="L1346" s="38"/>
      <c r="M1346" s="27"/>
      <c r="N1346" s="17"/>
      <c r="O1346" s="17"/>
      <c r="P1346" s="40" t="s">
        <v>638</v>
      </c>
      <c r="Q1346" s="17"/>
      <c r="R1346" s="17" t="s">
        <v>5354</v>
      </c>
      <c r="S1346" s="17"/>
      <c r="T1346" s="17" t="s">
        <v>5355</v>
      </c>
      <c r="U1346" s="17"/>
      <c r="V1346" s="21" t="s">
        <v>31</v>
      </c>
      <c r="Z1346" s="17"/>
      <c r="AA1346" s="29"/>
      <c r="AB1346" s="17"/>
      <c r="AC1346" s="17"/>
      <c r="AD1346" s="17"/>
      <c r="AE1346" s="17"/>
    </row>
    <row r="1347" customFormat="false" ht="15.75" hidden="false" customHeight="false" outlineLevel="0" collapsed="false">
      <c r="A1347" s="12"/>
      <c r="B1347" s="93"/>
      <c r="C1347" s="94" t="s">
        <v>5356</v>
      </c>
      <c r="D1347" s="24"/>
      <c r="E1347" s="15"/>
      <c r="F1347" s="95"/>
      <c r="G1347" s="15"/>
      <c r="H1347" s="15"/>
      <c r="I1347" s="15"/>
      <c r="J1347" s="15"/>
      <c r="K1347" s="17"/>
      <c r="L1347" s="38"/>
      <c r="M1347" s="96"/>
      <c r="N1347" s="17"/>
      <c r="O1347" s="17"/>
      <c r="P1347" s="19"/>
      <c r="Q1347" s="12"/>
      <c r="R1347" s="12"/>
      <c r="S1347" s="12"/>
      <c r="T1347" s="12"/>
      <c r="U1347" s="12"/>
      <c r="V1347" s="21"/>
      <c r="Z1347" s="12"/>
      <c r="AA1347" s="29"/>
      <c r="AB1347" s="12"/>
      <c r="AC1347" s="12"/>
      <c r="AD1347" s="12"/>
      <c r="AE1347" s="12"/>
    </row>
    <row r="1348" customFormat="false" ht="15.75" hidden="false" customHeight="false" outlineLevel="0" collapsed="false">
      <c r="A1348" s="12"/>
      <c r="B1348" s="20"/>
      <c r="C1348" s="48" t="s">
        <v>5357</v>
      </c>
      <c r="D1348" s="24" t="s">
        <v>61</v>
      </c>
      <c r="E1348" s="49" t="s">
        <v>5358</v>
      </c>
      <c r="F1348" s="49" t="s">
        <v>5359</v>
      </c>
      <c r="G1348" s="17"/>
      <c r="H1348" s="17"/>
      <c r="I1348" s="26" t="s">
        <v>166</v>
      </c>
      <c r="J1348" s="32"/>
      <c r="K1348" s="17"/>
      <c r="L1348" s="38"/>
      <c r="M1348" s="50"/>
      <c r="N1348" s="17"/>
      <c r="O1348" s="17"/>
      <c r="P1348" s="40" t="s">
        <v>168</v>
      </c>
      <c r="Q1348" s="12"/>
      <c r="R1348" s="12"/>
      <c r="S1348" s="12"/>
      <c r="T1348" s="12" t="s">
        <v>5360</v>
      </c>
      <c r="U1348" s="12" t="s">
        <v>5361</v>
      </c>
      <c r="V1348" s="21" t="s">
        <v>31</v>
      </c>
      <c r="Z1348" s="12"/>
      <c r="AA1348" s="29"/>
      <c r="AB1348" s="49" t="s">
        <v>5362</v>
      </c>
      <c r="AC1348" s="12"/>
      <c r="AD1348" s="12"/>
      <c r="AE1348" s="12"/>
      <c r="AF1348" s="47"/>
      <c r="AG1348" s="47"/>
    </row>
    <row r="1349" customFormat="false" ht="15.75" hidden="false" customHeight="false" outlineLevel="0" collapsed="false">
      <c r="A1349" s="12"/>
      <c r="B1349" s="13"/>
      <c r="C1349" s="14" t="s">
        <v>5363</v>
      </c>
      <c r="D1349" s="24" t="s">
        <v>667</v>
      </c>
      <c r="E1349" s="16" t="s">
        <v>5364</v>
      </c>
      <c r="F1349" s="16" t="s">
        <v>5365</v>
      </c>
      <c r="G1349" s="17"/>
      <c r="H1349" s="17"/>
      <c r="I1349" s="26" t="s">
        <v>166</v>
      </c>
      <c r="J1349" s="32"/>
      <c r="K1349" s="17"/>
      <c r="L1349" s="38"/>
      <c r="M1349" s="46"/>
      <c r="N1349" s="17"/>
      <c r="O1349" s="17"/>
      <c r="P1349" s="40" t="s">
        <v>168</v>
      </c>
      <c r="Q1349" s="12"/>
      <c r="R1349" s="12" t="s">
        <v>5366</v>
      </c>
      <c r="S1349" s="12"/>
      <c r="T1349" s="12" t="s">
        <v>5367</v>
      </c>
      <c r="U1349" s="12"/>
      <c r="V1349" s="21" t="s">
        <v>31</v>
      </c>
      <c r="Z1349" s="12"/>
      <c r="AA1349" s="29"/>
      <c r="AB1349" s="12" t="s">
        <v>5368</v>
      </c>
      <c r="AC1349" s="12"/>
      <c r="AD1349" s="12"/>
      <c r="AE1349" s="12"/>
      <c r="AF1349" s="47"/>
      <c r="AG1349" s="47"/>
    </row>
    <row r="1350" customFormat="false" ht="15.75" hidden="false" customHeight="false" outlineLevel="0" collapsed="false">
      <c r="A1350" s="12"/>
      <c r="B1350" s="20"/>
      <c r="C1350" s="48" t="s">
        <v>5369</v>
      </c>
      <c r="D1350" s="24"/>
      <c r="E1350" s="49"/>
      <c r="F1350" s="49"/>
      <c r="G1350" s="17"/>
      <c r="H1350" s="17"/>
      <c r="I1350" s="17"/>
      <c r="J1350" s="32"/>
      <c r="K1350" s="17"/>
      <c r="L1350" s="38"/>
      <c r="M1350" s="50"/>
      <c r="N1350" s="17"/>
      <c r="O1350" s="17"/>
      <c r="P1350" s="40"/>
      <c r="Q1350" s="12"/>
      <c r="R1350" s="12"/>
      <c r="S1350" s="12"/>
      <c r="T1350" s="12"/>
      <c r="U1350" s="12"/>
      <c r="V1350" s="21"/>
      <c r="Z1350" s="12"/>
      <c r="AA1350" s="29"/>
      <c r="AB1350" s="12"/>
      <c r="AC1350" s="12"/>
      <c r="AD1350" s="12"/>
      <c r="AE1350" s="12"/>
    </row>
    <row r="1351" customFormat="false" ht="15.75" hidden="false" customHeight="false" outlineLevel="0" collapsed="false">
      <c r="A1351" s="12"/>
      <c r="B1351" s="20"/>
      <c r="C1351" s="48" t="s">
        <v>5370</v>
      </c>
      <c r="D1351" s="24" t="s">
        <v>51</v>
      </c>
      <c r="E1351" s="49" t="s">
        <v>5371</v>
      </c>
      <c r="F1351" s="49" t="s">
        <v>5372</v>
      </c>
      <c r="G1351" s="17"/>
      <c r="H1351" s="17"/>
      <c r="I1351" s="26" t="s">
        <v>166</v>
      </c>
      <c r="J1351" s="32"/>
      <c r="K1351" s="17"/>
      <c r="L1351" s="38"/>
      <c r="M1351" s="50"/>
      <c r="N1351" s="17"/>
      <c r="O1351" s="17"/>
      <c r="P1351" s="40" t="s">
        <v>168</v>
      </c>
      <c r="Q1351" s="12"/>
      <c r="R1351" s="12" t="s">
        <v>5373</v>
      </c>
      <c r="S1351" s="12"/>
      <c r="T1351" s="12" t="s">
        <v>5374</v>
      </c>
      <c r="U1351" s="12" t="s">
        <v>5375</v>
      </c>
      <c r="V1351" s="21" t="s">
        <v>31</v>
      </c>
      <c r="Z1351" s="12"/>
      <c r="AA1351" s="29"/>
      <c r="AB1351" s="49" t="s">
        <v>5376</v>
      </c>
      <c r="AC1351" s="12"/>
      <c r="AD1351" s="12"/>
      <c r="AE1351" s="12"/>
      <c r="AG1351" s="47"/>
    </row>
    <row r="1352" customFormat="false" ht="15.75" hidden="false" customHeight="false" outlineLevel="0" collapsed="false">
      <c r="A1352" s="12"/>
      <c r="B1352" s="20"/>
      <c r="C1352" s="48" t="s">
        <v>5377</v>
      </c>
      <c r="D1352" s="24" t="s">
        <v>61</v>
      </c>
      <c r="E1352" s="49" t="s">
        <v>5378</v>
      </c>
      <c r="F1352" s="49" t="s">
        <v>5379</v>
      </c>
      <c r="G1352" s="17"/>
      <c r="H1352" s="17"/>
      <c r="I1352" s="26" t="s">
        <v>166</v>
      </c>
      <c r="J1352" s="32"/>
      <c r="K1352" s="17"/>
      <c r="L1352" s="38"/>
      <c r="M1352" s="50"/>
      <c r="N1352" s="17"/>
      <c r="O1352" s="17"/>
      <c r="P1352" s="40" t="s">
        <v>168</v>
      </c>
      <c r="Q1352" s="12"/>
      <c r="R1352" s="12" t="s">
        <v>5380</v>
      </c>
      <c r="S1352" s="12"/>
      <c r="T1352" s="12" t="s">
        <v>5381</v>
      </c>
      <c r="U1352" s="12" t="s">
        <v>5382</v>
      </c>
      <c r="V1352" s="21" t="s">
        <v>31</v>
      </c>
      <c r="Z1352" s="12"/>
      <c r="AA1352" s="29"/>
      <c r="AB1352" s="12" t="s">
        <v>5383</v>
      </c>
      <c r="AC1352" s="12"/>
      <c r="AD1352" s="12"/>
      <c r="AE1352" s="12"/>
      <c r="AF1352" s="47"/>
      <c r="AG1352" s="47"/>
    </row>
    <row r="1353" customFormat="false" ht="15.75" hidden="false" customHeight="false" outlineLevel="0" collapsed="false">
      <c r="A1353" s="12"/>
      <c r="B1353" s="13"/>
      <c r="C1353" s="14" t="s">
        <v>5384</v>
      </c>
      <c r="D1353" s="24" t="s">
        <v>61</v>
      </c>
      <c r="E1353" s="16" t="s">
        <v>5385</v>
      </c>
      <c r="F1353" s="32"/>
      <c r="G1353" s="17"/>
      <c r="H1353" s="17"/>
      <c r="I1353" s="26" t="s">
        <v>166</v>
      </c>
      <c r="J1353" s="32"/>
      <c r="K1353" s="17"/>
      <c r="L1353" s="38"/>
      <c r="M1353" s="46"/>
      <c r="N1353" s="17"/>
      <c r="O1353" s="17"/>
      <c r="P1353" s="40" t="s">
        <v>168</v>
      </c>
      <c r="Q1353" s="12"/>
      <c r="R1353" s="12" t="s">
        <v>5386</v>
      </c>
      <c r="S1353" s="12"/>
      <c r="T1353" s="12" t="s">
        <v>5387</v>
      </c>
      <c r="U1353" s="12" t="s">
        <v>5388</v>
      </c>
      <c r="V1353" s="21" t="s">
        <v>31</v>
      </c>
      <c r="Z1353" s="12"/>
      <c r="AA1353" s="29"/>
      <c r="AB1353" s="12" t="s">
        <v>5389</v>
      </c>
      <c r="AC1353" s="12"/>
      <c r="AD1353" s="12"/>
      <c r="AE1353" s="12"/>
      <c r="AF1353" s="47"/>
      <c r="AG1353" s="47"/>
    </row>
    <row r="1354" customFormat="false" ht="15.75" hidden="false" customHeight="false" outlineLevel="0" collapsed="false">
      <c r="A1354" s="12"/>
      <c r="B1354" s="20"/>
      <c r="C1354" s="48" t="s">
        <v>5390</v>
      </c>
      <c r="D1354" s="24" t="s">
        <v>51</v>
      </c>
      <c r="E1354" s="49" t="s">
        <v>5391</v>
      </c>
      <c r="F1354" s="49" t="s">
        <v>5392</v>
      </c>
      <c r="G1354" s="17"/>
      <c r="H1354" s="17"/>
      <c r="I1354" s="26" t="s">
        <v>166</v>
      </c>
      <c r="J1354" s="32"/>
      <c r="K1354" s="17"/>
      <c r="L1354" s="38"/>
      <c r="M1354" s="50"/>
      <c r="N1354" s="17"/>
      <c r="O1354" s="17"/>
      <c r="P1354" s="40" t="s">
        <v>168</v>
      </c>
      <c r="Q1354" s="12"/>
      <c r="R1354" s="12"/>
      <c r="S1354" s="12"/>
      <c r="T1354" s="12" t="s">
        <v>5393</v>
      </c>
      <c r="U1354" s="12"/>
      <c r="V1354" s="21" t="s">
        <v>31</v>
      </c>
      <c r="Z1354" s="12"/>
      <c r="AA1354" s="29"/>
      <c r="AB1354" s="12" t="s">
        <v>5394</v>
      </c>
      <c r="AC1354" s="12"/>
      <c r="AD1354" s="12"/>
      <c r="AE1354" s="12"/>
      <c r="AF1354" s="47"/>
      <c r="AG1354" s="47"/>
    </row>
    <row r="1355" customFormat="false" ht="15.75" hidden="false" customHeight="false" outlineLevel="0" collapsed="false">
      <c r="A1355" s="12"/>
      <c r="B1355" s="20"/>
      <c r="C1355" s="48" t="s">
        <v>5395</v>
      </c>
      <c r="D1355" s="24" t="s">
        <v>61</v>
      </c>
      <c r="E1355" s="49" t="s">
        <v>5396</v>
      </c>
      <c r="F1355" s="49" t="s">
        <v>5397</v>
      </c>
      <c r="G1355" s="17"/>
      <c r="H1355" s="17"/>
      <c r="I1355" s="26" t="s">
        <v>166</v>
      </c>
      <c r="J1355" s="32"/>
      <c r="K1355" s="17"/>
      <c r="L1355" s="38"/>
      <c r="M1355" s="50"/>
      <c r="N1355" s="17"/>
      <c r="O1355" s="17"/>
      <c r="P1355" s="40" t="s">
        <v>168</v>
      </c>
      <c r="Q1355" s="12"/>
      <c r="R1355" s="12"/>
      <c r="S1355" s="12"/>
      <c r="T1355" s="59" t="s">
        <v>5398</v>
      </c>
      <c r="U1355" s="12" t="s">
        <v>5399</v>
      </c>
      <c r="V1355" s="21" t="s">
        <v>31</v>
      </c>
      <c r="Z1355" s="12"/>
      <c r="AA1355" s="29"/>
      <c r="AB1355" s="12" t="s">
        <v>5400</v>
      </c>
      <c r="AC1355" s="12"/>
      <c r="AD1355" s="12"/>
      <c r="AE1355" s="12"/>
      <c r="AF1355" s="47"/>
      <c r="AG1355" s="47"/>
    </row>
    <row r="1356" customFormat="false" ht="15.75" hidden="false" customHeight="false" outlineLevel="0" collapsed="false">
      <c r="A1356" s="12"/>
      <c r="B1356" s="20"/>
      <c r="C1356" s="48" t="s">
        <v>5401</v>
      </c>
      <c r="D1356" s="24" t="s">
        <v>61</v>
      </c>
      <c r="E1356" s="49" t="s">
        <v>5402</v>
      </c>
      <c r="F1356" s="49" t="s">
        <v>5403</v>
      </c>
      <c r="G1356" s="17"/>
      <c r="H1356" s="17"/>
      <c r="I1356" s="26" t="s">
        <v>166</v>
      </c>
      <c r="J1356" s="32"/>
      <c r="K1356" s="17"/>
      <c r="L1356" s="38"/>
      <c r="M1356" s="50"/>
      <c r="N1356" s="17"/>
      <c r="O1356" s="17"/>
      <c r="P1356" s="40" t="s">
        <v>168</v>
      </c>
      <c r="Q1356" s="12"/>
      <c r="R1356" s="12" t="s">
        <v>5404</v>
      </c>
      <c r="S1356" s="12"/>
      <c r="T1356" s="12" t="s">
        <v>5405</v>
      </c>
      <c r="U1356" s="12"/>
      <c r="V1356" s="21" t="s">
        <v>31</v>
      </c>
      <c r="Z1356" s="12"/>
      <c r="AA1356" s="29"/>
      <c r="AB1356" s="50" t="s">
        <v>5406</v>
      </c>
      <c r="AC1356" s="12"/>
      <c r="AD1356" s="12"/>
      <c r="AE1356" s="12"/>
      <c r="AG1356" s="47"/>
    </row>
    <row r="1357" customFormat="false" ht="15.75" hidden="false" customHeight="false" outlineLevel="0" collapsed="false">
      <c r="A1357" s="12"/>
      <c r="B1357" s="13"/>
      <c r="C1357" s="31" t="s">
        <v>5407</v>
      </c>
      <c r="D1357" s="24"/>
      <c r="E1357" s="17"/>
      <c r="F1357" s="17"/>
      <c r="G1357" s="17"/>
      <c r="H1357" s="32"/>
      <c r="I1357" s="26" t="s">
        <v>886</v>
      </c>
      <c r="J1357" s="32"/>
      <c r="K1357" s="17"/>
      <c r="L1357" s="38"/>
      <c r="M1357" s="27"/>
      <c r="N1357" s="17"/>
      <c r="O1357" s="17"/>
      <c r="P1357" s="40" t="s">
        <v>3671</v>
      </c>
      <c r="Q1357" s="17"/>
      <c r="R1357" s="17"/>
      <c r="S1357" s="17"/>
      <c r="T1357" s="17"/>
      <c r="U1357" s="17"/>
      <c r="V1357" s="27"/>
      <c r="Z1357" s="17"/>
      <c r="AA1357" s="29"/>
      <c r="AB1357" s="17"/>
      <c r="AC1357" s="17"/>
      <c r="AD1357" s="17"/>
      <c r="AE1357" s="17"/>
    </row>
    <row r="1358" customFormat="false" ht="15.75" hidden="false" customHeight="false" outlineLevel="0" collapsed="false">
      <c r="A1358" s="12"/>
      <c r="B1358" s="54"/>
      <c r="C1358" s="55" t="s">
        <v>3263</v>
      </c>
      <c r="D1358" s="24"/>
      <c r="E1358" s="16" t="s">
        <v>5408</v>
      </c>
      <c r="F1358" s="15" t="s">
        <v>5409</v>
      </c>
      <c r="G1358" s="15"/>
      <c r="H1358" s="15"/>
      <c r="I1358" s="26" t="s">
        <v>1564</v>
      </c>
      <c r="J1358" s="32"/>
      <c r="K1358" s="15" t="n">
        <v>2014</v>
      </c>
      <c r="L1358" s="38"/>
      <c r="M1358" s="18"/>
      <c r="N1358" s="17"/>
      <c r="O1358" s="17"/>
      <c r="P1358" s="19" t="s">
        <v>39</v>
      </c>
      <c r="R1358" s="0" t="s">
        <v>3266</v>
      </c>
      <c r="T1358" s="0" t="s">
        <v>3267</v>
      </c>
      <c r="V1358" s="21" t="s">
        <v>31</v>
      </c>
      <c r="AA1358" s="63"/>
      <c r="AB1358" s="18" t="s">
        <v>5410</v>
      </c>
    </row>
    <row r="1359" customFormat="false" ht="15.75" hidden="false" customHeight="false" outlineLevel="0" collapsed="false">
      <c r="A1359" s="12"/>
      <c r="B1359" s="20"/>
      <c r="C1359" s="48" t="s">
        <v>5411</v>
      </c>
      <c r="D1359" s="24" t="s">
        <v>61</v>
      </c>
      <c r="E1359" s="49" t="s">
        <v>5412</v>
      </c>
      <c r="F1359" s="49" t="s">
        <v>5413</v>
      </c>
      <c r="G1359" s="17"/>
      <c r="H1359" s="17"/>
      <c r="I1359" s="26" t="s">
        <v>166</v>
      </c>
      <c r="J1359" s="32"/>
      <c r="K1359" s="17"/>
      <c r="L1359" s="38"/>
      <c r="M1359" s="50"/>
      <c r="N1359" s="17"/>
      <c r="O1359" s="17"/>
      <c r="P1359" s="40" t="s">
        <v>168</v>
      </c>
      <c r="Q1359" s="12"/>
      <c r="R1359" s="12"/>
      <c r="S1359" s="12"/>
      <c r="T1359" s="12" t="s">
        <v>5414</v>
      </c>
      <c r="U1359" s="12" t="s">
        <v>5415</v>
      </c>
      <c r="V1359" s="21" t="s">
        <v>31</v>
      </c>
      <c r="Z1359" s="12"/>
      <c r="AA1359" s="29"/>
      <c r="AB1359" s="50" t="s">
        <v>5306</v>
      </c>
      <c r="AC1359" s="12"/>
      <c r="AD1359" s="12"/>
      <c r="AE1359" s="12"/>
      <c r="AF1359" s="47"/>
      <c r="AG1359" s="47"/>
    </row>
    <row r="1360" customFormat="false" ht="15.75" hidden="false" customHeight="false" outlineLevel="0" collapsed="false">
      <c r="A1360" s="12"/>
      <c r="B1360" s="20"/>
      <c r="C1360" s="48" t="s">
        <v>5416</v>
      </c>
      <c r="D1360" s="24"/>
      <c r="E1360" s="49" t="s">
        <v>5417</v>
      </c>
      <c r="F1360" s="49" t="s">
        <v>5418</v>
      </c>
      <c r="G1360" s="17"/>
      <c r="H1360" s="17"/>
      <c r="I1360" s="26" t="s">
        <v>166</v>
      </c>
      <c r="J1360" s="32"/>
      <c r="K1360" s="17"/>
      <c r="L1360" s="38"/>
      <c r="M1360" s="50"/>
      <c r="N1360" s="17"/>
      <c r="O1360" s="17"/>
      <c r="P1360" s="40" t="s">
        <v>168</v>
      </c>
      <c r="Q1360" s="12"/>
      <c r="R1360" s="12"/>
      <c r="S1360" s="12"/>
      <c r="T1360" s="12" t="s">
        <v>5419</v>
      </c>
      <c r="U1360" s="12" t="s">
        <v>5420</v>
      </c>
      <c r="V1360" s="21" t="s">
        <v>31</v>
      </c>
      <c r="Z1360" s="12"/>
      <c r="AA1360" s="29"/>
      <c r="AB1360" s="50" t="s">
        <v>5421</v>
      </c>
      <c r="AC1360" s="12"/>
      <c r="AD1360" s="12"/>
      <c r="AE1360" s="12"/>
      <c r="AF1360" s="47"/>
      <c r="AG1360" s="47"/>
    </row>
    <row r="1361" customFormat="false" ht="15.75" hidden="false" customHeight="false" outlineLevel="0" collapsed="false">
      <c r="A1361" s="12"/>
      <c r="B1361" s="13"/>
      <c r="C1361" s="14" t="s">
        <v>5422</v>
      </c>
      <c r="D1361" s="24" t="s">
        <v>51</v>
      </c>
      <c r="E1361" s="16" t="s">
        <v>5423</v>
      </c>
      <c r="F1361" s="16" t="s">
        <v>5424</v>
      </c>
      <c r="G1361" s="17"/>
      <c r="H1361" s="17"/>
      <c r="I1361" s="26" t="s">
        <v>166</v>
      </c>
      <c r="J1361" s="32"/>
      <c r="K1361" s="17"/>
      <c r="L1361" s="38"/>
      <c r="M1361" s="78"/>
      <c r="N1361" s="17"/>
      <c r="O1361" s="17"/>
      <c r="P1361" s="40" t="s">
        <v>168</v>
      </c>
      <c r="Q1361" s="12"/>
      <c r="R1361" s="12" t="s">
        <v>5425</v>
      </c>
      <c r="S1361" s="12"/>
      <c r="T1361" s="12" t="s">
        <v>5426</v>
      </c>
      <c r="U1361" s="12"/>
      <c r="V1361" s="21" t="s">
        <v>31</v>
      </c>
      <c r="Z1361" s="12"/>
      <c r="AA1361" s="29"/>
      <c r="AB1361" s="12" t="s">
        <v>5427</v>
      </c>
      <c r="AC1361" s="12"/>
      <c r="AD1361" s="12"/>
      <c r="AE1361" s="12"/>
      <c r="AG1361" s="47"/>
    </row>
    <row r="1362" customFormat="false" ht="15.75" hidden="false" customHeight="false" outlineLevel="0" collapsed="false">
      <c r="A1362" s="12"/>
      <c r="B1362" s="20"/>
      <c r="C1362" s="48" t="s">
        <v>5428</v>
      </c>
      <c r="D1362" s="24" t="s">
        <v>667</v>
      </c>
      <c r="E1362" s="49" t="s">
        <v>5429</v>
      </c>
      <c r="F1362" s="49" t="s">
        <v>5430</v>
      </c>
      <c r="G1362" s="17"/>
      <c r="H1362" s="17"/>
      <c r="I1362" s="26" t="s">
        <v>166</v>
      </c>
      <c r="J1362" s="32"/>
      <c r="K1362" s="17"/>
      <c r="L1362" s="38"/>
      <c r="M1362" s="50"/>
      <c r="N1362" s="17"/>
      <c r="O1362" s="17"/>
      <c r="P1362" s="40" t="s">
        <v>168</v>
      </c>
      <c r="Q1362" s="12"/>
      <c r="R1362" s="12"/>
      <c r="S1362" s="12"/>
      <c r="T1362" s="12" t="s">
        <v>5431</v>
      </c>
      <c r="U1362" s="12" t="s">
        <v>5432</v>
      </c>
      <c r="V1362" s="21" t="s">
        <v>31</v>
      </c>
      <c r="Z1362" s="12"/>
      <c r="AA1362" s="29"/>
      <c r="AB1362" s="12" t="s">
        <v>5433</v>
      </c>
      <c r="AC1362" s="12"/>
      <c r="AD1362" s="12"/>
      <c r="AE1362" s="12"/>
      <c r="AG1362" s="47"/>
    </row>
    <row r="1363" customFormat="false" ht="15.75" hidden="false" customHeight="false" outlineLevel="0" collapsed="false">
      <c r="A1363" s="12"/>
      <c r="B1363" s="20"/>
      <c r="C1363" s="48" t="s">
        <v>5434</v>
      </c>
      <c r="D1363" s="24" t="s">
        <v>667</v>
      </c>
      <c r="E1363" s="49" t="s">
        <v>5435</v>
      </c>
      <c r="F1363" s="49" t="s">
        <v>5436</v>
      </c>
      <c r="G1363" s="17"/>
      <c r="H1363" s="17"/>
      <c r="I1363" s="26" t="s">
        <v>166</v>
      </c>
      <c r="J1363" s="32"/>
      <c r="K1363" s="17"/>
      <c r="L1363" s="38"/>
      <c r="M1363" s="50"/>
      <c r="N1363" s="17"/>
      <c r="O1363" s="17"/>
      <c r="P1363" s="40" t="s">
        <v>168</v>
      </c>
      <c r="Q1363" s="12"/>
      <c r="R1363" s="12" t="s">
        <v>5437</v>
      </c>
      <c r="S1363" s="12"/>
      <c r="T1363" s="12" t="s">
        <v>5438</v>
      </c>
      <c r="U1363" s="12" t="s">
        <v>5439</v>
      </c>
      <c r="V1363" s="21" t="s">
        <v>31</v>
      </c>
      <c r="Z1363" s="12"/>
      <c r="AA1363" s="29"/>
      <c r="AB1363" s="12" t="s">
        <v>5440</v>
      </c>
      <c r="AC1363" s="12"/>
      <c r="AD1363" s="12"/>
      <c r="AE1363" s="12"/>
      <c r="AF1363" s="47"/>
      <c r="AG1363" s="47"/>
    </row>
    <row r="1364" customFormat="false" ht="15.75" hidden="false" customHeight="false" outlineLevel="0" collapsed="false">
      <c r="A1364" s="12"/>
      <c r="B1364" s="20"/>
      <c r="C1364" s="48" t="s">
        <v>5441</v>
      </c>
      <c r="D1364" s="24" t="s">
        <v>667</v>
      </c>
      <c r="E1364" s="49" t="s">
        <v>5442</v>
      </c>
      <c r="F1364" s="49" t="s">
        <v>5443</v>
      </c>
      <c r="G1364" s="17"/>
      <c r="H1364" s="17"/>
      <c r="I1364" s="26" t="s">
        <v>166</v>
      </c>
      <c r="J1364" s="32"/>
      <c r="K1364" s="17"/>
      <c r="L1364" s="38"/>
      <c r="M1364" s="50"/>
      <c r="N1364" s="17"/>
      <c r="O1364" s="17"/>
      <c r="P1364" s="40" t="s">
        <v>168</v>
      </c>
      <c r="Q1364" s="12"/>
      <c r="R1364" s="12"/>
      <c r="S1364" s="12"/>
      <c r="T1364" s="12" t="s">
        <v>5444</v>
      </c>
      <c r="U1364" s="12"/>
      <c r="V1364" s="21" t="s">
        <v>31</v>
      </c>
      <c r="Z1364" s="12"/>
      <c r="AA1364" s="29" t="n">
        <v>1</v>
      </c>
      <c r="AB1364" s="12" t="s">
        <v>5445</v>
      </c>
      <c r="AC1364" s="12"/>
      <c r="AD1364" s="12"/>
      <c r="AE1364" s="12"/>
      <c r="AG1364" s="47"/>
    </row>
    <row r="1365" customFormat="false" ht="15.75" hidden="false" customHeight="false" outlineLevel="0" collapsed="false">
      <c r="A1365" s="12"/>
      <c r="B1365" s="20"/>
      <c r="C1365" s="48" t="s">
        <v>5446</v>
      </c>
      <c r="D1365" s="24" t="s">
        <v>61</v>
      </c>
      <c r="E1365" s="49" t="s">
        <v>5447</v>
      </c>
      <c r="F1365" s="49" t="s">
        <v>5448</v>
      </c>
      <c r="G1365" s="17"/>
      <c r="H1365" s="17"/>
      <c r="I1365" s="26" t="s">
        <v>166</v>
      </c>
      <c r="J1365" s="32"/>
      <c r="K1365" s="17"/>
      <c r="L1365" s="38"/>
      <c r="M1365" s="50"/>
      <c r="N1365" s="17"/>
      <c r="O1365" s="17"/>
      <c r="P1365" s="40" t="s">
        <v>168</v>
      </c>
      <c r="Q1365" s="12"/>
      <c r="R1365" s="12" t="s">
        <v>5449</v>
      </c>
      <c r="S1365" s="12"/>
      <c r="T1365" s="12" t="s">
        <v>5450</v>
      </c>
      <c r="U1365" s="12" t="s">
        <v>5451</v>
      </c>
      <c r="V1365" s="21" t="s">
        <v>31</v>
      </c>
      <c r="Z1365" s="12"/>
      <c r="AA1365" s="29"/>
      <c r="AB1365" s="12" t="s">
        <v>5452</v>
      </c>
      <c r="AC1365" s="12"/>
      <c r="AD1365" s="12"/>
      <c r="AE1365" s="12"/>
      <c r="AF1365" s="47"/>
      <c r="AG1365" s="47"/>
    </row>
    <row r="1366" customFormat="false" ht="15.75" hidden="false" customHeight="false" outlineLevel="0" collapsed="false">
      <c r="A1366" s="12"/>
      <c r="B1366" s="20"/>
      <c r="C1366" s="48" t="s">
        <v>4248</v>
      </c>
      <c r="D1366" s="24"/>
      <c r="E1366" s="49" t="s">
        <v>5453</v>
      </c>
      <c r="F1366" s="49" t="s">
        <v>5454</v>
      </c>
      <c r="G1366" s="17"/>
      <c r="H1366" s="17"/>
      <c r="I1366" s="26" t="s">
        <v>166</v>
      </c>
      <c r="J1366" s="32"/>
      <c r="K1366" s="17"/>
      <c r="L1366" s="38"/>
      <c r="M1366" s="50"/>
      <c r="N1366" s="17"/>
      <c r="O1366" s="17"/>
      <c r="P1366" s="40" t="s">
        <v>168</v>
      </c>
      <c r="V1366" s="60"/>
      <c r="AA1366" s="63"/>
      <c r="AB1366" s="50" t="s">
        <v>5455</v>
      </c>
      <c r="AE1366" s="47"/>
      <c r="AG1366" s="47"/>
    </row>
    <row r="1367" customFormat="false" ht="15.75" hidden="false" customHeight="false" outlineLevel="0" collapsed="false">
      <c r="A1367" s="12"/>
      <c r="B1367" s="20"/>
      <c r="C1367" s="48" t="s">
        <v>5456</v>
      </c>
      <c r="D1367" s="24" t="s">
        <v>61</v>
      </c>
      <c r="E1367" s="49" t="s">
        <v>5457</v>
      </c>
      <c r="F1367" s="49" t="s">
        <v>5458</v>
      </c>
      <c r="G1367" s="17"/>
      <c r="H1367" s="17"/>
      <c r="I1367" s="26" t="s">
        <v>166</v>
      </c>
      <c r="J1367" s="32"/>
      <c r="K1367" s="17"/>
      <c r="L1367" s="38"/>
      <c r="M1367" s="78"/>
      <c r="N1367" s="17"/>
      <c r="O1367" s="17"/>
      <c r="P1367" s="40" t="s">
        <v>168</v>
      </c>
      <c r="Q1367" s="12"/>
      <c r="R1367" s="12" t="s">
        <v>5459</v>
      </c>
      <c r="S1367" s="12"/>
      <c r="T1367" s="12" t="s">
        <v>5460</v>
      </c>
      <c r="U1367" s="12" t="s">
        <v>5461</v>
      </c>
      <c r="V1367" s="21" t="s">
        <v>31</v>
      </c>
      <c r="Z1367" s="12"/>
      <c r="AA1367" s="29"/>
      <c r="AB1367" s="12" t="s">
        <v>5462</v>
      </c>
      <c r="AC1367" s="12"/>
      <c r="AD1367" s="12"/>
      <c r="AE1367" s="12"/>
      <c r="AF1367" s="47"/>
      <c r="AG1367" s="47"/>
    </row>
    <row r="1368" customFormat="false" ht="15.75" hidden="false" customHeight="false" outlineLevel="0" collapsed="false">
      <c r="A1368" s="12" t="s">
        <v>31</v>
      </c>
      <c r="B1368" s="20" t="s">
        <v>32</v>
      </c>
      <c r="C1368" s="48" t="s">
        <v>5463</v>
      </c>
      <c r="D1368" s="24" t="s">
        <v>94</v>
      </c>
      <c r="E1368" s="49" t="s">
        <v>5464</v>
      </c>
      <c r="F1368" s="49" t="s">
        <v>5465</v>
      </c>
      <c r="G1368" s="17" t="s">
        <v>785</v>
      </c>
      <c r="H1368" s="17"/>
      <c r="I1368" s="26" t="s">
        <v>166</v>
      </c>
      <c r="J1368" s="32"/>
      <c r="K1368" s="17"/>
      <c r="L1368" s="38"/>
      <c r="M1368" s="50" t="s">
        <v>147</v>
      </c>
      <c r="N1368" s="17" t="s">
        <v>5466</v>
      </c>
      <c r="O1368" s="17" t="s">
        <v>4337</v>
      </c>
      <c r="P1368" s="40" t="s">
        <v>168</v>
      </c>
      <c r="Q1368" s="12"/>
      <c r="R1368" s="12" t="s">
        <v>5467</v>
      </c>
      <c r="S1368" s="12"/>
      <c r="T1368" s="12" t="s">
        <v>5468</v>
      </c>
      <c r="U1368" s="12" t="s">
        <v>5469</v>
      </c>
      <c r="V1368" s="21" t="s">
        <v>31</v>
      </c>
      <c r="Z1368" s="12"/>
      <c r="AA1368" s="29" t="n">
        <v>5</v>
      </c>
      <c r="AB1368" s="12" t="s">
        <v>5470</v>
      </c>
      <c r="AC1368" s="59" t="s">
        <v>5471</v>
      </c>
      <c r="AD1368" s="12"/>
      <c r="AE1368" s="12"/>
      <c r="AF1368" s="47"/>
      <c r="AG1368" s="47"/>
    </row>
    <row r="1369" customFormat="false" ht="15.75" hidden="false" customHeight="false" outlineLevel="0" collapsed="false">
      <c r="A1369" s="12"/>
      <c r="B1369" s="20"/>
      <c r="C1369" s="48" t="s">
        <v>5472</v>
      </c>
      <c r="D1369" s="24" t="s">
        <v>61</v>
      </c>
      <c r="E1369" s="49" t="s">
        <v>5473</v>
      </c>
      <c r="F1369" s="49" t="s">
        <v>5474</v>
      </c>
      <c r="G1369" s="17"/>
      <c r="H1369" s="17"/>
      <c r="I1369" s="26" t="s">
        <v>166</v>
      </c>
      <c r="J1369" s="32"/>
      <c r="K1369" s="17"/>
      <c r="L1369" s="38"/>
      <c r="M1369" s="50"/>
      <c r="N1369" s="17"/>
      <c r="O1369" s="17"/>
      <c r="P1369" s="40" t="s">
        <v>168</v>
      </c>
      <c r="Q1369" s="12"/>
      <c r="R1369" s="12" t="s">
        <v>5475</v>
      </c>
      <c r="S1369" s="12"/>
      <c r="T1369" s="12" t="s">
        <v>5476</v>
      </c>
      <c r="U1369" s="12" t="s">
        <v>5477</v>
      </c>
      <c r="V1369" s="21" t="s">
        <v>31</v>
      </c>
      <c r="Z1369" s="12"/>
      <c r="AA1369" s="29"/>
      <c r="AB1369" s="12" t="s">
        <v>5478</v>
      </c>
      <c r="AC1369" s="12"/>
      <c r="AD1369" s="12"/>
      <c r="AE1369" s="12"/>
      <c r="AF1369" s="47"/>
      <c r="AG1369" s="47"/>
    </row>
    <row r="1370" customFormat="false" ht="15.75" hidden="false" customHeight="false" outlineLevel="0" collapsed="false">
      <c r="A1370" s="12"/>
      <c r="B1370" s="12"/>
      <c r="C1370" s="23" t="s">
        <v>5479</v>
      </c>
      <c r="D1370" s="24"/>
      <c r="E1370" s="25" t="s">
        <v>5480</v>
      </c>
      <c r="F1370" s="17" t="s">
        <v>5481</v>
      </c>
      <c r="G1370" s="17" t="s">
        <v>1600</v>
      </c>
      <c r="H1370" s="17"/>
      <c r="I1370" s="26" t="s">
        <v>82</v>
      </c>
      <c r="J1370" s="32"/>
      <c r="K1370" s="17"/>
      <c r="L1370" s="38"/>
      <c r="M1370" s="27"/>
      <c r="N1370" s="17"/>
      <c r="O1370" s="17"/>
      <c r="P1370" s="40" t="s">
        <v>638</v>
      </c>
      <c r="Q1370" s="47"/>
      <c r="R1370" s="47" t="s">
        <v>5482</v>
      </c>
      <c r="S1370" s="47"/>
      <c r="T1370" s="47" t="s">
        <v>5483</v>
      </c>
      <c r="V1370" s="21" t="s">
        <v>31</v>
      </c>
      <c r="AA1370" s="63"/>
    </row>
    <row r="1371" customFormat="false" ht="15.75" hidden="false" customHeight="false" outlineLevel="0" collapsed="false">
      <c r="A1371" s="12"/>
      <c r="B1371" s="20"/>
      <c r="C1371" s="48" t="s">
        <v>5484</v>
      </c>
      <c r="D1371" s="24" t="s">
        <v>61</v>
      </c>
      <c r="E1371" s="49" t="s">
        <v>5485</v>
      </c>
      <c r="F1371" s="49" t="s">
        <v>5486</v>
      </c>
      <c r="G1371" s="17"/>
      <c r="H1371" s="17"/>
      <c r="I1371" s="26" t="s">
        <v>166</v>
      </c>
      <c r="J1371" s="32"/>
      <c r="K1371" s="17"/>
      <c r="L1371" s="38"/>
      <c r="M1371" s="50"/>
      <c r="N1371" s="17"/>
      <c r="O1371" s="17"/>
      <c r="P1371" s="40" t="s">
        <v>168</v>
      </c>
      <c r="Q1371" s="12"/>
      <c r="R1371" s="12" t="s">
        <v>5487</v>
      </c>
      <c r="S1371" s="12"/>
      <c r="T1371" s="12" t="s">
        <v>5488</v>
      </c>
      <c r="U1371" s="12" t="s">
        <v>5489</v>
      </c>
      <c r="V1371" s="21" t="s">
        <v>31</v>
      </c>
      <c r="Z1371" s="12"/>
      <c r="AA1371" s="29"/>
      <c r="AB1371" s="12" t="s">
        <v>5490</v>
      </c>
      <c r="AC1371" s="12"/>
      <c r="AD1371" s="12"/>
      <c r="AE1371" s="12"/>
      <c r="AF1371" s="47"/>
      <c r="AG1371" s="47"/>
    </row>
    <row r="1372" customFormat="false" ht="15.75" hidden="false" customHeight="false" outlineLevel="0" collapsed="false">
      <c r="A1372" s="12" t="s">
        <v>31</v>
      </c>
      <c r="B1372" s="20" t="s">
        <v>32</v>
      </c>
      <c r="C1372" s="48" t="s">
        <v>5491</v>
      </c>
      <c r="D1372" s="24" t="s">
        <v>94</v>
      </c>
      <c r="E1372" s="49" t="s">
        <v>5492</v>
      </c>
      <c r="F1372" s="49" t="s">
        <v>5493</v>
      </c>
      <c r="G1372" s="17" t="s">
        <v>1611</v>
      </c>
      <c r="H1372" s="17"/>
      <c r="I1372" s="26" t="s">
        <v>166</v>
      </c>
      <c r="J1372" s="32"/>
      <c r="K1372" s="17"/>
      <c r="L1372" s="38"/>
      <c r="M1372" s="50"/>
      <c r="N1372" s="17"/>
      <c r="O1372" s="17" t="s">
        <v>5494</v>
      </c>
      <c r="P1372" s="40" t="s">
        <v>168</v>
      </c>
      <c r="Q1372" s="12"/>
      <c r="R1372" s="12"/>
      <c r="S1372" s="12"/>
      <c r="T1372" s="12" t="s">
        <v>5495</v>
      </c>
      <c r="U1372" s="12" t="s">
        <v>5496</v>
      </c>
      <c r="V1372" s="21" t="s">
        <v>31</v>
      </c>
      <c r="Z1372" s="12"/>
      <c r="AA1372" s="29" t="n">
        <v>4</v>
      </c>
      <c r="AB1372" s="12" t="s">
        <v>5497</v>
      </c>
      <c r="AC1372" s="12"/>
      <c r="AD1372" s="12"/>
      <c r="AE1372" s="12"/>
      <c r="AF1372" s="47"/>
      <c r="AG1372" s="47"/>
    </row>
    <row r="1373" customFormat="false" ht="15.75" hidden="false" customHeight="false" outlineLevel="0" collapsed="false">
      <c r="A1373" s="12"/>
      <c r="B1373" s="13"/>
      <c r="C1373" s="14" t="s">
        <v>5498</v>
      </c>
      <c r="D1373" s="24" t="s">
        <v>61</v>
      </c>
      <c r="E1373" s="16" t="s">
        <v>5499</v>
      </c>
      <c r="F1373" s="16" t="s">
        <v>5500</v>
      </c>
      <c r="G1373" s="17"/>
      <c r="H1373" s="17"/>
      <c r="I1373" s="26" t="s">
        <v>166</v>
      </c>
      <c r="J1373" s="32"/>
      <c r="K1373" s="17"/>
      <c r="L1373" s="38"/>
      <c r="M1373" s="46"/>
      <c r="N1373" s="17"/>
      <c r="O1373" s="17"/>
      <c r="P1373" s="40" t="s">
        <v>168</v>
      </c>
      <c r="Q1373" s="12"/>
      <c r="R1373" s="12" t="s">
        <v>5501</v>
      </c>
      <c r="S1373" s="12"/>
      <c r="T1373" s="12" t="s">
        <v>5502</v>
      </c>
      <c r="U1373" s="12"/>
      <c r="V1373" s="21" t="s">
        <v>31</v>
      </c>
      <c r="Z1373" s="12"/>
      <c r="AA1373" s="29"/>
      <c r="AB1373" s="12" t="s">
        <v>5503</v>
      </c>
      <c r="AC1373" s="12"/>
      <c r="AD1373" s="12"/>
      <c r="AE1373" s="12"/>
      <c r="AF1373" s="47"/>
      <c r="AG1373" s="47"/>
    </row>
    <row r="1374" customFormat="false" ht="15.75" hidden="false" customHeight="false" outlineLevel="0" collapsed="false">
      <c r="A1374" s="12"/>
      <c r="B1374" s="20"/>
      <c r="C1374" s="48" t="s">
        <v>5504</v>
      </c>
      <c r="D1374" s="24" t="s">
        <v>61</v>
      </c>
      <c r="E1374" s="49" t="s">
        <v>5505</v>
      </c>
      <c r="F1374" s="49" t="s">
        <v>5506</v>
      </c>
      <c r="G1374" s="17"/>
      <c r="H1374" s="17"/>
      <c r="I1374" s="26" t="s">
        <v>166</v>
      </c>
      <c r="J1374" s="32"/>
      <c r="K1374" s="17"/>
      <c r="L1374" s="38"/>
      <c r="M1374" s="50"/>
      <c r="N1374" s="17"/>
      <c r="O1374" s="17"/>
      <c r="P1374" s="40" t="s">
        <v>168</v>
      </c>
      <c r="Q1374" s="12"/>
      <c r="R1374" s="12" t="s">
        <v>5507</v>
      </c>
      <c r="S1374" s="12"/>
      <c r="T1374" s="12" t="s">
        <v>5508</v>
      </c>
      <c r="U1374" s="12"/>
      <c r="V1374" s="21" t="s">
        <v>31</v>
      </c>
      <c r="Z1374" s="12"/>
      <c r="AA1374" s="29"/>
      <c r="AB1374" s="12" t="s">
        <v>5509</v>
      </c>
      <c r="AC1374" s="12"/>
      <c r="AD1374" s="12"/>
      <c r="AE1374" s="12"/>
      <c r="AG1374" s="47"/>
    </row>
    <row r="1375" customFormat="false" ht="15.75" hidden="false" customHeight="false" outlineLevel="0" collapsed="false">
      <c r="A1375" s="12"/>
      <c r="B1375" s="12"/>
      <c r="C1375" s="23" t="s">
        <v>5510</v>
      </c>
      <c r="D1375" s="24"/>
      <c r="E1375" s="25" t="s">
        <v>5511</v>
      </c>
      <c r="F1375" s="17" t="s">
        <v>5512</v>
      </c>
      <c r="G1375" s="17" t="s">
        <v>478</v>
      </c>
      <c r="H1375" s="17"/>
      <c r="I1375" s="26" t="s">
        <v>82</v>
      </c>
      <c r="J1375" s="32"/>
      <c r="K1375" s="17"/>
      <c r="L1375" s="38"/>
      <c r="M1375" s="27"/>
      <c r="N1375" s="17"/>
      <c r="O1375" s="17"/>
      <c r="P1375" s="40" t="s">
        <v>638</v>
      </c>
      <c r="Q1375" s="12"/>
      <c r="R1375" s="12" t="s">
        <v>5513</v>
      </c>
      <c r="S1375" s="12"/>
      <c r="T1375" s="12" t="s">
        <v>5514</v>
      </c>
      <c r="U1375" s="12"/>
      <c r="V1375" s="21" t="s">
        <v>31</v>
      </c>
      <c r="Z1375" s="12"/>
      <c r="AA1375" s="29"/>
      <c r="AB1375" s="12"/>
      <c r="AC1375" s="12"/>
      <c r="AD1375" s="12"/>
      <c r="AE1375" s="12"/>
    </row>
    <row r="1376" customFormat="false" ht="15.75" hidden="false" customHeight="false" outlineLevel="0" collapsed="false">
      <c r="A1376" s="12"/>
      <c r="B1376" s="20"/>
      <c r="C1376" s="48" t="s">
        <v>5515</v>
      </c>
      <c r="D1376" s="24" t="s">
        <v>61</v>
      </c>
      <c r="E1376" s="49" t="s">
        <v>5516</v>
      </c>
      <c r="F1376" s="49" t="s">
        <v>5517</v>
      </c>
      <c r="G1376" s="17"/>
      <c r="H1376" s="17"/>
      <c r="I1376" s="26" t="s">
        <v>166</v>
      </c>
      <c r="J1376" s="32"/>
      <c r="K1376" s="17"/>
      <c r="L1376" s="38"/>
      <c r="M1376" s="50"/>
      <c r="N1376" s="17"/>
      <c r="O1376" s="17"/>
      <c r="P1376" s="40" t="s">
        <v>168</v>
      </c>
      <c r="Q1376" s="12"/>
      <c r="R1376" s="12" t="s">
        <v>5518</v>
      </c>
      <c r="S1376" s="12"/>
      <c r="T1376" s="12" t="s">
        <v>5519</v>
      </c>
      <c r="U1376" s="12" t="s">
        <v>5520</v>
      </c>
      <c r="V1376" s="21" t="s">
        <v>31</v>
      </c>
      <c r="Z1376" s="12"/>
      <c r="AA1376" s="29"/>
      <c r="AB1376" s="12" t="s">
        <v>5521</v>
      </c>
      <c r="AC1376" s="12"/>
      <c r="AD1376" s="12"/>
      <c r="AE1376" s="12"/>
      <c r="AF1376" s="47"/>
      <c r="AG1376" s="47"/>
    </row>
    <row r="1377" customFormat="false" ht="15.75" hidden="false" customHeight="false" outlineLevel="0" collapsed="false">
      <c r="A1377" s="12"/>
      <c r="B1377" s="12"/>
      <c r="C1377" s="23" t="s">
        <v>5522</v>
      </c>
      <c r="D1377" s="24"/>
      <c r="E1377" s="25" t="s">
        <v>5523</v>
      </c>
      <c r="F1377" s="17" t="s">
        <v>5524</v>
      </c>
      <c r="G1377" s="17" t="s">
        <v>637</v>
      </c>
      <c r="H1377" s="17"/>
      <c r="I1377" s="26" t="s">
        <v>82</v>
      </c>
      <c r="J1377" s="32"/>
      <c r="K1377" s="17"/>
      <c r="L1377" s="38"/>
      <c r="M1377" s="27"/>
      <c r="N1377" s="17"/>
      <c r="O1377" s="17"/>
      <c r="P1377" s="40" t="s">
        <v>638</v>
      </c>
      <c r="Q1377" s="12"/>
      <c r="R1377" s="12" t="s">
        <v>5525</v>
      </c>
      <c r="S1377" s="12"/>
      <c r="T1377" s="12" t="s">
        <v>5526</v>
      </c>
      <c r="U1377" s="12"/>
      <c r="V1377" s="21" t="s">
        <v>31</v>
      </c>
      <c r="Z1377" s="12"/>
      <c r="AA1377" s="29"/>
      <c r="AB1377" s="12"/>
      <c r="AC1377" s="12"/>
      <c r="AD1377" s="12"/>
      <c r="AE1377" s="12"/>
    </row>
    <row r="1378" customFormat="false" ht="15.75" hidden="false" customHeight="false" outlineLevel="0" collapsed="false">
      <c r="A1378" s="12"/>
      <c r="B1378" s="13"/>
      <c r="C1378" s="14" t="s">
        <v>5527</v>
      </c>
      <c r="D1378" s="24" t="s">
        <v>61</v>
      </c>
      <c r="E1378" s="16" t="s">
        <v>5528</v>
      </c>
      <c r="F1378" s="16" t="s">
        <v>5529</v>
      </c>
      <c r="G1378" s="17"/>
      <c r="H1378" s="17"/>
      <c r="I1378" s="26" t="s">
        <v>166</v>
      </c>
      <c r="J1378" s="32"/>
      <c r="K1378" s="17"/>
      <c r="L1378" s="38"/>
      <c r="M1378" s="46"/>
      <c r="N1378" s="17"/>
      <c r="O1378" s="17"/>
      <c r="P1378" s="40" t="s">
        <v>168</v>
      </c>
      <c r="Q1378" s="12"/>
      <c r="R1378" s="12"/>
      <c r="S1378" s="12"/>
      <c r="T1378" s="12" t="s">
        <v>5530</v>
      </c>
      <c r="U1378" s="12" t="s">
        <v>5531</v>
      </c>
      <c r="V1378" s="21" t="s">
        <v>31</v>
      </c>
      <c r="Z1378" s="12"/>
      <c r="AA1378" s="29"/>
      <c r="AB1378" s="12" t="s">
        <v>5532</v>
      </c>
      <c r="AC1378" s="12"/>
      <c r="AD1378" s="12"/>
      <c r="AE1378" s="12"/>
      <c r="AF1378" s="47"/>
      <c r="AG1378" s="47"/>
    </row>
    <row r="1379" customFormat="false" ht="15.75" hidden="false" customHeight="false" outlineLevel="0" collapsed="false">
      <c r="A1379" s="12"/>
      <c r="B1379" s="13"/>
      <c r="C1379" s="14" t="s">
        <v>5533</v>
      </c>
      <c r="D1379" s="24" t="s">
        <v>667</v>
      </c>
      <c r="E1379" s="16" t="s">
        <v>5534</v>
      </c>
      <c r="F1379" s="16" t="s">
        <v>5535</v>
      </c>
      <c r="G1379" s="17"/>
      <c r="H1379" s="17"/>
      <c r="I1379" s="26" t="s">
        <v>166</v>
      </c>
      <c r="J1379" s="32"/>
      <c r="K1379" s="17"/>
      <c r="L1379" s="38"/>
      <c r="M1379" s="46"/>
      <c r="N1379" s="17"/>
      <c r="O1379" s="17"/>
      <c r="P1379" s="40" t="s">
        <v>168</v>
      </c>
      <c r="Q1379" s="12"/>
      <c r="R1379" s="12"/>
      <c r="S1379" s="12"/>
      <c r="T1379" s="12" t="s">
        <v>5536</v>
      </c>
      <c r="U1379" s="12"/>
      <c r="V1379" s="21" t="s">
        <v>31</v>
      </c>
      <c r="Z1379" s="12"/>
      <c r="AA1379" s="29" t="n">
        <v>1</v>
      </c>
      <c r="AB1379" s="12" t="s">
        <v>5537</v>
      </c>
      <c r="AC1379" s="12"/>
      <c r="AD1379" s="12"/>
      <c r="AE1379" s="12"/>
      <c r="AF1379" s="47"/>
      <c r="AG1379" s="47"/>
    </row>
    <row r="1380" customFormat="false" ht="15.75" hidden="false" customHeight="false" outlineLevel="0" collapsed="false">
      <c r="A1380" s="12"/>
      <c r="B1380" s="13"/>
      <c r="C1380" s="14" t="s">
        <v>5538</v>
      </c>
      <c r="D1380" s="24" t="s">
        <v>51</v>
      </c>
      <c r="E1380" s="16" t="s">
        <v>5539</v>
      </c>
      <c r="F1380" s="16" t="s">
        <v>5540</v>
      </c>
      <c r="G1380" s="17"/>
      <c r="H1380" s="17"/>
      <c r="I1380" s="26" t="s">
        <v>166</v>
      </c>
      <c r="J1380" s="32"/>
      <c r="K1380" s="17"/>
      <c r="L1380" s="38"/>
      <c r="M1380" s="16"/>
      <c r="N1380" s="17"/>
      <c r="O1380" s="17"/>
      <c r="P1380" s="40" t="s">
        <v>168</v>
      </c>
      <c r="Q1380" s="12"/>
      <c r="R1380" s="12" t="s">
        <v>5541</v>
      </c>
      <c r="S1380" s="12"/>
      <c r="T1380" s="12" t="s">
        <v>5542</v>
      </c>
      <c r="U1380" s="12"/>
      <c r="V1380" s="21" t="s">
        <v>31</v>
      </c>
      <c r="Z1380" s="12"/>
      <c r="AA1380" s="29"/>
      <c r="AB1380" s="12" t="s">
        <v>5543</v>
      </c>
      <c r="AC1380" s="12"/>
      <c r="AD1380" s="12"/>
      <c r="AE1380" s="12"/>
      <c r="AG1380" s="47"/>
    </row>
    <row r="1381" customFormat="false" ht="15.75" hidden="false" customHeight="false" outlineLevel="0" collapsed="false">
      <c r="A1381" s="12"/>
      <c r="B1381" s="20"/>
      <c r="C1381" s="48" t="s">
        <v>5544</v>
      </c>
      <c r="D1381" s="24" t="s">
        <v>61</v>
      </c>
      <c r="E1381" s="49" t="s">
        <v>5545</v>
      </c>
      <c r="F1381" s="49" t="s">
        <v>5546</v>
      </c>
      <c r="G1381" s="17"/>
      <c r="H1381" s="17"/>
      <c r="I1381" s="26" t="s">
        <v>166</v>
      </c>
      <c r="J1381" s="32"/>
      <c r="K1381" s="17"/>
      <c r="L1381" s="38"/>
      <c r="M1381" s="50"/>
      <c r="N1381" s="17"/>
      <c r="O1381" s="17"/>
      <c r="P1381" s="40" t="s">
        <v>168</v>
      </c>
      <c r="Q1381" s="12"/>
      <c r="R1381" s="12" t="s">
        <v>5547</v>
      </c>
      <c r="S1381" s="12"/>
      <c r="T1381" s="12" t="s">
        <v>5548</v>
      </c>
      <c r="U1381" s="12" t="s">
        <v>5549</v>
      </c>
      <c r="V1381" s="21" t="s">
        <v>31</v>
      </c>
      <c r="Z1381" s="12"/>
      <c r="AA1381" s="29"/>
      <c r="AB1381" s="12" t="s">
        <v>5550</v>
      </c>
      <c r="AC1381" s="12"/>
      <c r="AD1381" s="12"/>
      <c r="AE1381" s="12"/>
      <c r="AG1381" s="47"/>
    </row>
    <row r="1382" customFormat="false" ht="15.75" hidden="false" customHeight="false" outlineLevel="0" collapsed="false">
      <c r="A1382" s="12" t="s">
        <v>31</v>
      </c>
      <c r="B1382" s="12" t="s">
        <v>32</v>
      </c>
      <c r="C1382" s="23" t="s">
        <v>5551</v>
      </c>
      <c r="D1382" s="24" t="s">
        <v>620</v>
      </c>
      <c r="E1382" s="25" t="s">
        <v>5552</v>
      </c>
      <c r="F1382" s="17" t="s">
        <v>5553</v>
      </c>
      <c r="G1382" s="17" t="s">
        <v>145</v>
      </c>
      <c r="H1382" s="17" t="s">
        <v>146</v>
      </c>
      <c r="I1382" s="17" t="s">
        <v>36</v>
      </c>
      <c r="J1382" s="17"/>
      <c r="K1382" s="17"/>
      <c r="L1382" s="38"/>
      <c r="M1382" s="27" t="s">
        <v>147</v>
      </c>
      <c r="N1382" s="17" t="s">
        <v>5554</v>
      </c>
      <c r="O1382" s="47" t="s">
        <v>5555</v>
      </c>
      <c r="P1382" s="28" t="s">
        <v>59</v>
      </c>
      <c r="Q1382" s="12"/>
      <c r="R1382" s="12"/>
      <c r="S1382" s="12"/>
      <c r="T1382" s="12"/>
      <c r="U1382" s="12"/>
      <c r="V1382" s="21"/>
      <c r="Z1382" s="12"/>
      <c r="AA1382" s="29" t="n">
        <v>5</v>
      </c>
      <c r="AB1382" s="12"/>
      <c r="AC1382" s="12"/>
      <c r="AD1382" s="12"/>
      <c r="AE1382" s="12"/>
    </row>
    <row r="1383" customFormat="false" ht="15.75" hidden="false" customHeight="false" outlineLevel="0" collapsed="false">
      <c r="A1383" s="12"/>
      <c r="B1383" s="13"/>
      <c r="C1383" s="14" t="s">
        <v>5556</v>
      </c>
      <c r="D1383" s="24" t="s">
        <v>61</v>
      </c>
      <c r="E1383" s="16" t="s">
        <v>5557</v>
      </c>
      <c r="F1383" s="16" t="s">
        <v>5558</v>
      </c>
      <c r="G1383" s="17"/>
      <c r="H1383" s="17"/>
      <c r="I1383" s="26" t="s">
        <v>166</v>
      </c>
      <c r="J1383" s="32"/>
      <c r="K1383" s="17"/>
      <c r="L1383" s="38"/>
      <c r="M1383" s="78"/>
      <c r="N1383" s="17"/>
      <c r="O1383" s="17"/>
      <c r="P1383" s="40" t="s">
        <v>168</v>
      </c>
      <c r="Q1383" s="12"/>
      <c r="R1383" s="12"/>
      <c r="S1383" s="12"/>
      <c r="T1383" s="12" t="s">
        <v>5559</v>
      </c>
      <c r="U1383" s="12" t="s">
        <v>5560</v>
      </c>
      <c r="V1383" s="21" t="s">
        <v>31</v>
      </c>
      <c r="Z1383" s="12"/>
      <c r="AA1383" s="29"/>
      <c r="AB1383" s="12" t="s">
        <v>5561</v>
      </c>
      <c r="AC1383" s="12"/>
      <c r="AD1383" s="12"/>
      <c r="AE1383" s="12"/>
      <c r="AF1383" s="47"/>
      <c r="AG1383" s="47"/>
    </row>
    <row r="1384" customFormat="false" ht="15.75" hidden="false" customHeight="false" outlineLevel="0" collapsed="false">
      <c r="A1384" s="12"/>
      <c r="B1384" s="12"/>
      <c r="C1384" s="23" t="s">
        <v>5562</v>
      </c>
      <c r="D1384" s="24"/>
      <c r="E1384" s="25" t="s">
        <v>5563</v>
      </c>
      <c r="F1384" s="17" t="s">
        <v>5564</v>
      </c>
      <c r="G1384" s="17" t="s">
        <v>2629</v>
      </c>
      <c r="H1384" s="17"/>
      <c r="I1384" s="26" t="s">
        <v>82</v>
      </c>
      <c r="J1384" s="32"/>
      <c r="K1384" s="17"/>
      <c r="L1384" s="38"/>
      <c r="M1384" s="27"/>
      <c r="N1384" s="17"/>
      <c r="O1384" s="17"/>
      <c r="P1384" s="40" t="s">
        <v>638</v>
      </c>
      <c r="Q1384" s="20"/>
      <c r="R1384" s="20" t="s">
        <v>5565</v>
      </c>
      <c r="S1384" s="20"/>
      <c r="T1384" s="20" t="s">
        <v>5566</v>
      </c>
      <c r="U1384" s="20"/>
      <c r="V1384" s="21" t="s">
        <v>31</v>
      </c>
      <c r="Z1384" s="20"/>
      <c r="AA1384" s="22"/>
      <c r="AB1384" s="20"/>
      <c r="AC1384" s="20"/>
      <c r="AD1384" s="20"/>
      <c r="AE1384" s="20"/>
    </row>
    <row r="1385" customFormat="false" ht="15.75" hidden="false" customHeight="false" outlineLevel="0" collapsed="false">
      <c r="A1385" s="12"/>
      <c r="B1385" s="20"/>
      <c r="C1385" s="48" t="s">
        <v>5567</v>
      </c>
      <c r="D1385" s="24" t="s">
        <v>61</v>
      </c>
      <c r="E1385" s="49" t="s">
        <v>5568</v>
      </c>
      <c r="F1385" s="49" t="s">
        <v>5569</v>
      </c>
      <c r="G1385" s="17"/>
      <c r="H1385" s="17"/>
      <c r="I1385" s="26" t="s">
        <v>166</v>
      </c>
      <c r="J1385" s="32"/>
      <c r="K1385" s="17"/>
      <c r="L1385" s="38"/>
      <c r="M1385" s="50"/>
      <c r="N1385" s="17"/>
      <c r="O1385" s="17"/>
      <c r="P1385" s="40" t="s">
        <v>168</v>
      </c>
      <c r="Q1385" s="12"/>
      <c r="R1385" s="12" t="s">
        <v>5570</v>
      </c>
      <c r="S1385" s="12"/>
      <c r="T1385" s="12" t="s">
        <v>5571</v>
      </c>
      <c r="U1385" s="12"/>
      <c r="V1385" s="21" t="s">
        <v>31</v>
      </c>
      <c r="Z1385" s="12"/>
      <c r="AA1385" s="29"/>
      <c r="AB1385" s="12" t="s">
        <v>5572</v>
      </c>
      <c r="AC1385" s="12"/>
      <c r="AD1385" s="12"/>
      <c r="AE1385" s="12"/>
      <c r="AF1385" s="47"/>
      <c r="AG1385" s="47"/>
    </row>
    <row r="1386" customFormat="false" ht="15.75" hidden="false" customHeight="false" outlineLevel="0" collapsed="false">
      <c r="A1386" s="12"/>
      <c r="B1386" s="20"/>
      <c r="C1386" s="48" t="s">
        <v>5573</v>
      </c>
      <c r="D1386" s="24" t="s">
        <v>61</v>
      </c>
      <c r="E1386" s="49" t="s">
        <v>5574</v>
      </c>
      <c r="F1386" s="49" t="s">
        <v>5575</v>
      </c>
      <c r="G1386" s="17"/>
      <c r="H1386" s="17"/>
      <c r="I1386" s="26" t="s">
        <v>166</v>
      </c>
      <c r="J1386" s="32"/>
      <c r="K1386" s="17"/>
      <c r="L1386" s="38"/>
      <c r="M1386" s="50"/>
      <c r="N1386" s="17"/>
      <c r="O1386" s="17"/>
      <c r="P1386" s="40" t="s">
        <v>168</v>
      </c>
      <c r="Q1386" s="12"/>
      <c r="R1386" s="12" t="s">
        <v>5576</v>
      </c>
      <c r="S1386" s="12"/>
      <c r="T1386" s="12" t="s">
        <v>5577</v>
      </c>
      <c r="U1386" s="12" t="s">
        <v>5578</v>
      </c>
      <c r="V1386" s="21" t="s">
        <v>31</v>
      </c>
      <c r="Z1386" s="12"/>
      <c r="AA1386" s="29"/>
      <c r="AB1386" s="12" t="s">
        <v>5579</v>
      </c>
      <c r="AC1386" s="12"/>
      <c r="AD1386" s="12"/>
      <c r="AE1386" s="12"/>
      <c r="AG1386" s="47"/>
    </row>
    <row r="1387" customFormat="false" ht="15.75" hidden="false" customHeight="false" outlineLevel="0" collapsed="false">
      <c r="A1387" s="12"/>
      <c r="B1387" s="12"/>
      <c r="C1387" s="23" t="s">
        <v>5580</v>
      </c>
      <c r="D1387" s="24"/>
      <c r="E1387" s="25" t="s">
        <v>5581</v>
      </c>
      <c r="F1387" s="17" t="s">
        <v>5582</v>
      </c>
      <c r="G1387" s="17" t="s">
        <v>5583</v>
      </c>
      <c r="H1387" s="17"/>
      <c r="I1387" s="26" t="s">
        <v>82</v>
      </c>
      <c r="J1387" s="32"/>
      <c r="K1387" s="17"/>
      <c r="L1387" s="38"/>
      <c r="M1387" s="27"/>
      <c r="N1387" s="17"/>
      <c r="O1387" s="17"/>
      <c r="P1387" s="40" t="s">
        <v>638</v>
      </c>
      <c r="Q1387" s="47"/>
      <c r="R1387" s="47" t="s">
        <v>5584</v>
      </c>
      <c r="S1387" s="47"/>
      <c r="T1387" s="47" t="s">
        <v>5585</v>
      </c>
      <c r="V1387" s="21" t="s">
        <v>31</v>
      </c>
      <c r="AA1387" s="63"/>
    </row>
    <row r="1388" customFormat="false" ht="15.75" hidden="false" customHeight="false" outlineLevel="0" collapsed="false">
      <c r="A1388" s="12"/>
      <c r="B1388" s="20"/>
      <c r="C1388" s="48" t="s">
        <v>345</v>
      </c>
      <c r="D1388" s="24" t="s">
        <v>61</v>
      </c>
      <c r="E1388" s="49" t="s">
        <v>5586</v>
      </c>
      <c r="F1388" s="49" t="s">
        <v>5587</v>
      </c>
      <c r="G1388" s="17"/>
      <c r="H1388" s="17"/>
      <c r="I1388" s="26" t="s">
        <v>166</v>
      </c>
      <c r="J1388" s="32"/>
      <c r="K1388" s="17"/>
      <c r="L1388" s="38"/>
      <c r="M1388" s="50"/>
      <c r="N1388" s="17"/>
      <c r="O1388" s="17"/>
      <c r="P1388" s="40" t="s">
        <v>168</v>
      </c>
      <c r="Q1388" s="12"/>
      <c r="R1388" s="12" t="s">
        <v>5588</v>
      </c>
      <c r="S1388" s="12"/>
      <c r="T1388" s="12" t="s">
        <v>5589</v>
      </c>
      <c r="U1388" s="12" t="s">
        <v>5590</v>
      </c>
      <c r="V1388" s="21" t="s">
        <v>31</v>
      </c>
      <c r="Z1388" s="12"/>
      <c r="AA1388" s="29"/>
      <c r="AB1388" s="12" t="s">
        <v>5591</v>
      </c>
      <c r="AC1388" s="12"/>
      <c r="AD1388" s="12"/>
      <c r="AE1388" s="12"/>
      <c r="AF1388" s="47"/>
      <c r="AG1388" s="47"/>
    </row>
    <row r="1389" customFormat="false" ht="15.75" hidden="false" customHeight="false" outlineLevel="0" collapsed="false">
      <c r="A1389" s="12"/>
      <c r="B1389" s="12"/>
      <c r="C1389" s="23" t="s">
        <v>3369</v>
      </c>
      <c r="D1389" s="24"/>
      <c r="E1389" s="25" t="s">
        <v>3370</v>
      </c>
      <c r="F1389" s="17" t="s">
        <v>5592</v>
      </c>
      <c r="G1389" s="17" t="s">
        <v>2637</v>
      </c>
      <c r="H1389" s="17"/>
      <c r="I1389" s="26" t="s">
        <v>82</v>
      </c>
      <c r="J1389" s="32"/>
      <c r="K1389" s="17"/>
      <c r="L1389" s="38"/>
      <c r="M1389" s="27"/>
      <c r="N1389" s="17"/>
      <c r="O1389" s="17"/>
      <c r="P1389" s="40" t="s">
        <v>638</v>
      </c>
      <c r="Q1389" s="12"/>
      <c r="R1389" s="12" t="s">
        <v>5593</v>
      </c>
      <c r="S1389" s="12"/>
      <c r="T1389" s="12" t="s">
        <v>5594</v>
      </c>
      <c r="U1389" s="12"/>
      <c r="V1389" s="21" t="s">
        <v>31</v>
      </c>
      <c r="Z1389" s="12"/>
      <c r="AA1389" s="29"/>
      <c r="AB1389" s="12"/>
      <c r="AC1389" s="12"/>
      <c r="AD1389" s="12"/>
      <c r="AE1389" s="12"/>
    </row>
    <row r="1390" customFormat="false" ht="15.75" hidden="false" customHeight="false" outlineLevel="0" collapsed="false">
      <c r="A1390" s="12"/>
      <c r="B1390" s="20"/>
      <c r="C1390" s="48" t="s">
        <v>5595</v>
      </c>
      <c r="D1390" s="24" t="s">
        <v>51</v>
      </c>
      <c r="E1390" s="49" t="s">
        <v>5596</v>
      </c>
      <c r="F1390" s="49" t="s">
        <v>5597</v>
      </c>
      <c r="G1390" s="17"/>
      <c r="H1390" s="17"/>
      <c r="I1390" s="26" t="s">
        <v>166</v>
      </c>
      <c r="J1390" s="32"/>
      <c r="K1390" s="17"/>
      <c r="L1390" s="38"/>
      <c r="M1390" s="46"/>
      <c r="N1390" s="17"/>
      <c r="O1390" s="17"/>
      <c r="P1390" s="40" t="s">
        <v>168</v>
      </c>
      <c r="Q1390" s="12"/>
      <c r="R1390" s="12" t="s">
        <v>5598</v>
      </c>
      <c r="S1390" s="12"/>
      <c r="T1390" s="12" t="s">
        <v>5599</v>
      </c>
      <c r="U1390" s="12"/>
      <c r="V1390" s="21" t="s">
        <v>31</v>
      </c>
      <c r="Z1390" s="12"/>
      <c r="AA1390" s="29"/>
      <c r="AB1390" s="12" t="s">
        <v>5600</v>
      </c>
      <c r="AC1390" s="12"/>
      <c r="AD1390" s="12"/>
      <c r="AE1390" s="12"/>
      <c r="AF1390" s="47"/>
      <c r="AG1390" s="47"/>
    </row>
    <row r="1391" customFormat="false" ht="15.75" hidden="false" customHeight="false" outlineLevel="0" collapsed="false">
      <c r="A1391" s="12"/>
      <c r="B1391" s="12"/>
      <c r="C1391" s="23" t="s">
        <v>2584</v>
      </c>
      <c r="D1391" s="24"/>
      <c r="E1391" s="25" t="s">
        <v>2585</v>
      </c>
      <c r="F1391" s="17" t="s">
        <v>5601</v>
      </c>
      <c r="G1391" s="17" t="s">
        <v>1100</v>
      </c>
      <c r="H1391" s="17"/>
      <c r="I1391" s="26" t="s">
        <v>82</v>
      </c>
      <c r="J1391" s="32"/>
      <c r="K1391" s="17"/>
      <c r="L1391" s="38"/>
      <c r="M1391" s="27"/>
      <c r="N1391" s="17"/>
      <c r="O1391" s="17"/>
      <c r="P1391" s="40" t="s">
        <v>638</v>
      </c>
      <c r="Q1391" s="17"/>
      <c r="R1391" s="17" t="s">
        <v>5602</v>
      </c>
      <c r="S1391" s="17"/>
      <c r="T1391" s="17" t="s">
        <v>5603</v>
      </c>
      <c r="U1391" s="17"/>
      <c r="V1391" s="21" t="s">
        <v>31</v>
      </c>
      <c r="Z1391" s="17"/>
      <c r="AA1391" s="29"/>
      <c r="AB1391" s="17"/>
      <c r="AC1391" s="17"/>
      <c r="AD1391" s="17"/>
      <c r="AE1391" s="17"/>
    </row>
    <row r="1392" customFormat="false" ht="15.75" hidden="false" customHeight="false" outlineLevel="0" collapsed="false">
      <c r="A1392" s="12"/>
      <c r="B1392" s="20"/>
      <c r="C1392" s="48" t="s">
        <v>5604</v>
      </c>
      <c r="D1392" s="24" t="s">
        <v>61</v>
      </c>
      <c r="E1392" s="49" t="s">
        <v>5605</v>
      </c>
      <c r="F1392" s="49" t="s">
        <v>5606</v>
      </c>
      <c r="G1392" s="17"/>
      <c r="H1392" s="17"/>
      <c r="I1392" s="26" t="s">
        <v>166</v>
      </c>
      <c r="J1392" s="32"/>
      <c r="K1392" s="17"/>
      <c r="L1392" s="38"/>
      <c r="M1392" s="50"/>
      <c r="N1392" s="17"/>
      <c r="O1392" s="17"/>
      <c r="P1392" s="40" t="s">
        <v>168</v>
      </c>
      <c r="Q1392" s="12"/>
      <c r="R1392" s="12"/>
      <c r="S1392" s="12"/>
      <c r="T1392" s="12" t="s">
        <v>5607</v>
      </c>
      <c r="U1392" s="12"/>
      <c r="V1392" s="21" t="s">
        <v>31</v>
      </c>
      <c r="Z1392" s="12"/>
      <c r="AA1392" s="29"/>
      <c r="AB1392" s="12" t="s">
        <v>5608</v>
      </c>
      <c r="AC1392" s="12"/>
      <c r="AD1392" s="12"/>
      <c r="AE1392" s="12"/>
      <c r="AF1392" s="47"/>
      <c r="AG1392" s="47"/>
    </row>
    <row r="1393" customFormat="false" ht="15.75" hidden="false" customHeight="false" outlineLevel="0" collapsed="false">
      <c r="A1393" s="12" t="s">
        <v>31</v>
      </c>
      <c r="B1393" s="20"/>
      <c r="C1393" s="48" t="s">
        <v>5609</v>
      </c>
      <c r="D1393" s="24" t="s">
        <v>5610</v>
      </c>
      <c r="E1393" s="49" t="s">
        <v>5611</v>
      </c>
      <c r="F1393" s="49" t="s">
        <v>5612</v>
      </c>
      <c r="G1393" s="17"/>
      <c r="H1393" s="17"/>
      <c r="I1393" s="26" t="s">
        <v>166</v>
      </c>
      <c r="J1393" s="32"/>
      <c r="K1393" s="17"/>
      <c r="L1393" s="38"/>
      <c r="M1393" s="50"/>
      <c r="N1393" s="17"/>
      <c r="O1393" s="17"/>
      <c r="P1393" s="40" t="s">
        <v>168</v>
      </c>
      <c r="Q1393" s="12"/>
      <c r="R1393" s="12" t="s">
        <v>5613</v>
      </c>
      <c r="S1393" s="12"/>
      <c r="T1393" s="12" t="s">
        <v>5614</v>
      </c>
      <c r="U1393" s="12" t="s">
        <v>5615</v>
      </c>
      <c r="V1393" s="21" t="s">
        <v>31</v>
      </c>
      <c r="Z1393" s="12"/>
      <c r="AA1393" s="29" t="n">
        <v>4</v>
      </c>
      <c r="AB1393" s="12" t="s">
        <v>5616</v>
      </c>
      <c r="AC1393" s="12"/>
      <c r="AD1393" s="12"/>
      <c r="AE1393" s="12"/>
      <c r="AF1393" s="47"/>
      <c r="AG1393" s="47"/>
    </row>
    <row r="1394" customFormat="false" ht="15.75" hidden="false" customHeight="false" outlineLevel="0" collapsed="false">
      <c r="A1394" s="12"/>
      <c r="B1394" s="12"/>
      <c r="C1394" s="23" t="s">
        <v>200</v>
      </c>
      <c r="D1394" s="24"/>
      <c r="E1394" s="25" t="s">
        <v>201</v>
      </c>
      <c r="F1394" s="17" t="s">
        <v>5617</v>
      </c>
      <c r="G1394" s="17" t="s">
        <v>478</v>
      </c>
      <c r="H1394" s="17"/>
      <c r="I1394" s="26" t="s">
        <v>82</v>
      </c>
      <c r="J1394" s="32"/>
      <c r="K1394" s="17"/>
      <c r="L1394" s="38"/>
      <c r="M1394" s="27"/>
      <c r="N1394" s="17"/>
      <c r="O1394" s="17"/>
      <c r="P1394" s="40" t="s">
        <v>638</v>
      </c>
      <c r="Q1394" s="20"/>
      <c r="R1394" s="20" t="s">
        <v>5618</v>
      </c>
      <c r="S1394" s="20"/>
      <c r="T1394" s="20" t="s">
        <v>5619</v>
      </c>
      <c r="U1394" s="20"/>
      <c r="V1394" s="21" t="s">
        <v>31</v>
      </c>
      <c r="Z1394" s="20"/>
      <c r="AA1394" s="22"/>
      <c r="AB1394" s="20"/>
      <c r="AC1394" s="20"/>
      <c r="AD1394" s="20"/>
      <c r="AE1394" s="20"/>
    </row>
    <row r="1395" customFormat="false" ht="15.75" hidden="false" customHeight="false" outlineLevel="0" collapsed="false">
      <c r="A1395" s="12"/>
      <c r="B1395" s="12"/>
      <c r="C1395" s="23" t="s">
        <v>3885</v>
      </c>
      <c r="D1395" s="24"/>
      <c r="E1395" s="25" t="s">
        <v>3886</v>
      </c>
      <c r="F1395" s="17" t="s">
        <v>5620</v>
      </c>
      <c r="G1395" s="17" t="s">
        <v>2629</v>
      </c>
      <c r="H1395" s="17"/>
      <c r="I1395" s="26" t="s">
        <v>82</v>
      </c>
      <c r="J1395" s="32"/>
      <c r="K1395" s="17"/>
      <c r="L1395" s="38"/>
      <c r="M1395" s="27"/>
      <c r="N1395" s="17"/>
      <c r="O1395" s="17"/>
      <c r="P1395" s="40" t="s">
        <v>638</v>
      </c>
      <c r="Q1395" s="12"/>
      <c r="R1395" s="12" t="s">
        <v>5621</v>
      </c>
      <c r="S1395" s="12"/>
      <c r="T1395" s="12" t="s">
        <v>5622</v>
      </c>
      <c r="U1395" s="12"/>
      <c r="V1395" s="21" t="s">
        <v>31</v>
      </c>
      <c r="Z1395" s="12"/>
      <c r="AA1395" s="29"/>
      <c r="AB1395" s="12"/>
      <c r="AC1395" s="12"/>
      <c r="AD1395" s="12"/>
      <c r="AE1395" s="12"/>
    </row>
    <row r="1396" customFormat="false" ht="15.75" hidden="false" customHeight="false" outlineLevel="0" collapsed="false">
      <c r="A1396" s="12"/>
      <c r="B1396" s="20"/>
      <c r="C1396" s="48" t="s">
        <v>5623</v>
      </c>
      <c r="D1396" s="24" t="s">
        <v>61</v>
      </c>
      <c r="E1396" s="49" t="s">
        <v>5624</v>
      </c>
      <c r="F1396" s="49" t="s">
        <v>5625</v>
      </c>
      <c r="G1396" s="17"/>
      <c r="H1396" s="17"/>
      <c r="I1396" s="26" t="s">
        <v>166</v>
      </c>
      <c r="J1396" s="32"/>
      <c r="K1396" s="17"/>
      <c r="L1396" s="38"/>
      <c r="M1396" s="46"/>
      <c r="N1396" s="17"/>
      <c r="O1396" s="17"/>
      <c r="P1396" s="40" t="s">
        <v>168</v>
      </c>
      <c r="Q1396" s="12"/>
      <c r="R1396" s="12" t="s">
        <v>5626</v>
      </c>
      <c r="S1396" s="12"/>
      <c r="T1396" s="12" t="s">
        <v>5627</v>
      </c>
      <c r="U1396" s="12" t="s">
        <v>5628</v>
      </c>
      <c r="V1396" s="21" t="s">
        <v>31</v>
      </c>
      <c r="Z1396" s="12"/>
      <c r="AA1396" s="29"/>
      <c r="AB1396" s="12" t="s">
        <v>5629</v>
      </c>
      <c r="AC1396" s="12"/>
      <c r="AD1396" s="12"/>
      <c r="AE1396" s="12"/>
      <c r="AG1396" s="47"/>
    </row>
    <row r="1397" customFormat="false" ht="15.75" hidden="false" customHeight="false" outlineLevel="0" collapsed="false">
      <c r="A1397" s="12"/>
      <c r="B1397" s="20"/>
      <c r="C1397" s="48" t="s">
        <v>5630</v>
      </c>
      <c r="D1397" s="24" t="s">
        <v>61</v>
      </c>
      <c r="E1397" s="49" t="s">
        <v>5631</v>
      </c>
      <c r="F1397" s="49" t="s">
        <v>5632</v>
      </c>
      <c r="G1397" s="17"/>
      <c r="H1397" s="17"/>
      <c r="I1397" s="26" t="s">
        <v>166</v>
      </c>
      <c r="J1397" s="32"/>
      <c r="K1397" s="17"/>
      <c r="L1397" s="38"/>
      <c r="M1397" s="50"/>
      <c r="N1397" s="17"/>
      <c r="O1397" s="17"/>
      <c r="P1397" s="40" t="s">
        <v>168</v>
      </c>
      <c r="Q1397" s="12"/>
      <c r="R1397" s="12" t="s">
        <v>5633</v>
      </c>
      <c r="S1397" s="12"/>
      <c r="T1397" s="12" t="s">
        <v>5634</v>
      </c>
      <c r="U1397" s="12" t="s">
        <v>5635</v>
      </c>
      <c r="V1397" s="21" t="s">
        <v>31</v>
      </c>
      <c r="Z1397" s="12"/>
      <c r="AA1397" s="29"/>
      <c r="AB1397" s="12" t="s">
        <v>5636</v>
      </c>
      <c r="AC1397" s="12"/>
      <c r="AD1397" s="12"/>
      <c r="AE1397" s="12"/>
      <c r="AF1397" s="47"/>
      <c r="AG1397" s="47"/>
    </row>
    <row r="1398" customFormat="false" ht="15.75" hidden="false" customHeight="false" outlineLevel="0" collapsed="false">
      <c r="A1398" s="12"/>
      <c r="B1398" s="12"/>
      <c r="C1398" s="23" t="s">
        <v>3887</v>
      </c>
      <c r="D1398" s="24"/>
      <c r="E1398" s="25" t="s">
        <v>3888</v>
      </c>
      <c r="F1398" s="17" t="s">
        <v>5637</v>
      </c>
      <c r="G1398" s="17" t="s">
        <v>2629</v>
      </c>
      <c r="H1398" s="17"/>
      <c r="I1398" s="26" t="s">
        <v>82</v>
      </c>
      <c r="J1398" s="32"/>
      <c r="K1398" s="17"/>
      <c r="L1398" s="38"/>
      <c r="M1398" s="27"/>
      <c r="N1398" s="17"/>
      <c r="O1398" s="17"/>
      <c r="P1398" s="40" t="s">
        <v>638</v>
      </c>
      <c r="Q1398" s="20"/>
      <c r="R1398" s="20" t="s">
        <v>5638</v>
      </c>
      <c r="S1398" s="20"/>
      <c r="T1398" s="20" t="s">
        <v>5639</v>
      </c>
      <c r="U1398" s="20"/>
      <c r="V1398" s="21" t="s">
        <v>31</v>
      </c>
      <c r="Z1398" s="20"/>
      <c r="AA1398" s="22"/>
      <c r="AB1398" s="20"/>
      <c r="AC1398" s="20"/>
      <c r="AD1398" s="20"/>
      <c r="AE1398" s="20"/>
    </row>
    <row r="1399" customFormat="false" ht="15.75" hidden="false" customHeight="false" outlineLevel="0" collapsed="false">
      <c r="A1399" s="12"/>
      <c r="B1399" s="20"/>
      <c r="C1399" s="48" t="s">
        <v>5640</v>
      </c>
      <c r="D1399" s="24" t="s">
        <v>61</v>
      </c>
      <c r="E1399" s="49" t="s">
        <v>5641</v>
      </c>
      <c r="F1399" s="49" t="s">
        <v>5642</v>
      </c>
      <c r="G1399" s="17"/>
      <c r="H1399" s="17"/>
      <c r="I1399" s="26" t="s">
        <v>166</v>
      </c>
      <c r="J1399" s="32"/>
      <c r="K1399" s="17"/>
      <c r="L1399" s="38"/>
      <c r="M1399" s="50"/>
      <c r="N1399" s="17"/>
      <c r="O1399" s="17"/>
      <c r="P1399" s="40" t="s">
        <v>168</v>
      </c>
      <c r="Q1399" s="12"/>
      <c r="R1399" s="12" t="s">
        <v>5643</v>
      </c>
      <c r="S1399" s="12"/>
      <c r="T1399" s="12" t="s">
        <v>5644</v>
      </c>
      <c r="U1399" s="12" t="s">
        <v>5645</v>
      </c>
      <c r="V1399" s="21" t="s">
        <v>31</v>
      </c>
      <c r="Z1399" s="12"/>
      <c r="AA1399" s="29"/>
      <c r="AB1399" s="12" t="s">
        <v>5646</v>
      </c>
      <c r="AC1399" s="12"/>
      <c r="AD1399" s="12"/>
      <c r="AE1399" s="12"/>
      <c r="AF1399" s="47"/>
      <c r="AG1399" s="47"/>
    </row>
    <row r="1400" customFormat="false" ht="15.75" hidden="false" customHeight="false" outlineLevel="0" collapsed="false">
      <c r="A1400" s="12" t="s">
        <v>193</v>
      </c>
      <c r="B1400" s="20"/>
      <c r="C1400" s="48" t="s">
        <v>5647</v>
      </c>
      <c r="D1400" s="24" t="s">
        <v>195</v>
      </c>
      <c r="E1400" s="16" t="s">
        <v>5648</v>
      </c>
      <c r="F1400" s="49" t="s">
        <v>5649</v>
      </c>
      <c r="G1400" s="17"/>
      <c r="H1400" s="17"/>
      <c r="I1400" s="26" t="s">
        <v>166</v>
      </c>
      <c r="J1400" s="32"/>
      <c r="K1400" s="17"/>
      <c r="L1400" s="38"/>
      <c r="M1400" s="50"/>
      <c r="N1400" s="17"/>
      <c r="O1400" s="17"/>
      <c r="P1400" s="40" t="s">
        <v>168</v>
      </c>
      <c r="Q1400" s="12"/>
      <c r="R1400" s="12" t="s">
        <v>5650</v>
      </c>
      <c r="S1400" s="12"/>
      <c r="T1400" s="12" t="s">
        <v>5651</v>
      </c>
      <c r="U1400" s="12" t="s">
        <v>5652</v>
      </c>
      <c r="V1400" s="21" t="s">
        <v>31</v>
      </c>
      <c r="Z1400" s="12"/>
      <c r="AA1400" s="29"/>
      <c r="AB1400" s="12" t="s">
        <v>5653</v>
      </c>
      <c r="AC1400" s="12"/>
      <c r="AD1400" s="12"/>
      <c r="AE1400" s="12"/>
      <c r="AF1400" s="47"/>
      <c r="AG1400" s="47"/>
    </row>
    <row r="1401" customFormat="false" ht="15.75" hidden="false" customHeight="false" outlineLevel="0" collapsed="false">
      <c r="A1401" s="12" t="s">
        <v>193</v>
      </c>
      <c r="B1401" s="20"/>
      <c r="C1401" s="48" t="s">
        <v>5654</v>
      </c>
      <c r="D1401" s="24" t="s">
        <v>195</v>
      </c>
      <c r="E1401" s="16" t="s">
        <v>5655</v>
      </c>
      <c r="F1401" s="49" t="s">
        <v>5656</v>
      </c>
      <c r="G1401" s="17"/>
      <c r="H1401" s="17"/>
      <c r="I1401" s="26" t="s">
        <v>166</v>
      </c>
      <c r="J1401" s="32"/>
      <c r="K1401" s="17"/>
      <c r="L1401" s="38"/>
      <c r="M1401" s="50"/>
      <c r="N1401" s="17"/>
      <c r="O1401" s="17"/>
      <c r="P1401" s="40" t="s">
        <v>168</v>
      </c>
      <c r="Q1401" s="12"/>
      <c r="R1401" s="12" t="s">
        <v>5657</v>
      </c>
      <c r="S1401" s="12"/>
      <c r="T1401" s="12" t="s">
        <v>5658</v>
      </c>
      <c r="U1401" s="12" t="s">
        <v>5659</v>
      </c>
      <c r="V1401" s="21" t="s">
        <v>31</v>
      </c>
      <c r="Z1401" s="12"/>
      <c r="AA1401" s="29"/>
      <c r="AB1401" s="12" t="s">
        <v>5660</v>
      </c>
      <c r="AC1401" s="12"/>
      <c r="AD1401" s="12"/>
      <c r="AE1401" s="12"/>
      <c r="AF1401" s="47"/>
      <c r="AG1401" s="47"/>
    </row>
    <row r="1402" customFormat="false" ht="15.75" hidden="false" customHeight="false" outlineLevel="0" collapsed="false">
      <c r="A1402" s="12"/>
      <c r="B1402" s="20"/>
      <c r="C1402" s="48" t="s">
        <v>5661</v>
      </c>
      <c r="D1402" s="24" t="s">
        <v>61</v>
      </c>
      <c r="E1402" s="49" t="s">
        <v>5662</v>
      </c>
      <c r="F1402" s="49" t="s">
        <v>5663</v>
      </c>
      <c r="G1402" s="17"/>
      <c r="H1402" s="17"/>
      <c r="I1402" s="26" t="s">
        <v>166</v>
      </c>
      <c r="J1402" s="32"/>
      <c r="K1402" s="17"/>
      <c r="L1402" s="38"/>
      <c r="M1402" s="50"/>
      <c r="N1402" s="17"/>
      <c r="O1402" s="17"/>
      <c r="P1402" s="40" t="s">
        <v>168</v>
      </c>
      <c r="Q1402" s="12"/>
      <c r="R1402" s="12"/>
      <c r="S1402" s="12"/>
      <c r="T1402" s="12" t="s">
        <v>5664</v>
      </c>
      <c r="U1402" s="12" t="s">
        <v>5665</v>
      </c>
      <c r="V1402" s="21" t="s">
        <v>31</v>
      </c>
      <c r="Z1402" s="12"/>
      <c r="AA1402" s="29"/>
      <c r="AB1402" s="12" t="s">
        <v>5666</v>
      </c>
      <c r="AC1402" s="12"/>
      <c r="AD1402" s="12"/>
      <c r="AE1402" s="12"/>
      <c r="AF1402" s="47"/>
      <c r="AG1402" s="47"/>
    </row>
    <row r="1403" customFormat="false" ht="15.75" hidden="false" customHeight="false" outlineLevel="0" collapsed="false">
      <c r="A1403" s="12"/>
      <c r="B1403" s="20"/>
      <c r="C1403" s="48" t="s">
        <v>5667</v>
      </c>
      <c r="D1403" s="24" t="s">
        <v>61</v>
      </c>
      <c r="E1403" s="49" t="s">
        <v>5668</v>
      </c>
      <c r="F1403" s="49" t="s">
        <v>5669</v>
      </c>
      <c r="G1403" s="17"/>
      <c r="H1403" s="17"/>
      <c r="I1403" s="26" t="s">
        <v>166</v>
      </c>
      <c r="J1403" s="32"/>
      <c r="K1403" s="17"/>
      <c r="L1403" s="38"/>
      <c r="M1403" s="50"/>
      <c r="N1403" s="17"/>
      <c r="O1403" s="17"/>
      <c r="P1403" s="40" t="s">
        <v>168</v>
      </c>
      <c r="Q1403" s="12"/>
      <c r="R1403" s="12" t="s">
        <v>5670</v>
      </c>
      <c r="S1403" s="12"/>
      <c r="T1403" s="12" t="s">
        <v>5671</v>
      </c>
      <c r="U1403" s="12" t="s">
        <v>5672</v>
      </c>
      <c r="V1403" s="21" t="s">
        <v>31</v>
      </c>
      <c r="Z1403" s="12"/>
      <c r="AA1403" s="29"/>
      <c r="AB1403" s="12" t="s">
        <v>5673</v>
      </c>
      <c r="AC1403" s="12"/>
      <c r="AD1403" s="12"/>
      <c r="AE1403" s="12"/>
      <c r="AF1403" s="47"/>
      <c r="AG1403" s="47"/>
    </row>
    <row r="1404" customFormat="false" ht="15.75" hidden="false" customHeight="false" outlineLevel="0" collapsed="false">
      <c r="A1404" s="12"/>
      <c r="B1404" s="13"/>
      <c r="C1404" s="14" t="s">
        <v>5674</v>
      </c>
      <c r="D1404" s="24" t="s">
        <v>51</v>
      </c>
      <c r="E1404" s="16" t="s">
        <v>5675</v>
      </c>
      <c r="F1404" s="16" t="s">
        <v>5676</v>
      </c>
      <c r="G1404" s="17"/>
      <c r="H1404" s="17"/>
      <c r="I1404" s="26" t="s">
        <v>166</v>
      </c>
      <c r="J1404" s="32"/>
      <c r="K1404" s="17"/>
      <c r="L1404" s="38"/>
      <c r="M1404" s="46"/>
      <c r="N1404" s="17"/>
      <c r="O1404" s="17"/>
      <c r="P1404" s="40" t="s">
        <v>168</v>
      </c>
      <c r="Q1404" s="12"/>
      <c r="R1404" s="12" t="s">
        <v>5677</v>
      </c>
      <c r="S1404" s="12"/>
      <c r="T1404" s="12" t="s">
        <v>5678</v>
      </c>
      <c r="U1404" s="12" t="s">
        <v>5679</v>
      </c>
      <c r="V1404" s="21" t="s">
        <v>31</v>
      </c>
      <c r="Z1404" s="12"/>
      <c r="AA1404" s="29"/>
      <c r="AB1404" s="12" t="s">
        <v>5680</v>
      </c>
      <c r="AC1404" s="12"/>
      <c r="AD1404" s="12"/>
      <c r="AE1404" s="12"/>
      <c r="AG1404" s="47"/>
    </row>
    <row r="1405" customFormat="false" ht="15.75" hidden="false" customHeight="false" outlineLevel="0" collapsed="false">
      <c r="A1405" s="12"/>
      <c r="B1405" s="20"/>
      <c r="C1405" s="48" t="s">
        <v>5681</v>
      </c>
      <c r="D1405" s="24" t="s">
        <v>61</v>
      </c>
      <c r="E1405" s="49" t="s">
        <v>5682</v>
      </c>
      <c r="F1405" s="49" t="s">
        <v>5683</v>
      </c>
      <c r="G1405" s="17"/>
      <c r="H1405" s="17"/>
      <c r="I1405" s="26" t="s">
        <v>166</v>
      </c>
      <c r="J1405" s="32"/>
      <c r="K1405" s="17"/>
      <c r="L1405" s="38"/>
      <c r="M1405" s="50"/>
      <c r="N1405" s="17"/>
      <c r="O1405" s="17"/>
      <c r="P1405" s="40" t="s">
        <v>168</v>
      </c>
      <c r="Q1405" s="12"/>
      <c r="R1405" s="12" t="s">
        <v>5684</v>
      </c>
      <c r="S1405" s="12"/>
      <c r="T1405" s="12" t="s">
        <v>5685</v>
      </c>
      <c r="U1405" s="12" t="s">
        <v>5686</v>
      </c>
      <c r="V1405" s="21" t="s">
        <v>31</v>
      </c>
      <c r="Z1405" s="12"/>
      <c r="AA1405" s="29"/>
      <c r="AB1405" s="12" t="s">
        <v>5687</v>
      </c>
      <c r="AC1405" s="12"/>
      <c r="AD1405" s="12"/>
      <c r="AE1405" s="12"/>
      <c r="AF1405" s="47"/>
      <c r="AG1405" s="47"/>
    </row>
    <row r="1406" customFormat="false" ht="15.75" hidden="false" customHeight="false" outlineLevel="0" collapsed="false">
      <c r="A1406" s="12"/>
      <c r="B1406" s="12"/>
      <c r="C1406" s="23" t="s">
        <v>3889</v>
      </c>
      <c r="D1406" s="24"/>
      <c r="E1406" s="25" t="s">
        <v>3890</v>
      </c>
      <c r="F1406" s="17" t="s">
        <v>5688</v>
      </c>
      <c r="G1406" s="17" t="s">
        <v>1100</v>
      </c>
      <c r="H1406" s="17"/>
      <c r="I1406" s="26" t="s">
        <v>82</v>
      </c>
      <c r="J1406" s="32"/>
      <c r="K1406" s="17"/>
      <c r="L1406" s="38"/>
      <c r="M1406" s="27"/>
      <c r="N1406" s="17"/>
      <c r="O1406" s="17"/>
      <c r="P1406" s="40" t="s">
        <v>638</v>
      </c>
      <c r="Q1406" s="47"/>
      <c r="R1406" s="47" t="s">
        <v>5689</v>
      </c>
      <c r="S1406" s="47"/>
      <c r="T1406" s="47" t="s">
        <v>5690</v>
      </c>
      <c r="V1406" s="21" t="s">
        <v>31</v>
      </c>
      <c r="AA1406" s="63"/>
    </row>
    <row r="1407" customFormat="false" ht="15.75" hidden="false" customHeight="false" outlineLevel="0" collapsed="false">
      <c r="A1407" s="12"/>
      <c r="B1407" s="20"/>
      <c r="C1407" s="48" t="s">
        <v>5691</v>
      </c>
      <c r="D1407" s="24" t="s">
        <v>61</v>
      </c>
      <c r="E1407" s="49" t="s">
        <v>5692</v>
      </c>
      <c r="F1407" s="49" t="s">
        <v>5693</v>
      </c>
      <c r="G1407" s="17"/>
      <c r="H1407" s="17"/>
      <c r="I1407" s="26" t="s">
        <v>166</v>
      </c>
      <c r="J1407" s="32"/>
      <c r="K1407" s="17"/>
      <c r="L1407" s="38"/>
      <c r="M1407" s="50"/>
      <c r="N1407" s="17"/>
      <c r="O1407" s="17"/>
      <c r="P1407" s="40" t="s">
        <v>168</v>
      </c>
      <c r="Q1407" s="12"/>
      <c r="R1407" s="12"/>
      <c r="S1407" s="12"/>
      <c r="T1407" s="12" t="s">
        <v>5694</v>
      </c>
      <c r="U1407" s="12" t="s">
        <v>5695</v>
      </c>
      <c r="V1407" s="21" t="s">
        <v>31</v>
      </c>
      <c r="Z1407" s="12"/>
      <c r="AA1407" s="29"/>
      <c r="AB1407" s="12" t="s">
        <v>5696</v>
      </c>
      <c r="AC1407" s="12"/>
      <c r="AD1407" s="12"/>
      <c r="AE1407" s="12"/>
      <c r="AF1407" s="47"/>
      <c r="AG1407" s="47"/>
    </row>
    <row r="1408" customFormat="false" ht="15.75" hidden="false" customHeight="false" outlineLevel="0" collapsed="false">
      <c r="A1408" s="12"/>
      <c r="B1408" s="12"/>
      <c r="C1408" s="23" t="s">
        <v>5697</v>
      </c>
      <c r="D1408" s="24"/>
      <c r="E1408" s="25" t="s">
        <v>5698</v>
      </c>
      <c r="F1408" s="17" t="s">
        <v>5699</v>
      </c>
      <c r="G1408" s="17" t="s">
        <v>2629</v>
      </c>
      <c r="H1408" s="17"/>
      <c r="I1408" s="26" t="s">
        <v>82</v>
      </c>
      <c r="J1408" s="32"/>
      <c r="K1408" s="17"/>
      <c r="L1408" s="38"/>
      <c r="M1408" s="27"/>
      <c r="N1408" s="17"/>
      <c r="O1408" s="17"/>
      <c r="P1408" s="40" t="s">
        <v>638</v>
      </c>
      <c r="Q1408" s="17"/>
      <c r="R1408" s="17" t="s">
        <v>5700</v>
      </c>
      <c r="S1408" s="17"/>
      <c r="T1408" s="17" t="s">
        <v>5701</v>
      </c>
      <c r="U1408" s="17"/>
      <c r="V1408" s="21" t="s">
        <v>31</v>
      </c>
      <c r="Z1408" s="17"/>
      <c r="AA1408" s="29"/>
      <c r="AB1408" s="17"/>
      <c r="AC1408" s="17"/>
      <c r="AD1408" s="17"/>
      <c r="AE1408" s="17"/>
    </row>
    <row r="1409" customFormat="false" ht="15.75" hidden="false" customHeight="false" outlineLevel="0" collapsed="false">
      <c r="A1409" s="12"/>
      <c r="B1409" s="20"/>
      <c r="C1409" s="48" t="s">
        <v>355</v>
      </c>
      <c r="D1409" s="24"/>
      <c r="E1409" s="49" t="s">
        <v>5702</v>
      </c>
      <c r="F1409" s="49" t="s">
        <v>5703</v>
      </c>
      <c r="G1409" s="17"/>
      <c r="H1409" s="17"/>
      <c r="I1409" s="26" t="s">
        <v>166</v>
      </c>
      <c r="J1409" s="32"/>
      <c r="K1409" s="17"/>
      <c r="L1409" s="38"/>
      <c r="M1409" s="50"/>
      <c r="N1409" s="17"/>
      <c r="O1409" s="17"/>
      <c r="P1409" s="40" t="s">
        <v>168</v>
      </c>
      <c r="V1409" s="60"/>
      <c r="AA1409" s="63"/>
      <c r="AB1409" s="50" t="s">
        <v>5704</v>
      </c>
      <c r="AE1409" s="47"/>
      <c r="AF1409" s="47"/>
      <c r="AG1409" s="47"/>
    </row>
    <row r="1410" customFormat="false" ht="15.75" hidden="false" customHeight="false" outlineLevel="0" collapsed="false">
      <c r="A1410" s="12"/>
      <c r="B1410" s="20"/>
      <c r="C1410" s="48" t="s">
        <v>5705</v>
      </c>
      <c r="D1410" s="24" t="s">
        <v>61</v>
      </c>
      <c r="E1410" s="49" t="s">
        <v>5706</v>
      </c>
      <c r="F1410" s="49" t="s">
        <v>5707</v>
      </c>
      <c r="G1410" s="17"/>
      <c r="H1410" s="17"/>
      <c r="I1410" s="26" t="s">
        <v>166</v>
      </c>
      <c r="J1410" s="32"/>
      <c r="K1410" s="17"/>
      <c r="L1410" s="38"/>
      <c r="M1410" s="50"/>
      <c r="N1410" s="17"/>
      <c r="O1410" s="17"/>
      <c r="P1410" s="40" t="s">
        <v>168</v>
      </c>
      <c r="Q1410" s="12"/>
      <c r="R1410" s="12"/>
      <c r="S1410" s="12"/>
      <c r="T1410" s="12" t="s">
        <v>5708</v>
      </c>
      <c r="U1410" s="12" t="s">
        <v>5709</v>
      </c>
      <c r="V1410" s="21" t="s">
        <v>31</v>
      </c>
      <c r="Z1410" s="12"/>
      <c r="AA1410" s="29"/>
      <c r="AB1410" s="12" t="s">
        <v>5710</v>
      </c>
      <c r="AC1410" s="12"/>
      <c r="AD1410" s="12"/>
      <c r="AE1410" s="12"/>
      <c r="AG1410" s="47"/>
    </row>
    <row r="1411" customFormat="false" ht="15.75" hidden="false" customHeight="false" outlineLevel="0" collapsed="false">
      <c r="A1411" s="12"/>
      <c r="B1411" s="13"/>
      <c r="C1411" s="14" t="s">
        <v>5711</v>
      </c>
      <c r="D1411" s="24" t="s">
        <v>61</v>
      </c>
      <c r="E1411" s="16" t="s">
        <v>5712</v>
      </c>
      <c r="F1411" s="16" t="s">
        <v>5713</v>
      </c>
      <c r="G1411" s="17"/>
      <c r="H1411" s="17"/>
      <c r="I1411" s="26" t="s">
        <v>166</v>
      </c>
      <c r="J1411" s="32"/>
      <c r="K1411" s="17"/>
      <c r="L1411" s="38"/>
      <c r="M1411" s="78"/>
      <c r="N1411" s="17"/>
      <c r="O1411" s="17"/>
      <c r="P1411" s="40" t="s">
        <v>168</v>
      </c>
      <c r="Q1411" s="12"/>
      <c r="R1411" s="12" t="s">
        <v>5714</v>
      </c>
      <c r="S1411" s="12"/>
      <c r="T1411" s="12" t="s">
        <v>5715</v>
      </c>
      <c r="U1411" s="12" t="s">
        <v>5716</v>
      </c>
      <c r="V1411" s="21" t="s">
        <v>31</v>
      </c>
      <c r="Z1411" s="12"/>
      <c r="AA1411" s="29"/>
      <c r="AB1411" s="12" t="s">
        <v>5717</v>
      </c>
      <c r="AC1411" s="12"/>
      <c r="AD1411" s="12"/>
      <c r="AE1411" s="12"/>
      <c r="AF1411" s="47"/>
      <c r="AG1411" s="47"/>
    </row>
    <row r="1412" customFormat="false" ht="15.75" hidden="false" customHeight="false" outlineLevel="0" collapsed="false">
      <c r="A1412" s="12"/>
      <c r="B1412" s="13"/>
      <c r="C1412" s="14" t="s">
        <v>5718</v>
      </c>
      <c r="D1412" s="24" t="s">
        <v>94</v>
      </c>
      <c r="E1412" s="16" t="s">
        <v>5719</v>
      </c>
      <c r="F1412" s="16" t="s">
        <v>5720</v>
      </c>
      <c r="G1412" s="17"/>
      <c r="H1412" s="17"/>
      <c r="I1412" s="26" t="s">
        <v>166</v>
      </c>
      <c r="J1412" s="32"/>
      <c r="K1412" s="17"/>
      <c r="L1412" s="38"/>
      <c r="M1412" s="78"/>
      <c r="N1412" s="17"/>
      <c r="O1412" s="17"/>
      <c r="P1412" s="40" t="s">
        <v>168</v>
      </c>
      <c r="Q1412" s="12"/>
      <c r="R1412" s="12" t="s">
        <v>5721</v>
      </c>
      <c r="S1412" s="12"/>
      <c r="T1412" s="12" t="s">
        <v>5722</v>
      </c>
      <c r="U1412" s="12" t="s">
        <v>5723</v>
      </c>
      <c r="V1412" s="21" t="s">
        <v>31</v>
      </c>
      <c r="Z1412" s="12"/>
      <c r="AA1412" s="29"/>
      <c r="AB1412" s="12" t="s">
        <v>5724</v>
      </c>
      <c r="AC1412" s="12"/>
      <c r="AD1412" s="12"/>
      <c r="AE1412" s="12"/>
      <c r="AG1412" s="47"/>
    </row>
    <row r="1413" customFormat="false" ht="15.75" hidden="false" customHeight="false" outlineLevel="0" collapsed="false">
      <c r="A1413" s="12"/>
      <c r="B1413" s="20"/>
      <c r="C1413" s="48" t="s">
        <v>5725</v>
      </c>
      <c r="D1413" s="24" t="s">
        <v>61</v>
      </c>
      <c r="E1413" s="49" t="s">
        <v>5726</v>
      </c>
      <c r="F1413" s="49" t="s">
        <v>5727</v>
      </c>
      <c r="G1413" s="17"/>
      <c r="H1413" s="17"/>
      <c r="I1413" s="26" t="s">
        <v>166</v>
      </c>
      <c r="J1413" s="32"/>
      <c r="K1413" s="17"/>
      <c r="L1413" s="38"/>
      <c r="M1413" s="50"/>
      <c r="N1413" s="17"/>
      <c r="O1413" s="17"/>
      <c r="P1413" s="40" t="s">
        <v>168</v>
      </c>
      <c r="Q1413" s="12"/>
      <c r="R1413" s="12"/>
      <c r="S1413" s="12"/>
      <c r="T1413" s="12" t="s">
        <v>5728</v>
      </c>
      <c r="U1413" s="12"/>
      <c r="V1413" s="21" t="s">
        <v>31</v>
      </c>
      <c r="Z1413" s="12"/>
      <c r="AA1413" s="29"/>
      <c r="AB1413" s="12" t="s">
        <v>5729</v>
      </c>
      <c r="AC1413" s="12"/>
      <c r="AD1413" s="12"/>
      <c r="AE1413" s="12"/>
      <c r="AF1413" s="47"/>
      <c r="AG1413" s="47"/>
    </row>
    <row r="1414" customFormat="false" ht="15.75" hidden="false" customHeight="false" outlineLevel="0" collapsed="false">
      <c r="A1414" s="12"/>
      <c r="B1414" s="20"/>
      <c r="C1414" s="48" t="s">
        <v>5730</v>
      </c>
      <c r="D1414" s="24" t="s">
        <v>61</v>
      </c>
      <c r="E1414" s="49" t="s">
        <v>5731</v>
      </c>
      <c r="F1414" s="49" t="s">
        <v>5732</v>
      </c>
      <c r="G1414" s="17"/>
      <c r="H1414" s="17"/>
      <c r="I1414" s="26" t="s">
        <v>166</v>
      </c>
      <c r="J1414" s="32"/>
      <c r="K1414" s="17"/>
      <c r="L1414" s="38"/>
      <c r="M1414" s="46"/>
      <c r="N1414" s="17"/>
      <c r="O1414" s="17"/>
      <c r="P1414" s="40" t="s">
        <v>168</v>
      </c>
      <c r="Q1414" s="12"/>
      <c r="R1414" s="12"/>
      <c r="S1414" s="12"/>
      <c r="T1414" s="12" t="s">
        <v>5733</v>
      </c>
      <c r="U1414" s="12"/>
      <c r="V1414" s="21" t="s">
        <v>31</v>
      </c>
      <c r="Z1414" s="12"/>
      <c r="AA1414" s="29"/>
      <c r="AB1414" s="12" t="s">
        <v>5734</v>
      </c>
      <c r="AC1414" s="12"/>
      <c r="AD1414" s="12"/>
      <c r="AE1414" s="12"/>
      <c r="AF1414" s="47"/>
      <c r="AG1414" s="47"/>
    </row>
    <row r="1415" customFormat="false" ht="15.75" hidden="false" customHeight="false" outlineLevel="0" collapsed="false">
      <c r="A1415" s="12"/>
      <c r="B1415" s="13"/>
      <c r="C1415" s="14" t="s">
        <v>5735</v>
      </c>
      <c r="D1415" s="24" t="s">
        <v>51</v>
      </c>
      <c r="E1415" s="16" t="s">
        <v>5736</v>
      </c>
      <c r="F1415" s="16" t="s">
        <v>5737</v>
      </c>
      <c r="G1415" s="17"/>
      <c r="H1415" s="17"/>
      <c r="I1415" s="26" t="s">
        <v>166</v>
      </c>
      <c r="J1415" s="32"/>
      <c r="K1415" s="17"/>
      <c r="L1415" s="38"/>
      <c r="M1415" s="46"/>
      <c r="N1415" s="17"/>
      <c r="O1415" s="17"/>
      <c r="P1415" s="40" t="s">
        <v>168</v>
      </c>
      <c r="Q1415" s="12"/>
      <c r="R1415" s="12"/>
      <c r="S1415" s="12"/>
      <c r="T1415" s="12" t="s">
        <v>5738</v>
      </c>
      <c r="U1415" s="12" t="s">
        <v>5739</v>
      </c>
      <c r="V1415" s="21" t="s">
        <v>31</v>
      </c>
      <c r="Z1415" s="12"/>
      <c r="AA1415" s="29"/>
      <c r="AB1415" s="12" t="s">
        <v>5740</v>
      </c>
      <c r="AC1415" s="12"/>
      <c r="AD1415" s="12"/>
      <c r="AE1415" s="12"/>
      <c r="AG1415" s="47"/>
    </row>
    <row r="1416" customFormat="false" ht="15.75" hidden="false" customHeight="false" outlineLevel="0" collapsed="false">
      <c r="A1416" s="12"/>
      <c r="B1416" s="20"/>
      <c r="C1416" s="48" t="s">
        <v>5741</v>
      </c>
      <c r="D1416" s="24" t="s">
        <v>61</v>
      </c>
      <c r="E1416" s="49" t="s">
        <v>5742</v>
      </c>
      <c r="F1416" s="49" t="s">
        <v>5743</v>
      </c>
      <c r="G1416" s="17"/>
      <c r="H1416" s="17"/>
      <c r="I1416" s="26" t="s">
        <v>166</v>
      </c>
      <c r="J1416" s="32"/>
      <c r="K1416" s="17"/>
      <c r="L1416" s="38"/>
      <c r="M1416" s="50"/>
      <c r="N1416" s="17"/>
      <c r="O1416" s="17"/>
      <c r="P1416" s="40" t="s">
        <v>168</v>
      </c>
      <c r="Q1416" s="12"/>
      <c r="R1416" s="12"/>
      <c r="S1416" s="12"/>
      <c r="T1416" s="12" t="s">
        <v>5744</v>
      </c>
      <c r="U1416" s="12" t="s">
        <v>5745</v>
      </c>
      <c r="V1416" s="21" t="s">
        <v>31</v>
      </c>
      <c r="Z1416" s="12"/>
      <c r="AA1416" s="29"/>
      <c r="AB1416" s="12" t="s">
        <v>5746</v>
      </c>
      <c r="AC1416" s="12"/>
      <c r="AD1416" s="12"/>
      <c r="AE1416" s="12"/>
      <c r="AG1416" s="47"/>
    </row>
    <row r="1417" customFormat="false" ht="15.75" hidden="false" customHeight="false" outlineLevel="0" collapsed="false">
      <c r="A1417" s="12"/>
      <c r="B1417" s="20"/>
      <c r="C1417" s="48" t="s">
        <v>5747</v>
      </c>
      <c r="D1417" s="24" t="s">
        <v>61</v>
      </c>
      <c r="E1417" s="49" t="s">
        <v>5748</v>
      </c>
      <c r="F1417" s="49" t="s">
        <v>5749</v>
      </c>
      <c r="G1417" s="17"/>
      <c r="H1417" s="17"/>
      <c r="I1417" s="26" t="s">
        <v>166</v>
      </c>
      <c r="J1417" s="32"/>
      <c r="K1417" s="17"/>
      <c r="L1417" s="38"/>
      <c r="M1417" s="50"/>
      <c r="N1417" s="17"/>
      <c r="O1417" s="17"/>
      <c r="P1417" s="40" t="s">
        <v>168</v>
      </c>
      <c r="Q1417" s="12"/>
      <c r="R1417" s="12" t="s">
        <v>5750</v>
      </c>
      <c r="S1417" s="12"/>
      <c r="T1417" s="12" t="s">
        <v>5751</v>
      </c>
      <c r="U1417" s="12" t="s">
        <v>5752</v>
      </c>
      <c r="V1417" s="21" t="s">
        <v>31</v>
      </c>
      <c r="Z1417" s="12"/>
      <c r="AA1417" s="29"/>
      <c r="AB1417" s="12" t="s">
        <v>5753</v>
      </c>
      <c r="AC1417" s="12"/>
      <c r="AD1417" s="12"/>
      <c r="AE1417" s="12"/>
      <c r="AG1417" s="47"/>
    </row>
    <row r="1418" customFormat="false" ht="15.75" hidden="false" customHeight="false" outlineLevel="0" collapsed="false">
      <c r="A1418" s="12"/>
      <c r="B1418" s="20"/>
      <c r="C1418" s="48" t="s">
        <v>5754</v>
      </c>
      <c r="D1418" s="24" t="s">
        <v>61</v>
      </c>
      <c r="E1418" s="49" t="s">
        <v>5755</v>
      </c>
      <c r="F1418" s="49" t="s">
        <v>5756</v>
      </c>
      <c r="G1418" s="17"/>
      <c r="H1418" s="17"/>
      <c r="I1418" s="26" t="s">
        <v>166</v>
      </c>
      <c r="J1418" s="32"/>
      <c r="K1418" s="17"/>
      <c r="L1418" s="38"/>
      <c r="M1418" s="50"/>
      <c r="N1418" s="17"/>
      <c r="O1418" s="17"/>
      <c r="P1418" s="40" t="s">
        <v>168</v>
      </c>
      <c r="Q1418" s="12"/>
      <c r="R1418" s="12" t="s">
        <v>5757</v>
      </c>
      <c r="S1418" s="12"/>
      <c r="T1418" s="12" t="s">
        <v>5758</v>
      </c>
      <c r="U1418" s="12"/>
      <c r="V1418" s="21" t="s">
        <v>31</v>
      </c>
      <c r="Z1418" s="12"/>
      <c r="AA1418" s="29"/>
      <c r="AB1418" s="12" t="s">
        <v>5759</v>
      </c>
      <c r="AC1418" s="12"/>
      <c r="AD1418" s="12"/>
      <c r="AE1418" s="12"/>
      <c r="AG1418" s="47"/>
    </row>
    <row r="1419" customFormat="false" ht="15.75" hidden="false" customHeight="false" outlineLevel="0" collapsed="false">
      <c r="A1419" s="12"/>
      <c r="B1419" s="13"/>
      <c r="C1419" s="14" t="s">
        <v>5760</v>
      </c>
      <c r="D1419" s="24" t="s">
        <v>61</v>
      </c>
      <c r="E1419" s="16" t="s">
        <v>5761</v>
      </c>
      <c r="F1419" s="16" t="s">
        <v>5762</v>
      </c>
      <c r="G1419" s="17"/>
      <c r="H1419" s="17"/>
      <c r="I1419" s="26" t="s">
        <v>166</v>
      </c>
      <c r="J1419" s="32"/>
      <c r="K1419" s="17"/>
      <c r="L1419" s="38"/>
      <c r="M1419" s="36"/>
      <c r="N1419" s="27"/>
      <c r="O1419" s="17"/>
      <c r="P1419" s="40" t="s">
        <v>168</v>
      </c>
      <c r="Q1419" s="12"/>
      <c r="R1419" s="12" t="s">
        <v>5763</v>
      </c>
      <c r="S1419" s="12"/>
      <c r="T1419" s="12" t="s">
        <v>5764</v>
      </c>
      <c r="U1419" s="12"/>
      <c r="V1419" s="21" t="s">
        <v>31</v>
      </c>
      <c r="Z1419" s="12"/>
      <c r="AA1419" s="29"/>
      <c r="AB1419" s="12" t="s">
        <v>5765</v>
      </c>
      <c r="AC1419" s="12"/>
      <c r="AD1419" s="12"/>
      <c r="AE1419" s="12"/>
      <c r="AF1419" s="47"/>
      <c r="AG1419" s="47"/>
    </row>
    <row r="1420" customFormat="false" ht="15.75" hidden="false" customHeight="false" outlineLevel="0" collapsed="false">
      <c r="A1420" s="12" t="s">
        <v>31</v>
      </c>
      <c r="B1420" s="12" t="s">
        <v>32</v>
      </c>
      <c r="C1420" s="23" t="s">
        <v>5766</v>
      </c>
      <c r="D1420" s="24" t="s">
        <v>5767</v>
      </c>
      <c r="E1420" s="25" t="s">
        <v>5768</v>
      </c>
      <c r="F1420" s="113" t="s">
        <v>5769</v>
      </c>
      <c r="G1420" s="17" t="s">
        <v>754</v>
      </c>
      <c r="H1420" s="17"/>
      <c r="I1420" s="26" t="s">
        <v>166</v>
      </c>
      <c r="J1420" s="17"/>
      <c r="K1420" s="17"/>
      <c r="L1420" s="38"/>
      <c r="M1420" s="27" t="s">
        <v>74</v>
      </c>
      <c r="N1420" s="17"/>
      <c r="O1420" s="17" t="s">
        <v>5770</v>
      </c>
      <c r="P1420" s="28" t="s">
        <v>59</v>
      </c>
      <c r="V1420" s="60"/>
      <c r="AA1420" s="63" t="n">
        <v>4</v>
      </c>
    </row>
    <row r="1421" customFormat="false" ht="15.75" hidden="false" customHeight="false" outlineLevel="0" collapsed="false">
      <c r="A1421" s="12"/>
      <c r="B1421" s="20"/>
      <c r="C1421" s="48" t="s">
        <v>5771</v>
      </c>
      <c r="D1421" s="24" t="s">
        <v>61</v>
      </c>
      <c r="E1421" s="49" t="s">
        <v>5772</v>
      </c>
      <c r="F1421" s="49" t="s">
        <v>5773</v>
      </c>
      <c r="G1421" s="17"/>
      <c r="H1421" s="17"/>
      <c r="I1421" s="26" t="s">
        <v>166</v>
      </c>
      <c r="J1421" s="32"/>
      <c r="K1421" s="17"/>
      <c r="L1421" s="38"/>
      <c r="M1421" s="50"/>
      <c r="N1421" s="17"/>
      <c r="O1421" s="17"/>
      <c r="P1421" s="40" t="s">
        <v>168</v>
      </c>
      <c r="Q1421" s="12"/>
      <c r="R1421" s="12" t="s">
        <v>5774</v>
      </c>
      <c r="S1421" s="12"/>
      <c r="T1421" s="12" t="s">
        <v>5775</v>
      </c>
      <c r="U1421" s="12"/>
      <c r="V1421" s="21" t="s">
        <v>31</v>
      </c>
      <c r="Z1421" s="12"/>
      <c r="AA1421" s="29"/>
      <c r="AB1421" s="12" t="s">
        <v>5776</v>
      </c>
      <c r="AC1421" s="12"/>
      <c r="AD1421" s="12"/>
      <c r="AE1421" s="12"/>
      <c r="AF1421" s="47"/>
      <c r="AG1421" s="47"/>
    </row>
    <row r="1422" customFormat="false" ht="15.75" hidden="false" customHeight="false" outlineLevel="0" collapsed="false">
      <c r="A1422" s="12"/>
      <c r="B1422" s="20"/>
      <c r="C1422" s="48" t="s">
        <v>5777</v>
      </c>
      <c r="D1422" s="24" t="s">
        <v>61</v>
      </c>
      <c r="E1422" s="49" t="s">
        <v>5778</v>
      </c>
      <c r="F1422" s="49" t="s">
        <v>5779</v>
      </c>
      <c r="G1422" s="17"/>
      <c r="H1422" s="17"/>
      <c r="I1422" s="26" t="s">
        <v>166</v>
      </c>
      <c r="J1422" s="32"/>
      <c r="K1422" s="17"/>
      <c r="L1422" s="38"/>
      <c r="M1422" s="50"/>
      <c r="N1422" s="17"/>
      <c r="O1422" s="17"/>
      <c r="P1422" s="40" t="s">
        <v>168</v>
      </c>
      <c r="Q1422" s="12"/>
      <c r="R1422" s="12"/>
      <c r="S1422" s="12"/>
      <c r="T1422" s="12" t="s">
        <v>5780</v>
      </c>
      <c r="U1422" s="12" t="s">
        <v>5781</v>
      </c>
      <c r="V1422" s="21" t="s">
        <v>31</v>
      </c>
      <c r="Z1422" s="12"/>
      <c r="AA1422" s="29"/>
      <c r="AB1422" s="12" t="s">
        <v>5782</v>
      </c>
      <c r="AC1422" s="12"/>
      <c r="AD1422" s="12"/>
      <c r="AE1422" s="12"/>
      <c r="AF1422" s="47"/>
      <c r="AG1422" s="47"/>
    </row>
    <row r="1423" customFormat="false" ht="15.75" hidden="false" customHeight="false" outlineLevel="0" collapsed="false">
      <c r="A1423" s="12"/>
      <c r="B1423" s="13"/>
      <c r="C1423" s="14" t="s">
        <v>5783</v>
      </c>
      <c r="D1423" s="24" t="s">
        <v>61</v>
      </c>
      <c r="E1423" s="16" t="s">
        <v>5784</v>
      </c>
      <c r="F1423" s="16" t="s">
        <v>5785</v>
      </c>
      <c r="G1423" s="17"/>
      <c r="H1423" s="17"/>
      <c r="I1423" s="26" t="s">
        <v>166</v>
      </c>
      <c r="J1423" s="32"/>
      <c r="K1423" s="17"/>
      <c r="L1423" s="38"/>
      <c r="M1423" s="46"/>
      <c r="N1423" s="17"/>
      <c r="O1423" s="17"/>
      <c r="P1423" s="40" t="s">
        <v>168</v>
      </c>
      <c r="Q1423" s="12"/>
      <c r="R1423" s="12"/>
      <c r="S1423" s="12"/>
      <c r="T1423" s="12" t="s">
        <v>5786</v>
      </c>
      <c r="U1423" s="12" t="s">
        <v>5787</v>
      </c>
      <c r="V1423" s="21" t="s">
        <v>31</v>
      </c>
      <c r="Z1423" s="12"/>
      <c r="AA1423" s="29"/>
      <c r="AB1423" s="12" t="s">
        <v>5788</v>
      </c>
      <c r="AC1423" s="12"/>
      <c r="AD1423" s="12"/>
      <c r="AE1423" s="12"/>
      <c r="AF1423" s="47"/>
      <c r="AG1423" s="47"/>
    </row>
    <row r="1424" customFormat="false" ht="15.75" hidden="false" customHeight="false" outlineLevel="0" collapsed="false">
      <c r="A1424" s="12"/>
      <c r="B1424" s="12"/>
      <c r="C1424" s="23" t="s">
        <v>5789</v>
      </c>
      <c r="D1424" s="24"/>
      <c r="E1424" s="25" t="s">
        <v>5790</v>
      </c>
      <c r="F1424" s="17" t="s">
        <v>5791</v>
      </c>
      <c r="G1424" s="17" t="s">
        <v>1600</v>
      </c>
      <c r="H1424" s="17"/>
      <c r="I1424" s="26" t="s">
        <v>82</v>
      </c>
      <c r="J1424" s="32"/>
      <c r="K1424" s="17"/>
      <c r="L1424" s="38"/>
      <c r="M1424" s="27"/>
      <c r="N1424" s="17"/>
      <c r="O1424" s="17"/>
      <c r="P1424" s="40" t="s">
        <v>638</v>
      </c>
      <c r="Q1424" s="12"/>
      <c r="R1424" s="12" t="s">
        <v>5792</v>
      </c>
      <c r="S1424" s="12"/>
      <c r="T1424" s="12" t="s">
        <v>5793</v>
      </c>
      <c r="U1424" s="12"/>
      <c r="V1424" s="21" t="s">
        <v>31</v>
      </c>
      <c r="Z1424" s="12"/>
      <c r="AA1424" s="29"/>
      <c r="AB1424" s="12"/>
      <c r="AC1424" s="12"/>
      <c r="AD1424" s="12"/>
      <c r="AE1424" s="12"/>
    </row>
    <row r="1425" customFormat="false" ht="15.75" hidden="false" customHeight="false" outlineLevel="0" collapsed="false">
      <c r="A1425" s="12"/>
      <c r="B1425" s="20"/>
      <c r="C1425" s="48" t="s">
        <v>5794</v>
      </c>
      <c r="D1425" s="24" t="s">
        <v>61</v>
      </c>
      <c r="E1425" s="49" t="s">
        <v>5795</v>
      </c>
      <c r="F1425" s="49" t="s">
        <v>5796</v>
      </c>
      <c r="G1425" s="17"/>
      <c r="H1425" s="17"/>
      <c r="I1425" s="26" t="s">
        <v>166</v>
      </c>
      <c r="J1425" s="32"/>
      <c r="K1425" s="17"/>
      <c r="L1425" s="38"/>
      <c r="M1425" s="50"/>
      <c r="N1425" s="17"/>
      <c r="O1425" s="17"/>
      <c r="P1425" s="40" t="s">
        <v>168</v>
      </c>
      <c r="Q1425" s="12"/>
      <c r="R1425" s="12" t="s">
        <v>5797</v>
      </c>
      <c r="S1425" s="12"/>
      <c r="T1425" s="12" t="s">
        <v>5798</v>
      </c>
      <c r="U1425" s="12" t="s">
        <v>5799</v>
      </c>
      <c r="V1425" s="21" t="s">
        <v>31</v>
      </c>
      <c r="Z1425" s="12"/>
      <c r="AA1425" s="29"/>
      <c r="AB1425" s="12" t="s">
        <v>5800</v>
      </c>
      <c r="AC1425" s="12"/>
      <c r="AD1425" s="12"/>
      <c r="AE1425" s="12"/>
      <c r="AG1425" s="47"/>
    </row>
    <row r="1426" customFormat="false" ht="15.75" hidden="false" customHeight="false" outlineLevel="0" collapsed="false">
      <c r="A1426" s="12" t="s">
        <v>193</v>
      </c>
      <c r="B1426" s="13" t="s">
        <v>32</v>
      </c>
      <c r="C1426" s="14" t="s">
        <v>5801</v>
      </c>
      <c r="D1426" s="24" t="s">
        <v>51</v>
      </c>
      <c r="E1426" s="16" t="s">
        <v>5802</v>
      </c>
      <c r="F1426" s="16" t="s">
        <v>5803</v>
      </c>
      <c r="G1426" s="17"/>
      <c r="H1426" s="17"/>
      <c r="I1426" s="26" t="s">
        <v>166</v>
      </c>
      <c r="J1426" s="32"/>
      <c r="K1426" s="17"/>
      <c r="L1426" s="38"/>
      <c r="M1426" s="46"/>
      <c r="N1426" s="17"/>
      <c r="O1426" s="17"/>
      <c r="P1426" s="40" t="s">
        <v>168</v>
      </c>
      <c r="Q1426" s="12"/>
      <c r="R1426" s="12" t="s">
        <v>5804</v>
      </c>
      <c r="S1426" s="12"/>
      <c r="T1426" s="59" t="s">
        <v>5805</v>
      </c>
      <c r="U1426" s="12" t="s">
        <v>5806</v>
      </c>
      <c r="V1426" s="21" t="s">
        <v>31</v>
      </c>
      <c r="Z1426" s="12"/>
      <c r="AA1426" s="29" t="n">
        <v>2</v>
      </c>
      <c r="AB1426" s="12" t="s">
        <v>5807</v>
      </c>
      <c r="AC1426" s="12"/>
      <c r="AD1426" s="12"/>
      <c r="AE1426" s="12"/>
      <c r="AG1426" s="47"/>
    </row>
    <row r="1427" customFormat="false" ht="15.75" hidden="false" customHeight="false" outlineLevel="0" collapsed="false">
      <c r="A1427" s="12"/>
      <c r="B1427" s="20"/>
      <c r="C1427" s="48" t="s">
        <v>2375</v>
      </c>
      <c r="D1427" s="24" t="s">
        <v>94</v>
      </c>
      <c r="E1427" s="49" t="s">
        <v>5808</v>
      </c>
      <c r="F1427" s="49" t="s">
        <v>5809</v>
      </c>
      <c r="G1427" s="17"/>
      <c r="H1427" s="17"/>
      <c r="I1427" s="26" t="s">
        <v>166</v>
      </c>
      <c r="J1427" s="32"/>
      <c r="K1427" s="17"/>
      <c r="L1427" s="38"/>
      <c r="M1427" s="50" t="s">
        <v>74</v>
      </c>
      <c r="N1427" s="17"/>
      <c r="O1427" s="17"/>
      <c r="P1427" s="40" t="s">
        <v>168</v>
      </c>
      <c r="Q1427" s="12"/>
      <c r="R1427" s="12" t="s">
        <v>5810</v>
      </c>
      <c r="S1427" s="12"/>
      <c r="T1427" s="12" t="s">
        <v>5811</v>
      </c>
      <c r="U1427" s="12" t="s">
        <v>5812</v>
      </c>
      <c r="V1427" s="21" t="s">
        <v>31</v>
      </c>
      <c r="Z1427" s="12"/>
      <c r="AA1427" s="29"/>
      <c r="AB1427" s="12" t="s">
        <v>5813</v>
      </c>
      <c r="AC1427" s="12"/>
      <c r="AD1427" s="12"/>
      <c r="AE1427" s="12"/>
      <c r="AF1427" s="47"/>
      <c r="AG1427" s="47"/>
    </row>
    <row r="1428" customFormat="false" ht="15.75" hidden="false" customHeight="false" outlineLevel="0" collapsed="false">
      <c r="A1428" s="12"/>
      <c r="B1428" s="20"/>
      <c r="C1428" s="48" t="s">
        <v>5814</v>
      </c>
      <c r="D1428" s="24" t="s">
        <v>51</v>
      </c>
      <c r="E1428" s="49" t="s">
        <v>5815</v>
      </c>
      <c r="F1428" s="49" t="s">
        <v>5816</v>
      </c>
      <c r="G1428" s="17"/>
      <c r="H1428" s="17"/>
      <c r="I1428" s="26" t="s">
        <v>166</v>
      </c>
      <c r="J1428" s="32"/>
      <c r="K1428" s="17"/>
      <c r="L1428" s="38"/>
      <c r="M1428" s="50"/>
      <c r="N1428" s="17"/>
      <c r="O1428" s="17"/>
      <c r="P1428" s="40" t="s">
        <v>168</v>
      </c>
      <c r="Q1428" s="12"/>
      <c r="R1428" s="12" t="s">
        <v>5817</v>
      </c>
      <c r="S1428" s="12"/>
      <c r="T1428" s="12" t="s">
        <v>5818</v>
      </c>
      <c r="U1428" s="12" t="s">
        <v>5819</v>
      </c>
      <c r="V1428" s="21" t="s">
        <v>31</v>
      </c>
      <c r="Z1428" s="12"/>
      <c r="AA1428" s="29"/>
      <c r="AB1428" s="12" t="s">
        <v>5820</v>
      </c>
      <c r="AC1428" s="12"/>
      <c r="AD1428" s="12"/>
      <c r="AE1428" s="12"/>
      <c r="AF1428" s="47"/>
      <c r="AG1428" s="47"/>
    </row>
    <row r="1429" customFormat="false" ht="15.75" hidden="false" customHeight="false" outlineLevel="0" collapsed="false">
      <c r="A1429" s="12"/>
      <c r="B1429" s="20"/>
      <c r="C1429" s="48" t="s">
        <v>5821</v>
      </c>
      <c r="D1429" s="24"/>
      <c r="E1429" s="49"/>
      <c r="F1429" s="49"/>
      <c r="G1429" s="17"/>
      <c r="H1429" s="17"/>
      <c r="I1429" s="17"/>
      <c r="J1429" s="32"/>
      <c r="K1429" s="17"/>
      <c r="L1429" s="38"/>
      <c r="M1429" s="50"/>
      <c r="N1429" s="17"/>
      <c r="O1429" s="17"/>
      <c r="P1429" s="40"/>
      <c r="Q1429" s="17"/>
      <c r="R1429" s="17"/>
      <c r="S1429" s="17"/>
      <c r="T1429" s="17"/>
      <c r="U1429" s="17"/>
      <c r="V1429" s="21"/>
      <c r="Z1429" s="17"/>
      <c r="AA1429" s="29"/>
      <c r="AB1429" s="17"/>
      <c r="AC1429" s="17"/>
      <c r="AD1429" s="17"/>
      <c r="AE1429" s="17"/>
    </row>
    <row r="1430" customFormat="false" ht="15.75" hidden="false" customHeight="false" outlineLevel="0" collapsed="false">
      <c r="A1430" s="12"/>
      <c r="B1430" s="20"/>
      <c r="C1430" s="48" t="s">
        <v>5822</v>
      </c>
      <c r="D1430" s="24" t="s">
        <v>61</v>
      </c>
      <c r="E1430" s="49" t="s">
        <v>5823</v>
      </c>
      <c r="F1430" s="49" t="s">
        <v>5824</v>
      </c>
      <c r="G1430" s="17"/>
      <c r="H1430" s="17"/>
      <c r="I1430" s="26" t="s">
        <v>166</v>
      </c>
      <c r="J1430" s="32"/>
      <c r="K1430" s="17"/>
      <c r="L1430" s="38"/>
      <c r="M1430" s="50"/>
      <c r="N1430" s="17"/>
      <c r="O1430" s="17"/>
      <c r="P1430" s="40" t="s">
        <v>168</v>
      </c>
      <c r="Q1430" s="17"/>
      <c r="R1430" s="17" t="s">
        <v>5825</v>
      </c>
      <c r="S1430" s="17"/>
      <c r="T1430" s="17" t="s">
        <v>5826</v>
      </c>
      <c r="U1430" s="17"/>
      <c r="V1430" s="21" t="s">
        <v>31</v>
      </c>
      <c r="Z1430" s="17"/>
      <c r="AA1430" s="29"/>
      <c r="AB1430" s="17" t="s">
        <v>5827</v>
      </c>
      <c r="AC1430" s="17"/>
      <c r="AD1430" s="17"/>
      <c r="AE1430" s="17"/>
      <c r="AF1430" s="47"/>
      <c r="AG1430" s="47"/>
    </row>
    <row r="1431" customFormat="false" ht="15.75" hidden="false" customHeight="false" outlineLevel="0" collapsed="false">
      <c r="A1431" s="12"/>
      <c r="B1431" s="13"/>
      <c r="C1431" s="14" t="s">
        <v>5828</v>
      </c>
      <c r="D1431" s="24" t="s">
        <v>61</v>
      </c>
      <c r="E1431" s="16" t="s">
        <v>5829</v>
      </c>
      <c r="F1431" s="16" t="s">
        <v>5830</v>
      </c>
      <c r="G1431" s="17"/>
      <c r="H1431" s="17"/>
      <c r="I1431" s="26" t="s">
        <v>166</v>
      </c>
      <c r="J1431" s="32"/>
      <c r="K1431" s="17"/>
      <c r="L1431" s="38"/>
      <c r="M1431" s="46"/>
      <c r="N1431" s="17"/>
      <c r="O1431" s="17"/>
      <c r="P1431" s="40" t="s">
        <v>168</v>
      </c>
      <c r="Q1431" s="12"/>
      <c r="R1431" s="12" t="s">
        <v>5831</v>
      </c>
      <c r="S1431" s="12"/>
      <c r="T1431" s="12" t="s">
        <v>5832</v>
      </c>
      <c r="U1431" s="12"/>
      <c r="V1431" s="21" t="s">
        <v>31</v>
      </c>
      <c r="Z1431" s="12"/>
      <c r="AA1431" s="29"/>
      <c r="AB1431" s="12" t="s">
        <v>5833</v>
      </c>
      <c r="AC1431" s="12"/>
      <c r="AD1431" s="12"/>
      <c r="AE1431" s="12"/>
      <c r="AF1431" s="47"/>
      <c r="AG1431" s="47"/>
    </row>
    <row r="1432" customFormat="false" ht="15.75" hidden="false" customHeight="false" outlineLevel="0" collapsed="false">
      <c r="A1432" s="12"/>
      <c r="B1432" s="20"/>
      <c r="C1432" s="48" t="s">
        <v>5834</v>
      </c>
      <c r="D1432" s="24" t="s">
        <v>61</v>
      </c>
      <c r="E1432" s="49" t="s">
        <v>5835</v>
      </c>
      <c r="F1432" s="49" t="s">
        <v>5836</v>
      </c>
      <c r="G1432" s="17"/>
      <c r="H1432" s="17"/>
      <c r="I1432" s="26" t="s">
        <v>166</v>
      </c>
      <c r="J1432" s="32"/>
      <c r="K1432" s="17"/>
      <c r="L1432" s="38"/>
      <c r="M1432" s="50"/>
      <c r="N1432" s="17"/>
      <c r="O1432" s="17"/>
      <c r="P1432" s="40" t="s">
        <v>168</v>
      </c>
      <c r="Q1432" s="12"/>
      <c r="R1432" s="12"/>
      <c r="S1432" s="12"/>
      <c r="T1432" s="12" t="s">
        <v>5837</v>
      </c>
      <c r="U1432" s="12"/>
      <c r="V1432" s="21" t="s">
        <v>31</v>
      </c>
      <c r="Z1432" s="12"/>
      <c r="AA1432" s="29"/>
      <c r="AB1432" s="12" t="s">
        <v>5838</v>
      </c>
      <c r="AC1432" s="12"/>
      <c r="AD1432" s="12"/>
      <c r="AE1432" s="12"/>
      <c r="AF1432" s="47"/>
      <c r="AG1432" s="47"/>
    </row>
    <row r="1433" customFormat="false" ht="15.75" hidden="false" customHeight="false" outlineLevel="0" collapsed="false">
      <c r="A1433" s="12"/>
      <c r="B1433" s="12"/>
      <c r="C1433" s="23" t="s">
        <v>5839</v>
      </c>
      <c r="D1433" s="24"/>
      <c r="E1433" s="25" t="s">
        <v>5840</v>
      </c>
      <c r="F1433" s="17" t="s">
        <v>5841</v>
      </c>
      <c r="G1433" s="17" t="s">
        <v>4858</v>
      </c>
      <c r="H1433" s="17"/>
      <c r="I1433" s="26" t="s">
        <v>82</v>
      </c>
      <c r="J1433" s="32"/>
      <c r="K1433" s="17"/>
      <c r="L1433" s="38"/>
      <c r="M1433" s="27"/>
      <c r="N1433" s="17"/>
      <c r="O1433" s="17"/>
      <c r="P1433" s="40" t="s">
        <v>638</v>
      </c>
      <c r="Q1433" s="20"/>
      <c r="R1433" s="20"/>
      <c r="S1433" s="20"/>
      <c r="T1433" s="20"/>
      <c r="U1433" s="20"/>
      <c r="V1433" s="45"/>
      <c r="Z1433" s="20"/>
      <c r="AA1433" s="22"/>
      <c r="AB1433" s="20"/>
      <c r="AC1433" s="20"/>
      <c r="AD1433" s="20"/>
      <c r="AE1433" s="20"/>
    </row>
    <row r="1434" customFormat="false" ht="15.75" hidden="false" customHeight="false" outlineLevel="0" collapsed="false">
      <c r="A1434" s="12"/>
      <c r="B1434" s="13"/>
      <c r="C1434" s="14" t="s">
        <v>5842</v>
      </c>
      <c r="D1434" s="24" t="s">
        <v>61</v>
      </c>
      <c r="E1434" s="16" t="s">
        <v>5843</v>
      </c>
      <c r="F1434" s="16" t="s">
        <v>5844</v>
      </c>
      <c r="G1434" s="17"/>
      <c r="H1434" s="17"/>
      <c r="I1434" s="26" t="s">
        <v>166</v>
      </c>
      <c r="J1434" s="32"/>
      <c r="K1434" s="17"/>
      <c r="L1434" s="38"/>
      <c r="M1434" s="46"/>
      <c r="N1434" s="17"/>
      <c r="O1434" s="17"/>
      <c r="P1434" s="40" t="s">
        <v>168</v>
      </c>
      <c r="Q1434" s="12"/>
      <c r="R1434" s="12" t="s">
        <v>5845</v>
      </c>
      <c r="S1434" s="12"/>
      <c r="T1434" s="12" t="s">
        <v>5846</v>
      </c>
      <c r="U1434" s="12" t="s">
        <v>5847</v>
      </c>
      <c r="V1434" s="21" t="s">
        <v>31</v>
      </c>
      <c r="Z1434" s="12"/>
      <c r="AA1434" s="29"/>
      <c r="AB1434" s="12" t="s">
        <v>5848</v>
      </c>
      <c r="AC1434" s="12"/>
      <c r="AD1434" s="12"/>
      <c r="AE1434" s="12"/>
      <c r="AF1434" s="47"/>
      <c r="AG1434" s="47"/>
    </row>
    <row r="1435" customFormat="false" ht="15.75" hidden="false" customHeight="false" outlineLevel="0" collapsed="false">
      <c r="A1435" s="12"/>
      <c r="B1435" s="12"/>
      <c r="C1435" s="23" t="s">
        <v>5849</v>
      </c>
      <c r="D1435" s="24"/>
      <c r="E1435" s="25" t="s">
        <v>5850</v>
      </c>
      <c r="F1435" s="17" t="s">
        <v>5851</v>
      </c>
      <c r="G1435" s="17" t="s">
        <v>2629</v>
      </c>
      <c r="H1435" s="17"/>
      <c r="I1435" s="26" t="s">
        <v>82</v>
      </c>
      <c r="J1435" s="32"/>
      <c r="K1435" s="17"/>
      <c r="L1435" s="38"/>
      <c r="M1435" s="27"/>
      <c r="N1435" s="17"/>
      <c r="O1435" s="17"/>
      <c r="P1435" s="40" t="s">
        <v>638</v>
      </c>
      <c r="Q1435" s="12"/>
      <c r="R1435" s="12" t="s">
        <v>5852</v>
      </c>
      <c r="S1435" s="12"/>
      <c r="T1435" s="12" t="s">
        <v>5853</v>
      </c>
      <c r="U1435" s="12"/>
      <c r="V1435" s="21" t="s">
        <v>31</v>
      </c>
      <c r="Z1435" s="12"/>
      <c r="AA1435" s="29"/>
      <c r="AB1435" s="12"/>
      <c r="AC1435" s="12"/>
      <c r="AD1435" s="12"/>
      <c r="AE1435" s="12"/>
    </row>
    <row r="1436" customFormat="false" ht="15.75" hidden="false" customHeight="false" outlineLevel="0" collapsed="false">
      <c r="A1436" s="12"/>
      <c r="B1436" s="20"/>
      <c r="C1436" s="48" t="s">
        <v>5854</v>
      </c>
      <c r="D1436" s="24" t="s">
        <v>61</v>
      </c>
      <c r="E1436" s="49" t="s">
        <v>5855</v>
      </c>
      <c r="F1436" s="49" t="s">
        <v>5856</v>
      </c>
      <c r="G1436" s="17"/>
      <c r="H1436" s="17"/>
      <c r="I1436" s="26" t="s">
        <v>166</v>
      </c>
      <c r="J1436" s="32"/>
      <c r="K1436" s="17"/>
      <c r="L1436" s="38"/>
      <c r="M1436" s="46"/>
      <c r="N1436" s="17"/>
      <c r="O1436" s="17"/>
      <c r="P1436" s="40" t="s">
        <v>168</v>
      </c>
      <c r="Q1436" s="12"/>
      <c r="R1436" s="12" t="s">
        <v>5857</v>
      </c>
      <c r="S1436" s="12"/>
      <c r="T1436" s="12" t="s">
        <v>5858</v>
      </c>
      <c r="U1436" s="12"/>
      <c r="V1436" s="21" t="s">
        <v>31</v>
      </c>
      <c r="Z1436" s="12"/>
      <c r="AA1436" s="29"/>
      <c r="AB1436" s="12" t="s">
        <v>5859</v>
      </c>
      <c r="AC1436" s="12"/>
      <c r="AD1436" s="12"/>
      <c r="AE1436" s="12"/>
      <c r="AG1436" s="47"/>
    </row>
    <row r="1437" customFormat="false" ht="15.75" hidden="false" customHeight="false" outlineLevel="0" collapsed="false">
      <c r="A1437" s="12"/>
      <c r="B1437" s="12"/>
      <c r="C1437" s="23" t="s">
        <v>5860</v>
      </c>
      <c r="D1437" s="24"/>
      <c r="E1437" s="25" t="s">
        <v>5861</v>
      </c>
      <c r="F1437" s="17" t="s">
        <v>5862</v>
      </c>
      <c r="G1437" s="17" t="s">
        <v>2629</v>
      </c>
      <c r="H1437" s="17"/>
      <c r="I1437" s="26" t="s">
        <v>82</v>
      </c>
      <c r="J1437" s="32"/>
      <c r="K1437" s="17"/>
      <c r="L1437" s="38"/>
      <c r="M1437" s="27"/>
      <c r="N1437" s="17"/>
      <c r="O1437" s="17"/>
      <c r="P1437" s="40" t="s">
        <v>638</v>
      </c>
      <c r="Q1437" s="12"/>
      <c r="R1437" s="12" t="s">
        <v>5863</v>
      </c>
      <c r="S1437" s="12"/>
      <c r="T1437" s="12" t="s">
        <v>5864</v>
      </c>
      <c r="U1437" s="12"/>
      <c r="V1437" s="21" t="s">
        <v>31</v>
      </c>
      <c r="Z1437" s="12"/>
      <c r="AA1437" s="29"/>
      <c r="AB1437" s="12"/>
      <c r="AC1437" s="12"/>
      <c r="AD1437" s="12"/>
      <c r="AE1437" s="12"/>
    </row>
    <row r="1438" customFormat="false" ht="15.75" hidden="false" customHeight="false" outlineLevel="0" collapsed="false">
      <c r="A1438" s="12"/>
      <c r="B1438" s="12"/>
      <c r="C1438" s="23" t="s">
        <v>5865</v>
      </c>
      <c r="D1438" s="24"/>
      <c r="E1438" s="25" t="s">
        <v>5866</v>
      </c>
      <c r="F1438" s="17" t="s">
        <v>5867</v>
      </c>
      <c r="G1438" s="17" t="s">
        <v>2629</v>
      </c>
      <c r="H1438" s="17"/>
      <c r="I1438" s="26" t="s">
        <v>82</v>
      </c>
      <c r="J1438" s="32"/>
      <c r="K1438" s="17"/>
      <c r="L1438" s="38"/>
      <c r="M1438" s="27"/>
      <c r="N1438" s="17"/>
      <c r="O1438" s="17"/>
      <c r="P1438" s="40" t="s">
        <v>638</v>
      </c>
      <c r="Q1438" s="47"/>
      <c r="R1438" s="47" t="s">
        <v>5868</v>
      </c>
      <c r="S1438" s="47"/>
      <c r="T1438" s="47" t="s">
        <v>5869</v>
      </c>
      <c r="V1438" s="21" t="s">
        <v>31</v>
      </c>
      <c r="AA1438" s="63"/>
    </row>
    <row r="1439" customFormat="false" ht="15.75" hidden="false" customHeight="false" outlineLevel="0" collapsed="false">
      <c r="A1439" s="12"/>
      <c r="B1439" s="12"/>
      <c r="C1439" s="23" t="s">
        <v>5870</v>
      </c>
      <c r="D1439" s="24"/>
      <c r="E1439" s="25" t="s">
        <v>5871</v>
      </c>
      <c r="F1439" s="17" t="s">
        <v>5872</v>
      </c>
      <c r="G1439" s="17" t="s">
        <v>1600</v>
      </c>
      <c r="H1439" s="17"/>
      <c r="I1439" s="26" t="s">
        <v>82</v>
      </c>
      <c r="J1439" s="32"/>
      <c r="K1439" s="17"/>
      <c r="L1439" s="38"/>
      <c r="M1439" s="27"/>
      <c r="N1439" s="17"/>
      <c r="O1439" s="17"/>
      <c r="P1439" s="40" t="s">
        <v>638</v>
      </c>
      <c r="Q1439" s="20"/>
      <c r="R1439" s="20" t="s">
        <v>5873</v>
      </c>
      <c r="S1439" s="20"/>
      <c r="T1439" s="20" t="s">
        <v>5874</v>
      </c>
      <c r="U1439" s="20"/>
      <c r="V1439" s="21" t="s">
        <v>31</v>
      </c>
      <c r="Z1439" s="20"/>
      <c r="AA1439" s="22"/>
      <c r="AB1439" s="20"/>
      <c r="AC1439" s="20"/>
      <c r="AD1439" s="20"/>
      <c r="AE1439" s="20"/>
    </row>
    <row r="1440" customFormat="false" ht="15.75" hidden="false" customHeight="false" outlineLevel="0" collapsed="false">
      <c r="A1440" s="12"/>
      <c r="B1440" s="20"/>
      <c r="C1440" s="48" t="s">
        <v>5875</v>
      </c>
      <c r="D1440" s="24" t="s">
        <v>61</v>
      </c>
      <c r="E1440" s="49" t="s">
        <v>5876</v>
      </c>
      <c r="F1440" s="49" t="s">
        <v>5877</v>
      </c>
      <c r="G1440" s="17"/>
      <c r="H1440" s="17"/>
      <c r="I1440" s="26" t="s">
        <v>166</v>
      </c>
      <c r="J1440" s="32"/>
      <c r="K1440" s="17"/>
      <c r="L1440" s="38"/>
      <c r="M1440" s="50"/>
      <c r="N1440" s="17"/>
      <c r="O1440" s="17"/>
      <c r="P1440" s="40" t="s">
        <v>168</v>
      </c>
      <c r="Q1440" s="12"/>
      <c r="R1440" s="12" t="s">
        <v>5878</v>
      </c>
      <c r="S1440" s="12"/>
      <c r="T1440" s="12" t="s">
        <v>5879</v>
      </c>
      <c r="U1440" s="12" t="s">
        <v>5880</v>
      </c>
      <c r="V1440" s="21" t="s">
        <v>31</v>
      </c>
      <c r="Z1440" s="12"/>
      <c r="AA1440" s="29"/>
      <c r="AB1440" s="12" t="s">
        <v>5881</v>
      </c>
      <c r="AC1440" s="12"/>
      <c r="AD1440" s="12"/>
      <c r="AE1440" s="12"/>
      <c r="AF1440" s="47"/>
      <c r="AG1440" s="47"/>
    </row>
    <row r="1441" customFormat="false" ht="15.75" hidden="false" customHeight="false" outlineLevel="0" collapsed="false">
      <c r="A1441" s="12"/>
      <c r="B1441" s="12"/>
      <c r="C1441" s="23" t="s">
        <v>5882</v>
      </c>
      <c r="D1441" s="24"/>
      <c r="E1441" s="25" t="s">
        <v>5883</v>
      </c>
      <c r="F1441" s="17" t="s">
        <v>5884</v>
      </c>
      <c r="G1441" s="17" t="s">
        <v>1100</v>
      </c>
      <c r="H1441" s="17"/>
      <c r="I1441" s="26" t="s">
        <v>82</v>
      </c>
      <c r="J1441" s="32"/>
      <c r="K1441" s="17"/>
      <c r="L1441" s="38"/>
      <c r="M1441" s="27"/>
      <c r="N1441" s="17"/>
      <c r="O1441" s="17"/>
      <c r="P1441" s="40" t="s">
        <v>638</v>
      </c>
      <c r="Q1441" s="47"/>
      <c r="R1441" s="47" t="s">
        <v>5885</v>
      </c>
      <c r="S1441" s="47"/>
      <c r="T1441" s="47" t="s">
        <v>5886</v>
      </c>
      <c r="V1441" s="21" t="s">
        <v>31</v>
      </c>
      <c r="AA1441" s="63"/>
    </row>
    <row r="1442" customFormat="false" ht="15.75" hidden="false" customHeight="false" outlineLevel="0" collapsed="false">
      <c r="A1442" s="12"/>
      <c r="B1442" s="12"/>
      <c r="C1442" s="23" t="s">
        <v>5887</v>
      </c>
      <c r="D1442" s="24"/>
      <c r="E1442" s="25" t="s">
        <v>5888</v>
      </c>
      <c r="F1442" s="17" t="s">
        <v>5889</v>
      </c>
      <c r="G1442" s="17" t="s">
        <v>5890</v>
      </c>
      <c r="H1442" s="17"/>
      <c r="I1442" s="26" t="s">
        <v>82</v>
      </c>
      <c r="J1442" s="32"/>
      <c r="K1442" s="17"/>
      <c r="L1442" s="38"/>
      <c r="M1442" s="27"/>
      <c r="N1442" s="17"/>
      <c r="O1442" s="17"/>
      <c r="P1442" s="40" t="s">
        <v>638</v>
      </c>
      <c r="Q1442" s="47"/>
      <c r="R1442" s="47" t="s">
        <v>5891</v>
      </c>
      <c r="S1442" s="47"/>
      <c r="T1442" s="47" t="s">
        <v>5892</v>
      </c>
      <c r="V1442" s="21" t="s">
        <v>31</v>
      </c>
      <c r="AA1442" s="63"/>
    </row>
    <row r="1443" customFormat="false" ht="15.75" hidden="false" customHeight="false" outlineLevel="0" collapsed="false">
      <c r="A1443" s="12"/>
      <c r="B1443" s="12"/>
      <c r="C1443" s="23" t="s">
        <v>5893</v>
      </c>
      <c r="D1443" s="24"/>
      <c r="E1443" s="25" t="s">
        <v>5894</v>
      </c>
      <c r="F1443" s="17" t="s">
        <v>5895</v>
      </c>
      <c r="G1443" s="17" t="s">
        <v>1600</v>
      </c>
      <c r="H1443" s="17"/>
      <c r="I1443" s="26" t="s">
        <v>82</v>
      </c>
      <c r="J1443" s="32"/>
      <c r="K1443" s="17"/>
      <c r="L1443" s="38"/>
      <c r="M1443" s="27"/>
      <c r="N1443" s="17"/>
      <c r="O1443" s="17"/>
      <c r="P1443" s="40" t="s">
        <v>638</v>
      </c>
      <c r="Q1443" s="12"/>
      <c r="R1443" s="12" t="s">
        <v>5896</v>
      </c>
      <c r="S1443" s="12"/>
      <c r="T1443" s="12" t="s">
        <v>5897</v>
      </c>
      <c r="U1443" s="12"/>
      <c r="V1443" s="21" t="s">
        <v>31</v>
      </c>
      <c r="Z1443" s="12"/>
      <c r="AA1443" s="29"/>
      <c r="AB1443" s="12"/>
      <c r="AC1443" s="12"/>
      <c r="AD1443" s="12"/>
      <c r="AE1443" s="12"/>
    </row>
    <row r="1444" customFormat="false" ht="15.75" hidden="false" customHeight="false" outlineLevel="0" collapsed="false">
      <c r="A1444" s="12"/>
      <c r="B1444" s="20"/>
      <c r="C1444" s="48" t="s">
        <v>5898</v>
      </c>
      <c r="D1444" s="24" t="s">
        <v>61</v>
      </c>
      <c r="E1444" s="49" t="s">
        <v>5899</v>
      </c>
      <c r="F1444" s="49" t="s">
        <v>5900</v>
      </c>
      <c r="G1444" s="17"/>
      <c r="H1444" s="17"/>
      <c r="I1444" s="26" t="s">
        <v>166</v>
      </c>
      <c r="J1444" s="32"/>
      <c r="K1444" s="17"/>
      <c r="L1444" s="38"/>
      <c r="M1444" s="50"/>
      <c r="N1444" s="17"/>
      <c r="O1444" s="17"/>
      <c r="P1444" s="40" t="s">
        <v>168</v>
      </c>
      <c r="Q1444" s="12"/>
      <c r="R1444" s="12" t="s">
        <v>5901</v>
      </c>
      <c r="S1444" s="12"/>
      <c r="T1444" s="12" t="s">
        <v>5902</v>
      </c>
      <c r="U1444" s="12" t="s">
        <v>5903</v>
      </c>
      <c r="V1444" s="21" t="s">
        <v>31</v>
      </c>
      <c r="Z1444" s="12"/>
      <c r="AA1444" s="29"/>
      <c r="AB1444" s="12" t="s">
        <v>5904</v>
      </c>
      <c r="AC1444" s="12"/>
      <c r="AD1444" s="12"/>
      <c r="AE1444" s="12"/>
      <c r="AF1444" s="47"/>
      <c r="AG1444" s="47"/>
    </row>
    <row r="1445" customFormat="false" ht="15.75" hidden="false" customHeight="false" outlineLevel="0" collapsed="false">
      <c r="A1445" s="12"/>
      <c r="B1445" s="20"/>
      <c r="C1445" s="48" t="s">
        <v>5905</v>
      </c>
      <c r="D1445" s="24" t="s">
        <v>61</v>
      </c>
      <c r="E1445" s="49" t="s">
        <v>5906</v>
      </c>
      <c r="F1445" s="49" t="s">
        <v>5907</v>
      </c>
      <c r="G1445" s="17"/>
      <c r="H1445" s="17"/>
      <c r="I1445" s="26" t="s">
        <v>166</v>
      </c>
      <c r="J1445" s="32"/>
      <c r="K1445" s="17"/>
      <c r="L1445" s="38"/>
      <c r="M1445" s="50"/>
      <c r="N1445" s="17"/>
      <c r="O1445" s="17"/>
      <c r="P1445" s="40" t="s">
        <v>168</v>
      </c>
      <c r="Q1445" s="12"/>
      <c r="R1445" s="12" t="s">
        <v>5908</v>
      </c>
      <c r="S1445" s="12"/>
      <c r="T1445" s="12" t="s">
        <v>5909</v>
      </c>
      <c r="U1445" s="12" t="s">
        <v>5910</v>
      </c>
      <c r="V1445" s="21" t="s">
        <v>31</v>
      </c>
      <c r="Z1445" s="12"/>
      <c r="AA1445" s="29"/>
      <c r="AB1445" s="12" t="s">
        <v>5911</v>
      </c>
      <c r="AC1445" s="12"/>
      <c r="AD1445" s="12"/>
      <c r="AE1445" s="12"/>
      <c r="AF1445" s="47"/>
      <c r="AG1445" s="47"/>
    </row>
    <row r="1446" customFormat="false" ht="15.75" hidden="false" customHeight="false" outlineLevel="0" collapsed="false">
      <c r="A1446" s="12"/>
      <c r="B1446" s="12"/>
      <c r="C1446" s="23" t="s">
        <v>5912</v>
      </c>
      <c r="D1446" s="24"/>
      <c r="E1446" s="25" t="s">
        <v>5913</v>
      </c>
      <c r="F1446" s="17" t="s">
        <v>5914</v>
      </c>
      <c r="G1446" s="17" t="s">
        <v>1100</v>
      </c>
      <c r="H1446" s="17"/>
      <c r="I1446" s="26" t="s">
        <v>82</v>
      </c>
      <c r="J1446" s="32"/>
      <c r="K1446" s="17"/>
      <c r="L1446" s="38"/>
      <c r="M1446" s="27"/>
      <c r="N1446" s="17"/>
      <c r="O1446" s="17"/>
      <c r="P1446" s="40" t="s">
        <v>638</v>
      </c>
      <c r="Q1446" s="12"/>
      <c r="R1446" s="12" t="s">
        <v>5915</v>
      </c>
      <c r="S1446" s="12"/>
      <c r="T1446" s="12"/>
      <c r="U1446" s="12"/>
      <c r="V1446" s="21"/>
      <c r="Z1446" s="12"/>
      <c r="AA1446" s="29"/>
      <c r="AB1446" s="12"/>
      <c r="AC1446" s="12"/>
      <c r="AD1446" s="12"/>
      <c r="AE1446" s="12"/>
    </row>
    <row r="1447" customFormat="false" ht="15.75" hidden="false" customHeight="false" outlineLevel="0" collapsed="false">
      <c r="A1447" s="12"/>
      <c r="B1447" s="13"/>
      <c r="C1447" s="14" t="s">
        <v>5916</v>
      </c>
      <c r="D1447" s="24" t="s">
        <v>51</v>
      </c>
      <c r="E1447" s="16" t="s">
        <v>5917</v>
      </c>
      <c r="F1447" s="16" t="s">
        <v>5918</v>
      </c>
      <c r="G1447" s="17"/>
      <c r="H1447" s="17"/>
      <c r="I1447" s="26" t="s">
        <v>166</v>
      </c>
      <c r="J1447" s="32"/>
      <c r="K1447" s="17"/>
      <c r="L1447" s="38"/>
      <c r="M1447" s="46"/>
      <c r="N1447" s="17"/>
      <c r="O1447" s="17"/>
      <c r="P1447" s="40" t="s">
        <v>168</v>
      </c>
      <c r="Q1447" s="12"/>
      <c r="R1447" s="12" t="s">
        <v>5919</v>
      </c>
      <c r="S1447" s="12"/>
      <c r="T1447" s="12" t="s">
        <v>5920</v>
      </c>
      <c r="U1447" s="12"/>
      <c r="V1447" s="21" t="s">
        <v>31</v>
      </c>
      <c r="Z1447" s="12"/>
      <c r="AA1447" s="29"/>
      <c r="AB1447" s="12" t="s">
        <v>5921</v>
      </c>
      <c r="AC1447" s="12"/>
      <c r="AD1447" s="12"/>
      <c r="AE1447" s="12"/>
      <c r="AF1447" s="47"/>
      <c r="AG1447" s="47"/>
    </row>
    <row r="1448" customFormat="false" ht="15.75" hidden="false" customHeight="false" outlineLevel="0" collapsed="false">
      <c r="A1448" s="12"/>
      <c r="B1448" s="13"/>
      <c r="C1448" s="14" t="s">
        <v>5922</v>
      </c>
      <c r="D1448" s="24" t="s">
        <v>51</v>
      </c>
      <c r="E1448" s="16" t="s">
        <v>5923</v>
      </c>
      <c r="F1448" s="16" t="s">
        <v>5924</v>
      </c>
      <c r="G1448" s="17"/>
      <c r="H1448" s="17"/>
      <c r="I1448" s="26" t="s">
        <v>166</v>
      </c>
      <c r="J1448" s="32"/>
      <c r="K1448" s="17"/>
      <c r="L1448" s="38"/>
      <c r="M1448" s="46"/>
      <c r="N1448" s="17"/>
      <c r="O1448" s="17"/>
      <c r="P1448" s="40" t="s">
        <v>168</v>
      </c>
      <c r="Q1448" s="12"/>
      <c r="R1448" s="12" t="s">
        <v>5925</v>
      </c>
      <c r="S1448" s="12"/>
      <c r="T1448" s="12" t="s">
        <v>5926</v>
      </c>
      <c r="U1448" s="12" t="s">
        <v>5927</v>
      </c>
      <c r="V1448" s="21" t="s">
        <v>31</v>
      </c>
      <c r="Z1448" s="12"/>
      <c r="AA1448" s="29"/>
      <c r="AB1448" s="12" t="s">
        <v>5928</v>
      </c>
      <c r="AC1448" s="12"/>
      <c r="AD1448" s="12"/>
      <c r="AE1448" s="12"/>
      <c r="AF1448" s="47"/>
      <c r="AG1448" s="47"/>
    </row>
    <row r="1449" customFormat="false" ht="15.75" hidden="false" customHeight="false" outlineLevel="0" collapsed="false">
      <c r="A1449" s="12"/>
      <c r="B1449" s="12"/>
      <c r="C1449" s="23" t="s">
        <v>5929</v>
      </c>
      <c r="D1449" s="24"/>
      <c r="E1449" s="17"/>
      <c r="F1449" s="17" t="s">
        <v>5930</v>
      </c>
      <c r="G1449" s="17" t="s">
        <v>5931</v>
      </c>
      <c r="H1449" s="17"/>
      <c r="I1449" s="26" t="s">
        <v>82</v>
      </c>
      <c r="J1449" s="32"/>
      <c r="K1449" s="17"/>
      <c r="L1449" s="38"/>
      <c r="M1449" s="27"/>
      <c r="N1449" s="17"/>
      <c r="O1449" s="17"/>
      <c r="P1449" s="40" t="s">
        <v>638</v>
      </c>
      <c r="Q1449" s="12"/>
      <c r="R1449" s="12" t="s">
        <v>5932</v>
      </c>
      <c r="S1449" s="12"/>
      <c r="T1449" s="12" t="s">
        <v>5933</v>
      </c>
      <c r="U1449" s="12"/>
      <c r="V1449" s="21" t="s">
        <v>31</v>
      </c>
      <c r="Z1449" s="12"/>
      <c r="AA1449" s="29"/>
      <c r="AB1449" s="12"/>
      <c r="AC1449" s="12"/>
      <c r="AD1449" s="12"/>
      <c r="AE1449" s="12"/>
    </row>
    <row r="1450" customFormat="false" ht="15.75" hidden="false" customHeight="false" outlineLevel="0" collapsed="false">
      <c r="A1450" s="12"/>
      <c r="B1450" s="20"/>
      <c r="C1450" s="48" t="s">
        <v>5934</v>
      </c>
      <c r="D1450" s="24" t="s">
        <v>61</v>
      </c>
      <c r="E1450" s="49" t="s">
        <v>5935</v>
      </c>
      <c r="F1450" s="49" t="s">
        <v>5936</v>
      </c>
      <c r="G1450" s="17"/>
      <c r="H1450" s="17"/>
      <c r="I1450" s="26" t="s">
        <v>166</v>
      </c>
      <c r="J1450" s="32"/>
      <c r="K1450" s="17"/>
      <c r="L1450" s="38"/>
      <c r="M1450" s="46"/>
      <c r="N1450" s="17"/>
      <c r="O1450" s="17"/>
      <c r="P1450" s="40" t="s">
        <v>168</v>
      </c>
      <c r="Q1450" s="12"/>
      <c r="R1450" s="12"/>
      <c r="S1450" s="12"/>
      <c r="T1450" s="12" t="s">
        <v>5937</v>
      </c>
      <c r="U1450" s="12"/>
      <c r="V1450" s="21" t="s">
        <v>31</v>
      </c>
      <c r="Z1450" s="12"/>
      <c r="AA1450" s="29"/>
      <c r="AB1450" s="12" t="s">
        <v>5938</v>
      </c>
      <c r="AC1450" s="12"/>
      <c r="AD1450" s="12"/>
      <c r="AE1450" s="12"/>
      <c r="AF1450" s="47"/>
      <c r="AG1450" s="47"/>
    </row>
    <row r="1451" customFormat="false" ht="15.75" hidden="false" customHeight="false" outlineLevel="0" collapsed="false">
      <c r="A1451" s="12"/>
      <c r="B1451" s="20"/>
      <c r="C1451" s="48" t="s">
        <v>384</v>
      </c>
      <c r="D1451" s="24"/>
      <c r="E1451" s="49" t="s">
        <v>5939</v>
      </c>
      <c r="F1451" s="49" t="s">
        <v>5940</v>
      </c>
      <c r="G1451" s="17"/>
      <c r="H1451" s="17"/>
      <c r="I1451" s="26" t="s">
        <v>166</v>
      </c>
      <c r="J1451" s="32"/>
      <c r="K1451" s="17"/>
      <c r="L1451" s="38"/>
      <c r="M1451" s="50"/>
      <c r="N1451" s="17"/>
      <c r="O1451" s="17"/>
      <c r="P1451" s="40" t="s">
        <v>168</v>
      </c>
      <c r="Q1451" s="12"/>
      <c r="R1451" s="12"/>
      <c r="S1451" s="12"/>
      <c r="T1451" s="12"/>
      <c r="U1451" s="12"/>
      <c r="V1451" s="21"/>
      <c r="Z1451" s="12"/>
      <c r="AA1451" s="29"/>
      <c r="AB1451" s="50" t="s">
        <v>5941</v>
      </c>
      <c r="AC1451" s="12"/>
      <c r="AD1451" s="12"/>
      <c r="AE1451" s="12"/>
      <c r="AF1451" s="47"/>
      <c r="AG1451" s="47"/>
    </row>
    <row r="1452" customFormat="false" ht="15.75" hidden="false" customHeight="false" outlineLevel="0" collapsed="false">
      <c r="A1452" s="12"/>
      <c r="B1452" s="20"/>
      <c r="C1452" s="48" t="s">
        <v>5942</v>
      </c>
      <c r="D1452" s="24"/>
      <c r="E1452" s="49" t="s">
        <v>5943</v>
      </c>
      <c r="F1452" s="49" t="s">
        <v>5944</v>
      </c>
      <c r="G1452" s="17"/>
      <c r="H1452" s="17"/>
      <c r="I1452" s="26" t="s">
        <v>166</v>
      </c>
      <c r="J1452" s="32"/>
      <c r="K1452" s="17"/>
      <c r="L1452" s="38"/>
      <c r="M1452" s="50"/>
      <c r="N1452" s="17"/>
      <c r="O1452" s="17"/>
      <c r="P1452" s="40" t="s">
        <v>168</v>
      </c>
      <c r="Q1452" s="12"/>
      <c r="R1452" s="12"/>
      <c r="S1452" s="12"/>
      <c r="T1452" s="12"/>
      <c r="U1452" s="12"/>
      <c r="V1452" s="21"/>
      <c r="Z1452" s="12"/>
      <c r="AA1452" s="29"/>
      <c r="AB1452" s="50" t="s">
        <v>5945</v>
      </c>
      <c r="AC1452" s="12"/>
      <c r="AD1452" s="12"/>
      <c r="AE1452" s="12"/>
      <c r="AG1452" s="47"/>
    </row>
    <row r="1453" customFormat="false" ht="15.75" hidden="false" customHeight="false" outlineLevel="0" collapsed="false">
      <c r="A1453" s="12"/>
      <c r="B1453" s="13"/>
      <c r="C1453" s="14" t="s">
        <v>5946</v>
      </c>
      <c r="D1453" s="24"/>
      <c r="E1453" s="16" t="s">
        <v>5947</v>
      </c>
      <c r="F1453" s="16" t="s">
        <v>5948</v>
      </c>
      <c r="G1453" s="17"/>
      <c r="H1453" s="17"/>
      <c r="I1453" s="26" t="s">
        <v>166</v>
      </c>
      <c r="J1453" s="32"/>
      <c r="K1453" s="17"/>
      <c r="L1453" s="38"/>
      <c r="M1453" s="46"/>
      <c r="N1453" s="17"/>
      <c r="O1453" s="17"/>
      <c r="P1453" s="40" t="s">
        <v>168</v>
      </c>
      <c r="Q1453" s="20"/>
      <c r="R1453" s="20"/>
      <c r="S1453" s="20"/>
      <c r="T1453" s="20"/>
      <c r="U1453" s="20"/>
      <c r="V1453" s="45"/>
      <c r="Z1453" s="20"/>
      <c r="AA1453" s="22"/>
      <c r="AB1453" s="46" t="s">
        <v>5949</v>
      </c>
      <c r="AC1453" s="20"/>
      <c r="AD1453" s="20"/>
      <c r="AE1453" s="20"/>
    </row>
    <row r="1454" customFormat="false" ht="15.75" hidden="false" customHeight="false" outlineLevel="0" collapsed="false">
      <c r="A1454" s="12"/>
      <c r="B1454" s="20"/>
      <c r="C1454" s="48" t="s">
        <v>5950</v>
      </c>
      <c r="D1454" s="24"/>
      <c r="E1454" s="49" t="s">
        <v>5951</v>
      </c>
      <c r="F1454" s="49" t="s">
        <v>5952</v>
      </c>
      <c r="G1454" s="17"/>
      <c r="H1454" s="17"/>
      <c r="I1454" s="26" t="s">
        <v>166</v>
      </c>
      <c r="J1454" s="32"/>
      <c r="K1454" s="17"/>
      <c r="L1454" s="38"/>
      <c r="M1454" s="50"/>
      <c r="N1454" s="17"/>
      <c r="O1454" s="17"/>
      <c r="P1454" s="40" t="s">
        <v>168</v>
      </c>
      <c r="Q1454" s="20"/>
      <c r="R1454" s="20"/>
      <c r="S1454" s="20"/>
      <c r="T1454" s="20"/>
      <c r="U1454" s="20"/>
      <c r="V1454" s="45"/>
      <c r="Z1454" s="20"/>
      <c r="AA1454" s="22"/>
      <c r="AB1454" s="50" t="s">
        <v>5953</v>
      </c>
      <c r="AC1454" s="20"/>
      <c r="AD1454" s="20"/>
      <c r="AE1454" s="20"/>
      <c r="AG1454" s="47"/>
    </row>
    <row r="1455" customFormat="false" ht="15.75" hidden="false" customHeight="false" outlineLevel="0" collapsed="false">
      <c r="A1455" s="12"/>
      <c r="B1455" s="13"/>
      <c r="C1455" s="14" t="s">
        <v>5954</v>
      </c>
      <c r="D1455" s="24"/>
      <c r="E1455" s="16" t="s">
        <v>5955</v>
      </c>
      <c r="F1455" s="16" t="s">
        <v>5956</v>
      </c>
      <c r="G1455" s="17"/>
      <c r="H1455" s="17"/>
      <c r="I1455" s="26" t="s">
        <v>166</v>
      </c>
      <c r="J1455" s="32"/>
      <c r="K1455" s="17"/>
      <c r="L1455" s="38"/>
      <c r="M1455" s="78"/>
      <c r="N1455" s="17"/>
      <c r="O1455" s="17"/>
      <c r="P1455" s="40" t="s">
        <v>168</v>
      </c>
      <c r="Q1455" s="12"/>
      <c r="R1455" s="12"/>
      <c r="S1455" s="12"/>
      <c r="T1455" s="12"/>
      <c r="U1455" s="12"/>
      <c r="V1455" s="21"/>
      <c r="Z1455" s="12"/>
      <c r="AA1455" s="29"/>
      <c r="AB1455" s="78" t="s">
        <v>5957</v>
      </c>
      <c r="AC1455" s="12"/>
      <c r="AD1455" s="12"/>
      <c r="AE1455" s="12"/>
      <c r="AG1455" s="47"/>
    </row>
    <row r="1456" customFormat="false" ht="15.75" hidden="false" customHeight="false" outlineLevel="0" collapsed="false">
      <c r="A1456" s="12"/>
      <c r="B1456" s="12"/>
      <c r="C1456" s="23" t="s">
        <v>5958</v>
      </c>
      <c r="D1456" s="24"/>
      <c r="E1456" s="25" t="s">
        <v>5959</v>
      </c>
      <c r="F1456" s="17" t="s">
        <v>5960</v>
      </c>
      <c r="G1456" s="17" t="s">
        <v>2629</v>
      </c>
      <c r="H1456" s="17"/>
      <c r="I1456" s="26" t="s">
        <v>82</v>
      </c>
      <c r="J1456" s="32"/>
      <c r="K1456" s="17"/>
      <c r="L1456" s="38"/>
      <c r="M1456" s="27"/>
      <c r="N1456" s="17"/>
      <c r="O1456" s="17"/>
      <c r="P1456" s="40" t="s">
        <v>638</v>
      </c>
      <c r="Q1456" s="20"/>
      <c r="R1456" s="20" t="s">
        <v>5961</v>
      </c>
      <c r="S1456" s="20"/>
      <c r="T1456" s="20" t="s">
        <v>5962</v>
      </c>
      <c r="U1456" s="20"/>
      <c r="V1456" s="21" t="s">
        <v>31</v>
      </c>
      <c r="Z1456" s="20"/>
      <c r="AA1456" s="22"/>
      <c r="AB1456" s="84"/>
      <c r="AC1456" s="20"/>
      <c r="AD1456" s="20"/>
      <c r="AE1456" s="20"/>
    </row>
    <row r="1457" customFormat="false" ht="15.75" hidden="false" customHeight="false" outlineLevel="0" collapsed="false">
      <c r="A1457" s="12"/>
      <c r="B1457" s="20"/>
      <c r="C1457" s="48" t="s">
        <v>5963</v>
      </c>
      <c r="D1457" s="24"/>
      <c r="E1457" s="49" t="s">
        <v>5964</v>
      </c>
      <c r="F1457" s="49" t="s">
        <v>5965</v>
      </c>
      <c r="G1457" s="17"/>
      <c r="H1457" s="17"/>
      <c r="I1457" s="26" t="s">
        <v>166</v>
      </c>
      <c r="J1457" s="32"/>
      <c r="K1457" s="17"/>
      <c r="L1457" s="38"/>
      <c r="M1457" s="50"/>
      <c r="N1457" s="17"/>
      <c r="O1457" s="17"/>
      <c r="P1457" s="40" t="s">
        <v>168</v>
      </c>
      <c r="Q1457" s="17"/>
      <c r="R1457" s="17"/>
      <c r="S1457" s="17"/>
      <c r="T1457" s="17"/>
      <c r="U1457" s="17"/>
      <c r="V1457" s="27"/>
      <c r="Z1457" s="17"/>
      <c r="AA1457" s="29"/>
      <c r="AB1457" s="50" t="s">
        <v>5966</v>
      </c>
      <c r="AC1457" s="17"/>
      <c r="AD1457" s="17"/>
      <c r="AE1457" s="17"/>
      <c r="AG1457" s="47"/>
    </row>
    <row r="1458" customFormat="false" ht="15.75" hidden="false" customHeight="false" outlineLevel="0" collapsed="false">
      <c r="A1458" s="12"/>
      <c r="B1458" s="12"/>
      <c r="C1458" s="23" t="s">
        <v>5967</v>
      </c>
      <c r="D1458" s="24"/>
      <c r="E1458" s="17" t="s">
        <v>5968</v>
      </c>
      <c r="F1458" s="17" t="s">
        <v>5969</v>
      </c>
      <c r="G1458" s="17"/>
      <c r="H1458" s="17"/>
      <c r="I1458" s="26" t="s">
        <v>82</v>
      </c>
      <c r="J1458" s="32"/>
      <c r="K1458" s="17"/>
      <c r="L1458" s="38"/>
      <c r="M1458" s="27"/>
      <c r="N1458" s="17"/>
      <c r="O1458" s="17"/>
      <c r="P1458" s="40" t="s">
        <v>638</v>
      </c>
      <c r="Q1458" s="12"/>
      <c r="R1458" s="12" t="s">
        <v>5970</v>
      </c>
      <c r="S1458" s="12"/>
      <c r="T1458" s="12"/>
      <c r="U1458" s="12"/>
      <c r="V1458" s="21"/>
      <c r="Z1458" s="12"/>
      <c r="AA1458" s="29"/>
      <c r="AB1458" s="84"/>
      <c r="AC1458" s="12"/>
      <c r="AD1458" s="12"/>
      <c r="AE1458" s="12"/>
    </row>
    <row r="1459" customFormat="false" ht="15.75" hidden="false" customHeight="false" outlineLevel="0" collapsed="false">
      <c r="A1459" s="12"/>
      <c r="B1459" s="12"/>
      <c r="C1459" s="23" t="s">
        <v>5971</v>
      </c>
      <c r="D1459" s="24"/>
      <c r="E1459" s="25" t="s">
        <v>5972</v>
      </c>
      <c r="F1459" s="17" t="s">
        <v>5973</v>
      </c>
      <c r="G1459" s="17" t="s">
        <v>1600</v>
      </c>
      <c r="H1459" s="17"/>
      <c r="I1459" s="26" t="s">
        <v>82</v>
      </c>
      <c r="J1459" s="32"/>
      <c r="K1459" s="17"/>
      <c r="L1459" s="38"/>
      <c r="M1459" s="27"/>
      <c r="N1459" s="17"/>
      <c r="O1459" s="17"/>
      <c r="P1459" s="40" t="s">
        <v>638</v>
      </c>
      <c r="Q1459" s="12"/>
      <c r="R1459" s="12" t="s">
        <v>5974</v>
      </c>
      <c r="S1459" s="12"/>
      <c r="T1459" s="12" t="s">
        <v>5975</v>
      </c>
      <c r="U1459" s="12"/>
      <c r="V1459" s="21" t="s">
        <v>31</v>
      </c>
      <c r="Z1459" s="12"/>
      <c r="AA1459" s="29"/>
      <c r="AB1459" s="84"/>
      <c r="AC1459" s="12"/>
      <c r="AD1459" s="12"/>
      <c r="AE1459" s="12"/>
    </row>
    <row r="1460" customFormat="false" ht="15.75" hidden="false" customHeight="false" outlineLevel="0" collapsed="false">
      <c r="A1460" s="12"/>
      <c r="B1460" s="20"/>
      <c r="C1460" s="48" t="s">
        <v>5976</v>
      </c>
      <c r="D1460" s="24"/>
      <c r="E1460" s="49" t="s">
        <v>5977</v>
      </c>
      <c r="F1460" s="49" t="s">
        <v>5978</v>
      </c>
      <c r="G1460" s="17"/>
      <c r="H1460" s="17"/>
      <c r="I1460" s="26" t="s">
        <v>166</v>
      </c>
      <c r="J1460" s="32"/>
      <c r="K1460" s="17"/>
      <c r="L1460" s="38"/>
      <c r="M1460" s="50"/>
      <c r="N1460" s="17"/>
      <c r="O1460" s="17"/>
      <c r="P1460" s="40" t="s">
        <v>168</v>
      </c>
      <c r="Q1460" s="20"/>
      <c r="R1460" s="20"/>
      <c r="S1460" s="20"/>
      <c r="T1460" s="20"/>
      <c r="U1460" s="20"/>
      <c r="V1460" s="45"/>
      <c r="Z1460" s="20"/>
      <c r="AA1460" s="22"/>
      <c r="AB1460" s="50" t="s">
        <v>5979</v>
      </c>
      <c r="AC1460" s="20"/>
      <c r="AD1460" s="20"/>
      <c r="AE1460" s="20"/>
      <c r="AF1460" s="47"/>
      <c r="AG1460" s="47"/>
    </row>
    <row r="1461" customFormat="false" ht="15.75" hidden="false" customHeight="false" outlineLevel="0" collapsed="false">
      <c r="A1461" s="12"/>
      <c r="B1461" s="13"/>
      <c r="C1461" s="14" t="s">
        <v>5980</v>
      </c>
      <c r="D1461" s="24"/>
      <c r="E1461" s="16" t="s">
        <v>5981</v>
      </c>
      <c r="F1461" s="16" t="s">
        <v>5982</v>
      </c>
      <c r="G1461" s="17"/>
      <c r="H1461" s="17"/>
      <c r="I1461" s="26" t="s">
        <v>166</v>
      </c>
      <c r="J1461" s="32"/>
      <c r="K1461" s="17"/>
      <c r="L1461" s="38"/>
      <c r="M1461" s="78"/>
      <c r="N1461" s="17"/>
      <c r="O1461" s="17"/>
      <c r="P1461" s="40" t="s">
        <v>168</v>
      </c>
      <c r="Q1461" s="20"/>
      <c r="R1461" s="20"/>
      <c r="S1461" s="20"/>
      <c r="T1461" s="20"/>
      <c r="U1461" s="20"/>
      <c r="V1461" s="45"/>
      <c r="Z1461" s="20"/>
      <c r="AA1461" s="22"/>
      <c r="AB1461" s="78" t="s">
        <v>5983</v>
      </c>
      <c r="AC1461" s="20"/>
      <c r="AD1461" s="20"/>
      <c r="AE1461" s="20"/>
      <c r="AF1461" s="47"/>
      <c r="AG1461" s="47"/>
    </row>
    <row r="1462" customFormat="false" ht="15.75" hidden="false" customHeight="false" outlineLevel="0" collapsed="false">
      <c r="A1462" s="12"/>
      <c r="B1462" s="20"/>
      <c r="C1462" s="48" t="s">
        <v>5984</v>
      </c>
      <c r="D1462" s="24"/>
      <c r="E1462" s="49" t="s">
        <v>5985</v>
      </c>
      <c r="F1462" s="49" t="s">
        <v>5986</v>
      </c>
      <c r="G1462" s="17"/>
      <c r="H1462" s="17"/>
      <c r="I1462" s="26" t="s">
        <v>166</v>
      </c>
      <c r="J1462" s="32"/>
      <c r="K1462" s="17"/>
      <c r="L1462" s="38"/>
      <c r="M1462" s="50"/>
      <c r="N1462" s="17"/>
      <c r="O1462" s="17"/>
      <c r="P1462" s="40" t="s">
        <v>168</v>
      </c>
      <c r="Q1462" s="20"/>
      <c r="R1462" s="20"/>
      <c r="S1462" s="20"/>
      <c r="T1462" s="20"/>
      <c r="U1462" s="20"/>
      <c r="V1462" s="45"/>
      <c r="Z1462" s="20"/>
      <c r="AA1462" s="22"/>
      <c r="AB1462" s="50" t="s">
        <v>5987</v>
      </c>
      <c r="AC1462" s="20"/>
      <c r="AD1462" s="20"/>
      <c r="AE1462" s="20"/>
      <c r="AF1462" s="47"/>
      <c r="AG1462" s="47"/>
    </row>
    <row r="1463" customFormat="false" ht="15.75" hidden="false" customHeight="false" outlineLevel="0" collapsed="false">
      <c r="A1463" s="12"/>
      <c r="B1463" s="13"/>
      <c r="C1463" s="14" t="s">
        <v>5988</v>
      </c>
      <c r="D1463" s="24"/>
      <c r="E1463" s="16" t="s">
        <v>5989</v>
      </c>
      <c r="F1463" s="16" t="s">
        <v>5990</v>
      </c>
      <c r="G1463" s="17"/>
      <c r="H1463" s="17"/>
      <c r="I1463" s="26" t="s">
        <v>166</v>
      </c>
      <c r="J1463" s="32"/>
      <c r="K1463" s="17"/>
      <c r="L1463" s="38"/>
      <c r="M1463" s="46"/>
      <c r="N1463" s="17"/>
      <c r="O1463" s="17"/>
      <c r="P1463" s="40" t="s">
        <v>168</v>
      </c>
      <c r="Q1463" s="12"/>
      <c r="R1463" s="12"/>
      <c r="S1463" s="12"/>
      <c r="T1463" s="12"/>
      <c r="U1463" s="12"/>
      <c r="V1463" s="21"/>
      <c r="Z1463" s="12"/>
      <c r="AA1463" s="29"/>
      <c r="AB1463" s="46" t="s">
        <v>5949</v>
      </c>
      <c r="AC1463" s="12"/>
      <c r="AD1463" s="12"/>
      <c r="AE1463" s="12"/>
      <c r="AF1463" s="47"/>
      <c r="AG1463" s="47"/>
    </row>
    <row r="1464" customFormat="false" ht="15.75" hidden="false" customHeight="false" outlineLevel="0" collapsed="false">
      <c r="A1464" s="12"/>
      <c r="B1464" s="12"/>
      <c r="C1464" s="64" t="s">
        <v>5991</v>
      </c>
      <c r="D1464" s="24"/>
      <c r="E1464" s="25" t="s">
        <v>5992</v>
      </c>
      <c r="F1464" s="17" t="s">
        <v>5993</v>
      </c>
      <c r="G1464" s="17" t="s">
        <v>5021</v>
      </c>
      <c r="H1464" s="17"/>
      <c r="I1464" s="26" t="s">
        <v>82</v>
      </c>
      <c r="J1464" s="32"/>
      <c r="K1464" s="17"/>
      <c r="L1464" s="38"/>
      <c r="M1464" s="27"/>
      <c r="N1464" s="17"/>
      <c r="O1464" s="17"/>
      <c r="P1464" s="40" t="s">
        <v>638</v>
      </c>
      <c r="Q1464" s="12"/>
      <c r="R1464" s="12" t="s">
        <v>5994</v>
      </c>
      <c r="S1464" s="12"/>
      <c r="T1464" s="12" t="s">
        <v>5995</v>
      </c>
      <c r="U1464" s="12"/>
      <c r="V1464" s="21" t="s">
        <v>31</v>
      </c>
      <c r="Z1464" s="12"/>
      <c r="AA1464" s="29"/>
      <c r="AB1464" s="84"/>
      <c r="AC1464" s="12"/>
      <c r="AD1464" s="12"/>
      <c r="AE1464" s="12"/>
    </row>
    <row r="1465" customFormat="false" ht="15.75" hidden="false" customHeight="false" outlineLevel="0" collapsed="false">
      <c r="A1465" s="12"/>
      <c r="B1465" s="13"/>
      <c r="C1465" s="14" t="s">
        <v>5996</v>
      </c>
      <c r="D1465" s="24"/>
      <c r="E1465" s="16" t="s">
        <v>5997</v>
      </c>
      <c r="F1465" s="16" t="s">
        <v>5998</v>
      </c>
      <c r="G1465" s="17"/>
      <c r="H1465" s="17"/>
      <c r="I1465" s="26" t="s">
        <v>166</v>
      </c>
      <c r="J1465" s="32"/>
      <c r="K1465" s="17"/>
      <c r="L1465" s="38"/>
      <c r="M1465" s="46"/>
      <c r="N1465" s="17"/>
      <c r="O1465" s="17"/>
      <c r="P1465" s="40" t="s">
        <v>168</v>
      </c>
      <c r="Q1465" s="12"/>
      <c r="R1465" s="12"/>
      <c r="S1465" s="12"/>
      <c r="T1465" s="12"/>
      <c r="U1465" s="12"/>
      <c r="V1465" s="21"/>
      <c r="Z1465" s="12"/>
      <c r="AA1465" s="29"/>
      <c r="AB1465" s="46" t="s">
        <v>5949</v>
      </c>
      <c r="AC1465" s="12"/>
      <c r="AD1465" s="12"/>
      <c r="AE1465" s="12"/>
      <c r="AF1465" s="47"/>
      <c r="AG1465" s="47"/>
    </row>
    <row r="1466" customFormat="false" ht="15.75" hidden="false" customHeight="false" outlineLevel="0" collapsed="false">
      <c r="A1466" s="12"/>
      <c r="B1466" s="20"/>
      <c r="C1466" s="48" t="s">
        <v>5999</v>
      </c>
      <c r="D1466" s="24"/>
      <c r="E1466" s="49" t="s">
        <v>6000</v>
      </c>
      <c r="F1466" s="49" t="s">
        <v>6001</v>
      </c>
      <c r="G1466" s="17"/>
      <c r="H1466" s="17"/>
      <c r="I1466" s="26" t="s">
        <v>166</v>
      </c>
      <c r="J1466" s="32"/>
      <c r="K1466" s="17"/>
      <c r="L1466" s="38"/>
      <c r="M1466" s="50"/>
      <c r="N1466" s="17"/>
      <c r="O1466" s="17"/>
      <c r="P1466" s="40" t="s">
        <v>168</v>
      </c>
      <c r="Q1466" s="12"/>
      <c r="R1466" s="12"/>
      <c r="S1466" s="12"/>
      <c r="T1466" s="12"/>
      <c r="U1466" s="12"/>
      <c r="V1466" s="21"/>
      <c r="Z1466" s="12"/>
      <c r="AA1466" s="29"/>
      <c r="AB1466" s="50" t="s">
        <v>6002</v>
      </c>
      <c r="AC1466" s="12"/>
      <c r="AD1466" s="12"/>
      <c r="AE1466" s="12"/>
    </row>
    <row r="1467" customFormat="false" ht="15.75" hidden="false" customHeight="false" outlineLevel="0" collapsed="false">
      <c r="A1467" s="12"/>
      <c r="B1467" s="13"/>
      <c r="C1467" s="14" t="s">
        <v>6003</v>
      </c>
      <c r="D1467" s="24"/>
      <c r="E1467" s="16" t="s">
        <v>6004</v>
      </c>
      <c r="F1467" s="16" t="s">
        <v>6005</v>
      </c>
      <c r="G1467" s="17"/>
      <c r="H1467" s="17"/>
      <c r="I1467" s="26" t="s">
        <v>166</v>
      </c>
      <c r="J1467" s="32"/>
      <c r="K1467" s="17"/>
      <c r="L1467" s="38"/>
      <c r="M1467" s="78"/>
      <c r="N1467" s="17"/>
      <c r="O1467" s="17"/>
      <c r="P1467" s="40" t="s">
        <v>168</v>
      </c>
      <c r="Q1467" s="17"/>
      <c r="R1467" s="17"/>
      <c r="S1467" s="17"/>
      <c r="T1467" s="17"/>
      <c r="U1467" s="17"/>
      <c r="V1467" s="27"/>
      <c r="Z1467" s="17"/>
      <c r="AA1467" s="29"/>
      <c r="AB1467" s="78" t="s">
        <v>6006</v>
      </c>
      <c r="AC1467" s="17"/>
      <c r="AD1467" s="17"/>
      <c r="AE1467" s="17"/>
      <c r="AF1467" s="47"/>
      <c r="AG1467" s="47"/>
    </row>
    <row r="1468" customFormat="false" ht="15.75" hidden="false" customHeight="false" outlineLevel="0" collapsed="false">
      <c r="A1468" s="12"/>
      <c r="B1468" s="20"/>
      <c r="C1468" s="48" t="s">
        <v>6007</v>
      </c>
      <c r="D1468" s="24"/>
      <c r="E1468" s="49" t="s">
        <v>6008</v>
      </c>
      <c r="F1468" s="49" t="s">
        <v>6009</v>
      </c>
      <c r="G1468" s="17"/>
      <c r="H1468" s="17"/>
      <c r="I1468" s="26" t="s">
        <v>166</v>
      </c>
      <c r="J1468" s="32"/>
      <c r="K1468" s="17"/>
      <c r="L1468" s="38"/>
      <c r="M1468" s="50"/>
      <c r="N1468" s="17"/>
      <c r="O1468" s="17"/>
      <c r="P1468" s="40" t="s">
        <v>168</v>
      </c>
      <c r="Q1468" s="12"/>
      <c r="R1468" s="12"/>
      <c r="S1468" s="12"/>
      <c r="T1468" s="12"/>
      <c r="U1468" s="12"/>
      <c r="V1468" s="21"/>
      <c r="Z1468" s="12"/>
      <c r="AA1468" s="29"/>
      <c r="AB1468" s="50" t="s">
        <v>6010</v>
      </c>
      <c r="AC1468" s="12"/>
      <c r="AD1468" s="12"/>
      <c r="AE1468" s="12"/>
      <c r="AF1468" s="47"/>
      <c r="AG1468" s="47"/>
    </row>
    <row r="1469" customFormat="false" ht="15.75" hidden="false" customHeight="false" outlineLevel="0" collapsed="false">
      <c r="A1469" s="12"/>
      <c r="B1469" s="20"/>
      <c r="C1469" s="48" t="s">
        <v>1108</v>
      </c>
      <c r="D1469" s="24"/>
      <c r="E1469" s="49" t="s">
        <v>6011</v>
      </c>
      <c r="F1469" s="49" t="s">
        <v>6012</v>
      </c>
      <c r="G1469" s="17"/>
      <c r="H1469" s="17"/>
      <c r="I1469" s="26" t="s">
        <v>166</v>
      </c>
      <c r="J1469" s="32"/>
      <c r="K1469" s="17"/>
      <c r="L1469" s="38"/>
      <c r="M1469" s="50"/>
      <c r="N1469" s="17"/>
      <c r="O1469" s="17"/>
      <c r="P1469" s="40" t="s">
        <v>168</v>
      </c>
      <c r="Q1469" s="12"/>
      <c r="R1469" s="12"/>
      <c r="S1469" s="12"/>
      <c r="T1469" s="12"/>
      <c r="U1469" s="12"/>
      <c r="V1469" s="21"/>
      <c r="Z1469" s="12"/>
      <c r="AA1469" s="29"/>
      <c r="AB1469" s="50" t="s">
        <v>6013</v>
      </c>
      <c r="AC1469" s="12"/>
      <c r="AD1469" s="12"/>
      <c r="AE1469" s="12"/>
      <c r="AF1469" s="47"/>
      <c r="AG1469" s="47"/>
    </row>
    <row r="1470" customFormat="false" ht="15.75" hidden="false" customHeight="false" outlineLevel="0" collapsed="false">
      <c r="A1470" s="12"/>
      <c r="B1470" s="12"/>
      <c r="C1470" s="23" t="s">
        <v>6014</v>
      </c>
      <c r="D1470" s="24"/>
      <c r="E1470" s="17" t="s">
        <v>6015</v>
      </c>
      <c r="F1470" s="17" t="s">
        <v>6016</v>
      </c>
      <c r="G1470" s="17" t="s">
        <v>1600</v>
      </c>
      <c r="H1470" s="17"/>
      <c r="I1470" s="26" t="s">
        <v>82</v>
      </c>
      <c r="J1470" s="32"/>
      <c r="K1470" s="17"/>
      <c r="L1470" s="38"/>
      <c r="M1470" s="27"/>
      <c r="N1470" s="17"/>
      <c r="O1470" s="17"/>
      <c r="P1470" s="40" t="s">
        <v>638</v>
      </c>
      <c r="Q1470" s="12"/>
      <c r="R1470" s="12" t="s">
        <v>6017</v>
      </c>
      <c r="S1470" s="12"/>
      <c r="T1470" s="59" t="s">
        <v>6018</v>
      </c>
      <c r="U1470" s="12"/>
      <c r="V1470" s="21" t="s">
        <v>31</v>
      </c>
      <c r="Z1470" s="12"/>
      <c r="AA1470" s="29"/>
      <c r="AB1470" s="84"/>
      <c r="AC1470" s="12"/>
      <c r="AD1470" s="12"/>
      <c r="AE1470" s="12"/>
    </row>
    <row r="1471" customFormat="false" ht="15.75" hidden="false" customHeight="false" outlineLevel="0" collapsed="false">
      <c r="A1471" s="12"/>
      <c r="B1471" s="12"/>
      <c r="C1471" s="23" t="s">
        <v>6019</v>
      </c>
      <c r="D1471" s="24"/>
      <c r="E1471" s="25" t="s">
        <v>6020</v>
      </c>
      <c r="F1471" s="17" t="s">
        <v>6021</v>
      </c>
      <c r="G1471" s="17" t="s">
        <v>1600</v>
      </c>
      <c r="H1471" s="17"/>
      <c r="I1471" s="26" t="s">
        <v>82</v>
      </c>
      <c r="J1471" s="32"/>
      <c r="K1471" s="17"/>
      <c r="L1471" s="38"/>
      <c r="M1471" s="27"/>
      <c r="N1471" s="17"/>
      <c r="O1471" s="17"/>
      <c r="P1471" s="40" t="s">
        <v>638</v>
      </c>
      <c r="Q1471" s="12"/>
      <c r="R1471" s="12" t="s">
        <v>6022</v>
      </c>
      <c r="S1471" s="12"/>
      <c r="T1471" s="12" t="s">
        <v>6023</v>
      </c>
      <c r="U1471" s="12"/>
      <c r="V1471" s="21" t="s">
        <v>31</v>
      </c>
      <c r="Z1471" s="12"/>
      <c r="AA1471" s="29"/>
      <c r="AB1471" s="84"/>
      <c r="AC1471" s="12"/>
      <c r="AD1471" s="12"/>
      <c r="AE1471" s="12"/>
    </row>
    <row r="1472" customFormat="false" ht="15.75" hidden="false" customHeight="false" outlineLevel="0" collapsed="false">
      <c r="A1472" s="12"/>
      <c r="B1472" s="20"/>
      <c r="C1472" s="48" t="s">
        <v>6024</v>
      </c>
      <c r="D1472" s="24"/>
      <c r="E1472" s="49" t="s">
        <v>6025</v>
      </c>
      <c r="F1472" s="49" t="s">
        <v>6026</v>
      </c>
      <c r="G1472" s="17"/>
      <c r="H1472" s="17"/>
      <c r="I1472" s="26" t="s">
        <v>166</v>
      </c>
      <c r="J1472" s="32"/>
      <c r="K1472" s="17"/>
      <c r="L1472" s="38"/>
      <c r="M1472" s="50"/>
      <c r="N1472" s="17"/>
      <c r="O1472" s="17"/>
      <c r="P1472" s="40" t="s">
        <v>168</v>
      </c>
      <c r="Q1472" s="12"/>
      <c r="R1472" s="12"/>
      <c r="S1472" s="12"/>
      <c r="T1472" s="12"/>
      <c r="U1472" s="12"/>
      <c r="V1472" s="21"/>
      <c r="Z1472" s="12"/>
      <c r="AA1472" s="29"/>
      <c r="AB1472" s="50" t="s">
        <v>6027</v>
      </c>
      <c r="AC1472" s="12"/>
      <c r="AD1472" s="12"/>
      <c r="AE1472" s="12"/>
      <c r="AF1472" s="47"/>
      <c r="AG1472" s="47"/>
    </row>
    <row r="1473" customFormat="false" ht="15.75" hidden="false" customHeight="false" outlineLevel="0" collapsed="false">
      <c r="A1473" s="12"/>
      <c r="B1473" s="20"/>
      <c r="C1473" s="48" t="s">
        <v>1819</v>
      </c>
      <c r="D1473" s="24"/>
      <c r="E1473" s="49" t="s">
        <v>1820</v>
      </c>
      <c r="F1473" s="49" t="s">
        <v>6028</v>
      </c>
      <c r="G1473" s="17"/>
      <c r="H1473" s="17"/>
      <c r="I1473" s="26" t="s">
        <v>166</v>
      </c>
      <c r="J1473" s="32"/>
      <c r="K1473" s="17"/>
      <c r="L1473" s="38"/>
      <c r="M1473" s="50"/>
      <c r="N1473" s="17"/>
      <c r="O1473" s="17"/>
      <c r="P1473" s="40" t="s">
        <v>168</v>
      </c>
      <c r="Q1473" s="12"/>
      <c r="R1473" s="12"/>
      <c r="S1473" s="12"/>
      <c r="T1473" s="12"/>
      <c r="U1473" s="12"/>
      <c r="V1473" s="21"/>
      <c r="Z1473" s="12"/>
      <c r="AA1473" s="29"/>
      <c r="AB1473" s="50" t="s">
        <v>6029</v>
      </c>
      <c r="AC1473" s="12"/>
      <c r="AD1473" s="12"/>
      <c r="AE1473" s="12"/>
      <c r="AG1473" s="47"/>
    </row>
    <row r="1474" customFormat="false" ht="15.75" hidden="false" customHeight="false" outlineLevel="0" collapsed="false">
      <c r="A1474" s="12"/>
      <c r="B1474" s="20"/>
      <c r="C1474" s="48" t="s">
        <v>6030</v>
      </c>
      <c r="D1474" s="24"/>
      <c r="E1474" s="49" t="s">
        <v>6031</v>
      </c>
      <c r="F1474" s="49" t="s">
        <v>6032</v>
      </c>
      <c r="G1474" s="17"/>
      <c r="H1474" s="17"/>
      <c r="I1474" s="26" t="s">
        <v>166</v>
      </c>
      <c r="J1474" s="32"/>
      <c r="K1474" s="17"/>
      <c r="L1474" s="38"/>
      <c r="M1474" s="50"/>
      <c r="N1474" s="17"/>
      <c r="O1474" s="17"/>
      <c r="P1474" s="40" t="s">
        <v>168</v>
      </c>
      <c r="Q1474" s="17"/>
      <c r="R1474" s="17"/>
      <c r="S1474" s="17"/>
      <c r="T1474" s="17"/>
      <c r="U1474" s="17"/>
      <c r="V1474" s="27"/>
      <c r="Z1474" s="17"/>
      <c r="AA1474" s="29"/>
      <c r="AB1474" s="50" t="s">
        <v>6033</v>
      </c>
      <c r="AC1474" s="17"/>
      <c r="AD1474" s="17"/>
      <c r="AE1474" s="17"/>
      <c r="AF1474" s="47"/>
      <c r="AG1474" s="47"/>
    </row>
    <row r="1475" customFormat="false" ht="15.75" hidden="false" customHeight="false" outlineLevel="0" collapsed="false">
      <c r="A1475" s="12"/>
      <c r="B1475" s="12"/>
      <c r="C1475" s="23" t="s">
        <v>6034</v>
      </c>
      <c r="D1475" s="24"/>
      <c r="E1475" s="25" t="s">
        <v>6035</v>
      </c>
      <c r="F1475" s="17" t="s">
        <v>6036</v>
      </c>
      <c r="G1475" s="17" t="s">
        <v>1600</v>
      </c>
      <c r="H1475" s="17"/>
      <c r="I1475" s="26" t="s">
        <v>82</v>
      </c>
      <c r="J1475" s="32"/>
      <c r="K1475" s="17"/>
      <c r="L1475" s="38"/>
      <c r="M1475" s="27"/>
      <c r="N1475" s="17"/>
      <c r="O1475" s="17"/>
      <c r="P1475" s="40" t="s">
        <v>638</v>
      </c>
      <c r="Q1475" s="12"/>
      <c r="R1475" s="12" t="s">
        <v>6037</v>
      </c>
      <c r="S1475" s="12"/>
      <c r="T1475" s="12" t="s">
        <v>6038</v>
      </c>
      <c r="U1475" s="12"/>
      <c r="V1475" s="21" t="s">
        <v>31</v>
      </c>
      <c r="Z1475" s="12"/>
      <c r="AA1475" s="29"/>
      <c r="AB1475" s="84"/>
      <c r="AC1475" s="12"/>
      <c r="AD1475" s="12"/>
      <c r="AE1475" s="12"/>
    </row>
    <row r="1476" customFormat="false" ht="15.75" hidden="false" customHeight="false" outlineLevel="0" collapsed="false">
      <c r="A1476" s="12"/>
      <c r="B1476" s="12"/>
      <c r="C1476" s="23" t="s">
        <v>6039</v>
      </c>
      <c r="D1476" s="24"/>
      <c r="E1476" s="17"/>
      <c r="F1476" s="17" t="s">
        <v>6040</v>
      </c>
      <c r="G1476" s="17" t="s">
        <v>5021</v>
      </c>
      <c r="H1476" s="17"/>
      <c r="I1476" s="26" t="s">
        <v>82</v>
      </c>
      <c r="J1476" s="32"/>
      <c r="K1476" s="17"/>
      <c r="L1476" s="38"/>
      <c r="M1476" s="27"/>
      <c r="N1476" s="17"/>
      <c r="O1476" s="17"/>
      <c r="P1476" s="40" t="s">
        <v>638</v>
      </c>
      <c r="Q1476" s="17"/>
      <c r="R1476" s="17" t="s">
        <v>6041</v>
      </c>
      <c r="S1476" s="17"/>
      <c r="T1476" s="17" t="s">
        <v>6042</v>
      </c>
      <c r="U1476" s="17"/>
      <c r="V1476" s="21" t="s">
        <v>31</v>
      </c>
      <c r="Z1476" s="17"/>
      <c r="AA1476" s="29"/>
      <c r="AB1476" s="84"/>
      <c r="AC1476" s="17"/>
      <c r="AD1476" s="17"/>
      <c r="AE1476" s="17"/>
    </row>
    <row r="1477" customFormat="false" ht="15.75" hidden="false" customHeight="false" outlineLevel="0" collapsed="false">
      <c r="A1477" s="12"/>
      <c r="B1477" s="20"/>
      <c r="C1477" s="48" t="s">
        <v>6043</v>
      </c>
      <c r="D1477" s="24"/>
      <c r="E1477" s="49" t="s">
        <v>6044</v>
      </c>
      <c r="F1477" s="49" t="s">
        <v>6045</v>
      </c>
      <c r="G1477" s="17"/>
      <c r="H1477" s="17"/>
      <c r="I1477" s="26" t="s">
        <v>166</v>
      </c>
      <c r="J1477" s="32"/>
      <c r="K1477" s="17"/>
      <c r="L1477" s="38"/>
      <c r="M1477" s="50"/>
      <c r="N1477" s="17"/>
      <c r="O1477" s="17"/>
      <c r="P1477" s="40" t="s">
        <v>168</v>
      </c>
      <c r="Q1477" s="12"/>
      <c r="R1477" s="12"/>
      <c r="S1477" s="12"/>
      <c r="T1477" s="12"/>
      <c r="U1477" s="12"/>
      <c r="V1477" s="21"/>
      <c r="Z1477" s="12"/>
      <c r="AA1477" s="29"/>
      <c r="AB1477" s="50" t="s">
        <v>6046</v>
      </c>
      <c r="AC1477" s="12"/>
      <c r="AD1477" s="12"/>
      <c r="AE1477" s="12"/>
      <c r="AF1477" s="47"/>
      <c r="AG1477" s="47"/>
    </row>
    <row r="1478" customFormat="false" ht="15.75" hidden="false" customHeight="false" outlineLevel="0" collapsed="false">
      <c r="A1478" s="12"/>
      <c r="B1478" s="20"/>
      <c r="C1478" s="48" t="s">
        <v>6047</v>
      </c>
      <c r="D1478" s="24"/>
      <c r="E1478" s="49" t="s">
        <v>6048</v>
      </c>
      <c r="F1478" s="49" t="s">
        <v>6049</v>
      </c>
      <c r="G1478" s="17"/>
      <c r="H1478" s="17"/>
      <c r="I1478" s="26" t="s">
        <v>166</v>
      </c>
      <c r="J1478" s="32"/>
      <c r="K1478" s="17"/>
      <c r="L1478" s="38"/>
      <c r="M1478" s="46"/>
      <c r="N1478" s="17"/>
      <c r="O1478" s="17"/>
      <c r="P1478" s="40" t="s">
        <v>168</v>
      </c>
      <c r="Q1478" s="12"/>
      <c r="R1478" s="12"/>
      <c r="S1478" s="12"/>
      <c r="T1478" s="12"/>
      <c r="U1478" s="12"/>
      <c r="V1478" s="21"/>
      <c r="Z1478" s="12"/>
      <c r="AA1478" s="29"/>
      <c r="AB1478" s="46" t="s">
        <v>5949</v>
      </c>
      <c r="AC1478" s="12"/>
      <c r="AD1478" s="12"/>
      <c r="AE1478" s="12"/>
      <c r="AF1478" s="47"/>
      <c r="AG1478" s="47"/>
    </row>
    <row r="1479" customFormat="false" ht="15.75" hidden="false" customHeight="false" outlineLevel="0" collapsed="false">
      <c r="A1479" s="12"/>
      <c r="B1479" s="12"/>
      <c r="C1479" s="23" t="s">
        <v>6050</v>
      </c>
      <c r="D1479" s="24"/>
      <c r="E1479" s="25" t="s">
        <v>6051</v>
      </c>
      <c r="F1479" s="17"/>
      <c r="G1479" s="17"/>
      <c r="H1479" s="17"/>
      <c r="I1479" s="17" t="s">
        <v>36</v>
      </c>
      <c r="J1479" s="32"/>
      <c r="K1479" s="17"/>
      <c r="L1479" s="38"/>
      <c r="M1479" s="27"/>
      <c r="N1479" s="17"/>
      <c r="O1479" s="17"/>
      <c r="P1479" s="40" t="s">
        <v>6052</v>
      </c>
      <c r="Q1479" s="20"/>
      <c r="R1479" s="20"/>
      <c r="S1479" s="20"/>
      <c r="T1479" s="20"/>
      <c r="U1479" s="20"/>
      <c r="V1479" s="45"/>
      <c r="Z1479" s="20"/>
      <c r="AA1479" s="22"/>
      <c r="AB1479" s="84"/>
      <c r="AC1479" s="20"/>
      <c r="AD1479" s="20"/>
      <c r="AE1479" s="20"/>
    </row>
    <row r="1480" customFormat="false" ht="15.75" hidden="false" customHeight="false" outlineLevel="0" collapsed="false">
      <c r="A1480" s="12"/>
      <c r="B1480" s="12"/>
      <c r="C1480" s="23" t="s">
        <v>6053</v>
      </c>
      <c r="D1480" s="24"/>
      <c r="E1480" s="25" t="s">
        <v>6051</v>
      </c>
      <c r="F1480" s="17" t="s">
        <v>6054</v>
      </c>
      <c r="G1480" s="17" t="s">
        <v>5104</v>
      </c>
      <c r="H1480" s="17"/>
      <c r="I1480" s="26" t="s">
        <v>82</v>
      </c>
      <c r="J1480" s="32"/>
      <c r="K1480" s="17"/>
      <c r="L1480" s="38"/>
      <c r="M1480" s="27"/>
      <c r="N1480" s="17"/>
      <c r="O1480" s="17"/>
      <c r="P1480" s="40" t="s">
        <v>638</v>
      </c>
      <c r="Q1480" s="12"/>
      <c r="R1480" s="12" t="s">
        <v>6055</v>
      </c>
      <c r="S1480" s="12"/>
      <c r="T1480" s="12" t="s">
        <v>6056</v>
      </c>
      <c r="U1480" s="12"/>
      <c r="V1480" s="21" t="s">
        <v>31</v>
      </c>
      <c r="Z1480" s="12"/>
      <c r="AA1480" s="29"/>
      <c r="AB1480" s="84"/>
      <c r="AC1480" s="12"/>
      <c r="AD1480" s="12"/>
      <c r="AE1480" s="12"/>
    </row>
    <row r="1481" customFormat="false" ht="15.75" hidden="false" customHeight="false" outlineLevel="0" collapsed="false">
      <c r="A1481" s="12"/>
      <c r="B1481" s="12"/>
      <c r="C1481" s="23" t="s">
        <v>6057</v>
      </c>
      <c r="D1481" s="24"/>
      <c r="E1481" s="25" t="s">
        <v>6058</v>
      </c>
      <c r="F1481" s="17" t="s">
        <v>6059</v>
      </c>
      <c r="G1481" s="17" t="s">
        <v>1600</v>
      </c>
      <c r="H1481" s="17"/>
      <c r="I1481" s="26" t="s">
        <v>82</v>
      </c>
      <c r="J1481" s="32"/>
      <c r="K1481" s="17"/>
      <c r="L1481" s="38"/>
      <c r="M1481" s="27"/>
      <c r="N1481" s="17"/>
      <c r="O1481" s="17"/>
      <c r="P1481" s="40" t="s">
        <v>638</v>
      </c>
      <c r="Q1481" s="17"/>
      <c r="R1481" s="17" t="s">
        <v>6060</v>
      </c>
      <c r="S1481" s="17"/>
      <c r="T1481" s="17" t="s">
        <v>6061</v>
      </c>
      <c r="U1481" s="17"/>
      <c r="V1481" s="21" t="s">
        <v>31</v>
      </c>
      <c r="Z1481" s="17"/>
      <c r="AA1481" s="29"/>
      <c r="AB1481" s="84"/>
      <c r="AC1481" s="17"/>
      <c r="AD1481" s="17"/>
      <c r="AE1481" s="17"/>
    </row>
    <row r="1482" customFormat="false" ht="15.75" hidden="false" customHeight="false" outlineLevel="0" collapsed="false">
      <c r="A1482" s="12"/>
      <c r="B1482" s="20"/>
      <c r="C1482" s="48" t="s">
        <v>6062</v>
      </c>
      <c r="D1482" s="24"/>
      <c r="E1482" s="49" t="s">
        <v>6063</v>
      </c>
      <c r="F1482" s="49" t="s">
        <v>6064</v>
      </c>
      <c r="G1482" s="17"/>
      <c r="H1482" s="17"/>
      <c r="I1482" s="26" t="s">
        <v>166</v>
      </c>
      <c r="J1482" s="32"/>
      <c r="K1482" s="17"/>
      <c r="L1482" s="38"/>
      <c r="M1482" s="50"/>
      <c r="N1482" s="17"/>
      <c r="O1482" s="17"/>
      <c r="P1482" s="40" t="s">
        <v>168</v>
      </c>
      <c r="Q1482" s="12"/>
      <c r="R1482" s="12"/>
      <c r="S1482" s="12"/>
      <c r="T1482" s="12"/>
      <c r="U1482" s="12"/>
      <c r="V1482" s="21"/>
      <c r="Z1482" s="12"/>
      <c r="AA1482" s="29"/>
      <c r="AB1482" s="50" t="s">
        <v>6065</v>
      </c>
      <c r="AC1482" s="12"/>
      <c r="AD1482" s="12"/>
      <c r="AE1482" s="12"/>
      <c r="AF1482" s="47"/>
      <c r="AG1482" s="47"/>
    </row>
    <row r="1483" customFormat="false" ht="15.75" hidden="false" customHeight="false" outlineLevel="0" collapsed="false">
      <c r="A1483" s="12"/>
      <c r="B1483" s="13"/>
      <c r="C1483" s="14" t="s">
        <v>6066</v>
      </c>
      <c r="D1483" s="24"/>
      <c r="E1483" s="16" t="s">
        <v>6067</v>
      </c>
      <c r="F1483" s="16" t="s">
        <v>6068</v>
      </c>
      <c r="G1483" s="17"/>
      <c r="H1483" s="17"/>
      <c r="I1483" s="26" t="s">
        <v>166</v>
      </c>
      <c r="J1483" s="32"/>
      <c r="K1483" s="17"/>
      <c r="L1483" s="38"/>
      <c r="M1483" s="78"/>
      <c r="N1483" s="17"/>
      <c r="O1483" s="17"/>
      <c r="P1483" s="40" t="s">
        <v>168</v>
      </c>
      <c r="Q1483" s="12"/>
      <c r="R1483" s="12"/>
      <c r="S1483" s="12"/>
      <c r="T1483" s="12"/>
      <c r="U1483" s="12"/>
      <c r="V1483" s="21"/>
      <c r="Z1483" s="12"/>
      <c r="AA1483" s="29"/>
      <c r="AB1483" s="78" t="s">
        <v>6069</v>
      </c>
      <c r="AC1483" s="12"/>
      <c r="AD1483" s="12"/>
      <c r="AE1483" s="12"/>
      <c r="AG1483" s="47"/>
    </row>
    <row r="1484" customFormat="false" ht="15.75" hidden="false" customHeight="false" outlineLevel="0" collapsed="false">
      <c r="A1484" s="12"/>
      <c r="B1484" s="20"/>
      <c r="C1484" s="48" t="s">
        <v>6070</v>
      </c>
      <c r="D1484" s="24"/>
      <c r="E1484" s="49" t="s">
        <v>6071</v>
      </c>
      <c r="F1484" s="49" t="s">
        <v>6072</v>
      </c>
      <c r="G1484" s="17"/>
      <c r="H1484" s="17"/>
      <c r="I1484" s="26" t="s">
        <v>166</v>
      </c>
      <c r="J1484" s="32"/>
      <c r="K1484" s="17"/>
      <c r="L1484" s="38"/>
      <c r="M1484" s="50"/>
      <c r="N1484" s="17"/>
      <c r="O1484" s="17"/>
      <c r="P1484" s="40" t="s">
        <v>168</v>
      </c>
      <c r="Q1484" s="12"/>
      <c r="R1484" s="12"/>
      <c r="S1484" s="12"/>
      <c r="T1484" s="12"/>
      <c r="U1484" s="12"/>
      <c r="V1484" s="21"/>
      <c r="Z1484" s="12"/>
      <c r="AA1484" s="29"/>
      <c r="AB1484" s="50" t="s">
        <v>6073</v>
      </c>
      <c r="AC1484" s="12"/>
      <c r="AD1484" s="12"/>
      <c r="AE1484" s="12"/>
      <c r="AG1484" s="47"/>
    </row>
    <row r="1485" customFormat="false" ht="15.75" hidden="false" customHeight="false" outlineLevel="0" collapsed="false">
      <c r="A1485" s="12"/>
      <c r="B1485" s="12"/>
      <c r="C1485" s="23" t="s">
        <v>6074</v>
      </c>
      <c r="D1485" s="24"/>
      <c r="E1485" s="25" t="s">
        <v>6075</v>
      </c>
      <c r="F1485" s="17" t="s">
        <v>6076</v>
      </c>
      <c r="G1485" s="17" t="s">
        <v>1600</v>
      </c>
      <c r="H1485" s="17"/>
      <c r="I1485" s="26" t="s">
        <v>82</v>
      </c>
      <c r="J1485" s="32"/>
      <c r="K1485" s="17"/>
      <c r="L1485" s="38"/>
      <c r="M1485" s="27"/>
      <c r="N1485" s="17"/>
      <c r="O1485" s="17"/>
      <c r="P1485" s="40" t="s">
        <v>638</v>
      </c>
      <c r="Q1485" s="12"/>
      <c r="R1485" s="12" t="s">
        <v>6077</v>
      </c>
      <c r="S1485" s="12"/>
      <c r="T1485" s="12" t="s">
        <v>6078</v>
      </c>
      <c r="U1485" s="12"/>
      <c r="V1485" s="21" t="s">
        <v>31</v>
      </c>
      <c r="Z1485" s="12"/>
      <c r="AA1485" s="29"/>
      <c r="AB1485" s="84"/>
      <c r="AC1485" s="12"/>
      <c r="AD1485" s="12"/>
      <c r="AE1485" s="12"/>
    </row>
    <row r="1486" customFormat="false" ht="15.75" hidden="false" customHeight="false" outlineLevel="0" collapsed="false">
      <c r="A1486" s="12"/>
      <c r="B1486" s="20"/>
      <c r="C1486" s="48" t="s">
        <v>6079</v>
      </c>
      <c r="D1486" s="24"/>
      <c r="E1486" s="49" t="s">
        <v>6080</v>
      </c>
      <c r="F1486" s="49" t="s">
        <v>6081</v>
      </c>
      <c r="G1486" s="17"/>
      <c r="H1486" s="17"/>
      <c r="I1486" s="26" t="s">
        <v>166</v>
      </c>
      <c r="J1486" s="32"/>
      <c r="K1486" s="17"/>
      <c r="L1486" s="38"/>
      <c r="M1486" s="50"/>
      <c r="N1486" s="17"/>
      <c r="O1486" s="17"/>
      <c r="P1486" s="40" t="s">
        <v>168</v>
      </c>
      <c r="Q1486" s="12"/>
      <c r="R1486" s="12"/>
      <c r="S1486" s="12"/>
      <c r="T1486" s="12"/>
      <c r="U1486" s="12"/>
      <c r="V1486" s="21"/>
      <c r="Z1486" s="12"/>
      <c r="AA1486" s="29"/>
      <c r="AB1486" s="50" t="s">
        <v>6082</v>
      </c>
      <c r="AC1486" s="12"/>
      <c r="AD1486" s="12"/>
      <c r="AE1486" s="12"/>
      <c r="AF1486" s="47"/>
      <c r="AG1486" s="47"/>
    </row>
    <row r="1487" customFormat="false" ht="15.75" hidden="false" customHeight="false" outlineLevel="0" collapsed="false">
      <c r="A1487" s="12"/>
      <c r="B1487" s="12"/>
      <c r="C1487" s="23" t="s">
        <v>6083</v>
      </c>
      <c r="D1487" s="24"/>
      <c r="E1487" s="25" t="s">
        <v>6084</v>
      </c>
      <c r="F1487" s="17" t="s">
        <v>6085</v>
      </c>
      <c r="G1487" s="17" t="s">
        <v>1600</v>
      </c>
      <c r="H1487" s="17"/>
      <c r="I1487" s="26" t="s">
        <v>82</v>
      </c>
      <c r="J1487" s="32"/>
      <c r="K1487" s="17"/>
      <c r="L1487" s="38"/>
      <c r="M1487" s="27"/>
      <c r="N1487" s="17"/>
      <c r="O1487" s="17"/>
      <c r="P1487" s="40" t="s">
        <v>638</v>
      </c>
      <c r="Q1487" s="12"/>
      <c r="R1487" s="12" t="s">
        <v>6086</v>
      </c>
      <c r="S1487" s="12"/>
      <c r="T1487" s="12" t="s">
        <v>6087</v>
      </c>
      <c r="U1487" s="12"/>
      <c r="V1487" s="21" t="s">
        <v>31</v>
      </c>
      <c r="Z1487" s="12"/>
      <c r="AA1487" s="29"/>
      <c r="AB1487" s="84"/>
      <c r="AC1487" s="12"/>
      <c r="AD1487" s="12"/>
      <c r="AE1487" s="12"/>
    </row>
    <row r="1488" customFormat="false" ht="15.75" hidden="false" customHeight="false" outlineLevel="0" collapsed="false">
      <c r="A1488" s="12"/>
      <c r="B1488" s="20"/>
      <c r="C1488" s="48" t="s">
        <v>6088</v>
      </c>
      <c r="D1488" s="24"/>
      <c r="E1488" s="49" t="s">
        <v>6089</v>
      </c>
      <c r="F1488" s="49" t="s">
        <v>6090</v>
      </c>
      <c r="G1488" s="17"/>
      <c r="H1488" s="17"/>
      <c r="I1488" s="26" t="s">
        <v>166</v>
      </c>
      <c r="J1488" s="32"/>
      <c r="K1488" s="17"/>
      <c r="L1488" s="38"/>
      <c r="M1488" s="46"/>
      <c r="N1488" s="17"/>
      <c r="O1488" s="17"/>
      <c r="P1488" s="40" t="s">
        <v>168</v>
      </c>
      <c r="Q1488" s="12"/>
      <c r="R1488" s="12"/>
      <c r="S1488" s="12"/>
      <c r="T1488" s="12"/>
      <c r="U1488" s="12"/>
      <c r="V1488" s="21"/>
      <c r="Z1488" s="12"/>
      <c r="AA1488" s="29"/>
      <c r="AB1488" s="46" t="s">
        <v>5949</v>
      </c>
      <c r="AC1488" s="12"/>
      <c r="AD1488" s="12"/>
      <c r="AE1488" s="12"/>
      <c r="AF1488" s="47"/>
      <c r="AG1488" s="47"/>
    </row>
    <row r="1489" customFormat="false" ht="15.75" hidden="false" customHeight="false" outlineLevel="0" collapsed="false">
      <c r="A1489" s="12"/>
      <c r="B1489" s="20"/>
      <c r="C1489" s="48" t="s">
        <v>6091</v>
      </c>
      <c r="D1489" s="24"/>
      <c r="E1489" s="49" t="s">
        <v>6092</v>
      </c>
      <c r="F1489" s="49" t="s">
        <v>6093</v>
      </c>
      <c r="G1489" s="17"/>
      <c r="H1489" s="17"/>
      <c r="I1489" s="26" t="s">
        <v>166</v>
      </c>
      <c r="J1489" s="32"/>
      <c r="K1489" s="17"/>
      <c r="L1489" s="38"/>
      <c r="M1489" s="50"/>
      <c r="N1489" s="17"/>
      <c r="O1489" s="17"/>
      <c r="P1489" s="40" t="s">
        <v>168</v>
      </c>
      <c r="Q1489" s="12"/>
      <c r="R1489" s="12"/>
      <c r="S1489" s="12"/>
      <c r="T1489" s="12"/>
      <c r="U1489" s="12"/>
      <c r="V1489" s="21"/>
      <c r="Z1489" s="12"/>
      <c r="AA1489" s="29"/>
      <c r="AB1489" s="50" t="s">
        <v>6094</v>
      </c>
      <c r="AC1489" s="12"/>
      <c r="AD1489" s="12"/>
      <c r="AE1489" s="12"/>
      <c r="AG1489" s="47"/>
    </row>
    <row r="1490" customFormat="false" ht="15.75" hidden="false" customHeight="false" outlineLevel="0" collapsed="false">
      <c r="A1490" s="12"/>
      <c r="B1490" s="12"/>
      <c r="C1490" s="23" t="s">
        <v>6095</v>
      </c>
      <c r="D1490" s="24"/>
      <c r="E1490" s="25" t="s">
        <v>6096</v>
      </c>
      <c r="F1490" s="17" t="s">
        <v>6097</v>
      </c>
      <c r="G1490" s="17" t="s">
        <v>1600</v>
      </c>
      <c r="H1490" s="17"/>
      <c r="I1490" s="26" t="s">
        <v>82</v>
      </c>
      <c r="J1490" s="32"/>
      <c r="K1490" s="17"/>
      <c r="L1490" s="38"/>
      <c r="M1490" s="27"/>
      <c r="N1490" s="17"/>
      <c r="O1490" s="17"/>
      <c r="P1490" s="40" t="s">
        <v>638</v>
      </c>
      <c r="Q1490" s="12"/>
      <c r="R1490" s="12" t="s">
        <v>6098</v>
      </c>
      <c r="S1490" s="12"/>
      <c r="T1490" s="12" t="s">
        <v>6099</v>
      </c>
      <c r="U1490" s="12"/>
      <c r="V1490" s="21" t="s">
        <v>31</v>
      </c>
      <c r="Z1490" s="12"/>
      <c r="AA1490" s="29"/>
      <c r="AB1490" s="84"/>
      <c r="AC1490" s="12"/>
      <c r="AD1490" s="12"/>
      <c r="AE1490" s="12"/>
    </row>
    <row r="1491" customFormat="false" ht="15.75" hidden="false" customHeight="false" outlineLevel="0" collapsed="false">
      <c r="A1491" s="12"/>
      <c r="B1491" s="12"/>
      <c r="C1491" s="23" t="s">
        <v>6100</v>
      </c>
      <c r="D1491" s="24"/>
      <c r="E1491" s="25" t="s">
        <v>6101</v>
      </c>
      <c r="F1491" s="17" t="s">
        <v>6102</v>
      </c>
      <c r="G1491" s="17" t="s">
        <v>1600</v>
      </c>
      <c r="H1491" s="17"/>
      <c r="I1491" s="26" t="s">
        <v>82</v>
      </c>
      <c r="J1491" s="32"/>
      <c r="K1491" s="17"/>
      <c r="L1491" s="38"/>
      <c r="M1491" s="27"/>
      <c r="N1491" s="17"/>
      <c r="O1491" s="17"/>
      <c r="P1491" s="40" t="s">
        <v>638</v>
      </c>
      <c r="Q1491" s="20"/>
      <c r="R1491" s="20" t="s">
        <v>6103</v>
      </c>
      <c r="S1491" s="20"/>
      <c r="T1491" s="20" t="s">
        <v>6104</v>
      </c>
      <c r="U1491" s="20"/>
      <c r="V1491" s="21" t="s">
        <v>31</v>
      </c>
      <c r="Z1491" s="20"/>
      <c r="AA1491" s="22"/>
      <c r="AB1491" s="84"/>
      <c r="AC1491" s="20"/>
      <c r="AD1491" s="20"/>
      <c r="AE1491" s="20"/>
    </row>
    <row r="1492" customFormat="false" ht="15.75" hidden="false" customHeight="false" outlineLevel="0" collapsed="false">
      <c r="A1492" s="12"/>
      <c r="B1492" s="20"/>
      <c r="C1492" s="48" t="s">
        <v>6105</v>
      </c>
      <c r="D1492" s="24"/>
      <c r="E1492" s="49" t="s">
        <v>6106</v>
      </c>
      <c r="F1492" s="49" t="s">
        <v>6107</v>
      </c>
      <c r="G1492" s="17"/>
      <c r="H1492" s="17"/>
      <c r="I1492" s="26" t="s">
        <v>166</v>
      </c>
      <c r="J1492" s="32"/>
      <c r="K1492" s="17"/>
      <c r="L1492" s="38"/>
      <c r="M1492" s="50"/>
      <c r="N1492" s="17"/>
      <c r="O1492" s="17"/>
      <c r="P1492" s="40" t="s">
        <v>168</v>
      </c>
      <c r="Q1492" s="12"/>
      <c r="R1492" s="12"/>
      <c r="S1492" s="12"/>
      <c r="T1492" s="12"/>
      <c r="U1492" s="12"/>
      <c r="V1492" s="21"/>
      <c r="Z1492" s="12"/>
      <c r="AA1492" s="29"/>
      <c r="AB1492" s="50" t="s">
        <v>6108</v>
      </c>
      <c r="AC1492" s="12"/>
      <c r="AD1492" s="12"/>
      <c r="AE1492" s="12"/>
      <c r="AG1492" s="47"/>
    </row>
    <row r="1493" customFormat="false" ht="15.75" hidden="false" customHeight="false" outlineLevel="0" collapsed="false">
      <c r="A1493" s="12"/>
      <c r="B1493" s="12"/>
      <c r="C1493" s="23" t="s">
        <v>6109</v>
      </c>
      <c r="D1493" s="24"/>
      <c r="E1493" s="25" t="s">
        <v>6110</v>
      </c>
      <c r="F1493" s="17" t="s">
        <v>6111</v>
      </c>
      <c r="G1493" s="17" t="s">
        <v>1100</v>
      </c>
      <c r="H1493" s="17"/>
      <c r="I1493" s="26" t="s">
        <v>82</v>
      </c>
      <c r="J1493" s="32"/>
      <c r="K1493" s="17"/>
      <c r="L1493" s="38"/>
      <c r="M1493" s="27"/>
      <c r="N1493" s="17"/>
      <c r="O1493" s="17"/>
      <c r="P1493" s="40" t="s">
        <v>638</v>
      </c>
      <c r="Q1493" s="12"/>
      <c r="R1493" s="12" t="s">
        <v>6112</v>
      </c>
      <c r="S1493" s="12"/>
      <c r="T1493" s="12" t="s">
        <v>6113</v>
      </c>
      <c r="U1493" s="12"/>
      <c r="V1493" s="21" t="s">
        <v>31</v>
      </c>
      <c r="Z1493" s="12"/>
      <c r="AA1493" s="29"/>
      <c r="AB1493" s="84"/>
      <c r="AC1493" s="12"/>
      <c r="AD1493" s="12"/>
      <c r="AE1493" s="12"/>
    </row>
    <row r="1494" customFormat="false" ht="15.75" hidden="false" customHeight="false" outlineLevel="0" collapsed="false">
      <c r="A1494" s="12"/>
      <c r="B1494" s="13"/>
      <c r="C1494" s="14" t="s">
        <v>6114</v>
      </c>
      <c r="D1494" s="24"/>
      <c r="E1494" s="16" t="s">
        <v>6115</v>
      </c>
      <c r="F1494" s="16" t="s">
        <v>6116</v>
      </c>
      <c r="G1494" s="17"/>
      <c r="H1494" s="17"/>
      <c r="I1494" s="26" t="s">
        <v>166</v>
      </c>
      <c r="J1494" s="32"/>
      <c r="K1494" s="17"/>
      <c r="L1494" s="38"/>
      <c r="M1494" s="46"/>
      <c r="N1494" s="17"/>
      <c r="O1494" s="17"/>
      <c r="P1494" s="40" t="s">
        <v>168</v>
      </c>
      <c r="Q1494" s="12"/>
      <c r="R1494" s="12"/>
      <c r="S1494" s="12"/>
      <c r="T1494" s="12"/>
      <c r="U1494" s="12"/>
      <c r="V1494" s="21"/>
      <c r="Z1494" s="12"/>
      <c r="AA1494" s="29"/>
      <c r="AB1494" s="46" t="s">
        <v>5949</v>
      </c>
      <c r="AC1494" s="12"/>
      <c r="AD1494" s="12"/>
      <c r="AE1494" s="12"/>
    </row>
    <row r="1495" customFormat="false" ht="15.75" hidden="false" customHeight="false" outlineLevel="0" collapsed="false">
      <c r="A1495" s="12"/>
      <c r="B1495" s="20"/>
      <c r="C1495" s="48" t="s">
        <v>6117</v>
      </c>
      <c r="D1495" s="24"/>
      <c r="E1495" s="49" t="s">
        <v>6118</v>
      </c>
      <c r="F1495" s="49" t="s">
        <v>6119</v>
      </c>
      <c r="G1495" s="17"/>
      <c r="H1495" s="17"/>
      <c r="I1495" s="26" t="s">
        <v>166</v>
      </c>
      <c r="J1495" s="32"/>
      <c r="K1495" s="17"/>
      <c r="L1495" s="38"/>
      <c r="M1495" s="50"/>
      <c r="N1495" s="17"/>
      <c r="O1495" s="17"/>
      <c r="P1495" s="40" t="s">
        <v>168</v>
      </c>
      <c r="Q1495" s="12"/>
      <c r="R1495" s="12"/>
      <c r="S1495" s="12"/>
      <c r="T1495" s="12"/>
      <c r="U1495" s="12"/>
      <c r="V1495" s="21"/>
      <c r="Z1495" s="12"/>
      <c r="AA1495" s="29"/>
      <c r="AB1495" s="50" t="s">
        <v>6120</v>
      </c>
      <c r="AC1495" s="12"/>
      <c r="AD1495" s="12"/>
      <c r="AE1495" s="12"/>
      <c r="AF1495" s="47"/>
      <c r="AG1495" s="47"/>
    </row>
    <row r="1496" customFormat="false" ht="15.75" hidden="false" customHeight="false" outlineLevel="0" collapsed="false">
      <c r="A1496" s="12"/>
      <c r="B1496" s="12"/>
      <c r="C1496" s="23" t="s">
        <v>6121</v>
      </c>
      <c r="D1496" s="24"/>
      <c r="E1496" s="25" t="s">
        <v>6122</v>
      </c>
      <c r="F1496" s="36" t="s">
        <v>6123</v>
      </c>
      <c r="G1496" s="17"/>
      <c r="H1496" s="17"/>
      <c r="I1496" s="26" t="s">
        <v>724</v>
      </c>
      <c r="J1496" s="17"/>
      <c r="K1496" s="17"/>
      <c r="L1496" s="38"/>
      <c r="M1496" s="27"/>
      <c r="N1496" s="17"/>
      <c r="O1496" s="17"/>
      <c r="P1496" s="19" t="s">
        <v>84</v>
      </c>
      <c r="Q1496" s="12"/>
      <c r="R1496" s="12"/>
      <c r="S1496" s="12"/>
      <c r="T1496" s="12"/>
      <c r="U1496" s="12"/>
      <c r="V1496" s="21"/>
      <c r="Z1496" s="12"/>
      <c r="AA1496" s="29"/>
      <c r="AB1496" s="84"/>
      <c r="AC1496" s="12"/>
      <c r="AD1496" s="12"/>
      <c r="AE1496" s="12"/>
    </row>
    <row r="1497" customFormat="false" ht="15.75" hidden="false" customHeight="false" outlineLevel="0" collapsed="false">
      <c r="A1497" s="12"/>
      <c r="B1497" s="12"/>
      <c r="C1497" s="23" t="s">
        <v>6121</v>
      </c>
      <c r="D1497" s="16"/>
      <c r="E1497" s="32" t="s">
        <v>6122</v>
      </c>
      <c r="F1497" s="36" t="s">
        <v>6123</v>
      </c>
      <c r="G1497" s="17"/>
      <c r="H1497" s="17"/>
      <c r="I1497" s="26" t="s">
        <v>724</v>
      </c>
      <c r="J1497" s="32"/>
      <c r="K1497" s="32"/>
      <c r="L1497" s="38"/>
      <c r="M1497" s="70"/>
      <c r="N1497" s="17"/>
      <c r="O1497" s="17"/>
      <c r="P1497" s="19" t="s">
        <v>84</v>
      </c>
      <c r="Q1497" s="17"/>
      <c r="R1497" s="17"/>
      <c r="S1497" s="17"/>
      <c r="T1497" s="17"/>
      <c r="U1497" s="17"/>
      <c r="V1497" s="27"/>
      <c r="Z1497" s="17"/>
      <c r="AA1497" s="29"/>
      <c r="AB1497" s="84"/>
      <c r="AC1497" s="17"/>
      <c r="AD1497" s="17"/>
      <c r="AE1497" s="17"/>
    </row>
    <row r="1498" customFormat="false" ht="15.75" hidden="false" customHeight="false" outlineLevel="0" collapsed="false">
      <c r="A1498" s="12"/>
      <c r="B1498" s="20"/>
      <c r="C1498" s="48" t="s">
        <v>6124</v>
      </c>
      <c r="D1498" s="24"/>
      <c r="E1498" s="49" t="s">
        <v>6125</v>
      </c>
      <c r="F1498" s="49" t="s">
        <v>6126</v>
      </c>
      <c r="G1498" s="17"/>
      <c r="H1498" s="17"/>
      <c r="I1498" s="26" t="s">
        <v>166</v>
      </c>
      <c r="J1498" s="32"/>
      <c r="K1498" s="17"/>
      <c r="L1498" s="38"/>
      <c r="M1498" s="50"/>
      <c r="N1498" s="17"/>
      <c r="O1498" s="17"/>
      <c r="P1498" s="40" t="s">
        <v>168</v>
      </c>
      <c r="Q1498" s="12"/>
      <c r="R1498" s="12"/>
      <c r="S1498" s="12"/>
      <c r="T1498" s="12"/>
      <c r="U1498" s="12"/>
      <c r="V1498" s="21"/>
      <c r="Z1498" s="12"/>
      <c r="AA1498" s="29"/>
      <c r="AB1498" s="50" t="s">
        <v>6127</v>
      </c>
      <c r="AC1498" s="12"/>
      <c r="AD1498" s="12"/>
      <c r="AE1498" s="12"/>
      <c r="AF1498" s="47"/>
      <c r="AG1498" s="47"/>
    </row>
    <row r="1499" customFormat="false" ht="15.75" hidden="false" customHeight="false" outlineLevel="0" collapsed="false">
      <c r="A1499" s="12"/>
      <c r="B1499" s="12"/>
      <c r="C1499" s="23" t="s">
        <v>6128</v>
      </c>
      <c r="D1499" s="24"/>
      <c r="E1499" s="25" t="s">
        <v>6129</v>
      </c>
      <c r="F1499" s="17" t="s">
        <v>6130</v>
      </c>
      <c r="G1499" s="17" t="s">
        <v>2629</v>
      </c>
      <c r="H1499" s="17"/>
      <c r="I1499" s="26" t="s">
        <v>82</v>
      </c>
      <c r="J1499" s="32"/>
      <c r="K1499" s="17"/>
      <c r="L1499" s="38"/>
      <c r="M1499" s="27"/>
      <c r="N1499" s="17"/>
      <c r="O1499" s="17"/>
      <c r="P1499" s="40" t="s">
        <v>638</v>
      </c>
      <c r="Q1499" s="20"/>
      <c r="R1499" s="20" t="s">
        <v>6131</v>
      </c>
      <c r="S1499" s="20"/>
      <c r="T1499" s="20" t="s">
        <v>6132</v>
      </c>
      <c r="U1499" s="20"/>
      <c r="V1499" s="21" t="s">
        <v>31</v>
      </c>
      <c r="Z1499" s="20"/>
      <c r="AA1499" s="22"/>
      <c r="AB1499" s="84"/>
      <c r="AC1499" s="20"/>
      <c r="AD1499" s="20"/>
      <c r="AE1499" s="20"/>
    </row>
    <row r="1500" customFormat="false" ht="15.75" hidden="false" customHeight="false" outlineLevel="0" collapsed="false">
      <c r="A1500" s="12"/>
      <c r="B1500" s="20"/>
      <c r="C1500" s="48" t="s">
        <v>6133</v>
      </c>
      <c r="D1500" s="24"/>
      <c r="E1500" s="49" t="s">
        <v>6134</v>
      </c>
      <c r="F1500" s="49" t="s">
        <v>6135</v>
      </c>
      <c r="G1500" s="17"/>
      <c r="H1500" s="17"/>
      <c r="I1500" s="26" t="s">
        <v>166</v>
      </c>
      <c r="J1500" s="32"/>
      <c r="K1500" s="17"/>
      <c r="L1500" s="38"/>
      <c r="M1500" s="50"/>
      <c r="N1500" s="17"/>
      <c r="O1500" s="17"/>
      <c r="P1500" s="40" t="s">
        <v>168</v>
      </c>
      <c r="Q1500" s="20"/>
      <c r="R1500" s="20"/>
      <c r="S1500" s="20"/>
      <c r="T1500" s="20"/>
      <c r="U1500" s="20"/>
      <c r="V1500" s="45"/>
      <c r="Z1500" s="20"/>
      <c r="AA1500" s="22"/>
      <c r="AB1500" s="50" t="s">
        <v>6136</v>
      </c>
      <c r="AC1500" s="20"/>
      <c r="AD1500" s="20"/>
      <c r="AE1500" s="20"/>
      <c r="AG1500" s="47"/>
    </row>
    <row r="1501" customFormat="false" ht="15.75" hidden="false" customHeight="false" outlineLevel="0" collapsed="false">
      <c r="A1501" s="12"/>
      <c r="B1501" s="20"/>
      <c r="C1501" s="48" t="s">
        <v>6137</v>
      </c>
      <c r="D1501" s="24"/>
      <c r="E1501" s="49" t="s">
        <v>6138</v>
      </c>
      <c r="F1501" s="49" t="s">
        <v>6139</v>
      </c>
      <c r="G1501" s="17"/>
      <c r="H1501" s="17"/>
      <c r="I1501" s="26" t="s">
        <v>166</v>
      </c>
      <c r="J1501" s="32"/>
      <c r="K1501" s="17"/>
      <c r="L1501" s="38"/>
      <c r="M1501" s="50"/>
      <c r="N1501" s="17"/>
      <c r="O1501" s="17"/>
      <c r="P1501" s="40" t="s">
        <v>168</v>
      </c>
      <c r="Q1501" s="20"/>
      <c r="R1501" s="20"/>
      <c r="S1501" s="20"/>
      <c r="T1501" s="20"/>
      <c r="U1501" s="20"/>
      <c r="V1501" s="45"/>
      <c r="Z1501" s="20"/>
      <c r="AA1501" s="22"/>
      <c r="AB1501" s="50" t="s">
        <v>6140</v>
      </c>
      <c r="AC1501" s="20"/>
      <c r="AD1501" s="20"/>
      <c r="AE1501" s="20"/>
      <c r="AF1501" s="47"/>
      <c r="AG1501" s="47"/>
    </row>
    <row r="1502" customFormat="false" ht="15.75" hidden="false" customHeight="false" outlineLevel="0" collapsed="false">
      <c r="A1502" s="12"/>
      <c r="B1502" s="12"/>
      <c r="C1502" s="23" t="s">
        <v>6141</v>
      </c>
      <c r="D1502" s="24"/>
      <c r="E1502" s="25" t="s">
        <v>6142</v>
      </c>
      <c r="F1502" s="17" t="s">
        <v>6143</v>
      </c>
      <c r="G1502" s="17" t="s">
        <v>6144</v>
      </c>
      <c r="H1502" s="17"/>
      <c r="I1502" s="26" t="s">
        <v>82</v>
      </c>
      <c r="J1502" s="32"/>
      <c r="K1502" s="17"/>
      <c r="L1502" s="38"/>
      <c r="M1502" s="27"/>
      <c r="N1502" s="17"/>
      <c r="O1502" s="17"/>
      <c r="P1502" s="40" t="s">
        <v>638</v>
      </c>
      <c r="Q1502" s="12"/>
      <c r="R1502" s="12" t="s">
        <v>6145</v>
      </c>
      <c r="S1502" s="12"/>
      <c r="T1502" s="12" t="s">
        <v>6146</v>
      </c>
      <c r="U1502" s="12"/>
      <c r="V1502" s="21" t="s">
        <v>31</v>
      </c>
      <c r="Z1502" s="12"/>
      <c r="AA1502" s="29"/>
      <c r="AB1502" s="84"/>
      <c r="AC1502" s="12"/>
      <c r="AD1502" s="12"/>
      <c r="AE1502" s="12"/>
    </row>
    <row r="1503" customFormat="false" ht="15.75" hidden="false" customHeight="false" outlineLevel="0" collapsed="false">
      <c r="A1503" s="12"/>
      <c r="B1503" s="20"/>
      <c r="C1503" s="48" t="s">
        <v>6147</v>
      </c>
      <c r="D1503" s="24"/>
      <c r="E1503" s="49" t="s">
        <v>6148</v>
      </c>
      <c r="F1503" s="49" t="s">
        <v>6149</v>
      </c>
      <c r="G1503" s="17"/>
      <c r="H1503" s="17"/>
      <c r="I1503" s="26" t="s">
        <v>166</v>
      </c>
      <c r="J1503" s="32"/>
      <c r="K1503" s="17"/>
      <c r="L1503" s="38"/>
      <c r="M1503" s="46"/>
      <c r="N1503" s="17"/>
      <c r="O1503" s="17"/>
      <c r="P1503" s="40" t="s">
        <v>168</v>
      </c>
      <c r="Q1503" s="12"/>
      <c r="R1503" s="12"/>
      <c r="S1503" s="12"/>
      <c r="T1503" s="12"/>
      <c r="U1503" s="12"/>
      <c r="V1503" s="21"/>
      <c r="Z1503" s="12"/>
      <c r="AA1503" s="29"/>
      <c r="AB1503" s="46" t="s">
        <v>5949</v>
      </c>
      <c r="AC1503" s="12"/>
      <c r="AD1503" s="12"/>
      <c r="AE1503" s="12"/>
      <c r="AF1503" s="47"/>
      <c r="AG1503" s="47"/>
    </row>
    <row r="1504" customFormat="false" ht="15.75" hidden="false" customHeight="false" outlineLevel="0" collapsed="false">
      <c r="A1504" s="12"/>
      <c r="B1504" s="20"/>
      <c r="C1504" s="48" t="s">
        <v>6150</v>
      </c>
      <c r="D1504" s="24"/>
      <c r="E1504" s="49" t="s">
        <v>6151</v>
      </c>
      <c r="F1504" s="49" t="s">
        <v>6152</v>
      </c>
      <c r="G1504" s="17"/>
      <c r="H1504" s="17"/>
      <c r="I1504" s="26" t="s">
        <v>166</v>
      </c>
      <c r="J1504" s="32"/>
      <c r="K1504" s="17"/>
      <c r="L1504" s="38"/>
      <c r="M1504" s="50"/>
      <c r="N1504" s="17"/>
      <c r="O1504" s="17"/>
      <c r="P1504" s="40" t="s">
        <v>168</v>
      </c>
      <c r="Q1504" s="12"/>
      <c r="R1504" s="12"/>
      <c r="S1504" s="12"/>
      <c r="T1504" s="12"/>
      <c r="U1504" s="12"/>
      <c r="V1504" s="21"/>
      <c r="Z1504" s="12"/>
      <c r="AA1504" s="29"/>
      <c r="AB1504" s="50" t="s">
        <v>6153</v>
      </c>
      <c r="AC1504" s="12"/>
      <c r="AD1504" s="12"/>
      <c r="AE1504" s="12"/>
    </row>
    <row r="1505" customFormat="false" ht="15.75" hidden="false" customHeight="false" outlineLevel="0" collapsed="false">
      <c r="A1505" s="12"/>
      <c r="B1505" s="20"/>
      <c r="C1505" s="48" t="s">
        <v>6154</v>
      </c>
      <c r="D1505" s="24"/>
      <c r="E1505" s="49" t="s">
        <v>6155</v>
      </c>
      <c r="F1505" s="49" t="s">
        <v>6156</v>
      </c>
      <c r="G1505" s="17"/>
      <c r="H1505" s="17"/>
      <c r="I1505" s="26" t="s">
        <v>166</v>
      </c>
      <c r="J1505" s="32"/>
      <c r="K1505" s="17"/>
      <c r="L1505" s="38"/>
      <c r="M1505" s="50"/>
      <c r="N1505" s="17"/>
      <c r="O1505" s="17"/>
      <c r="P1505" s="40" t="s">
        <v>168</v>
      </c>
      <c r="Q1505" s="20"/>
      <c r="R1505" s="20"/>
      <c r="S1505" s="20"/>
      <c r="T1505" s="20"/>
      <c r="U1505" s="20"/>
      <c r="V1505" s="45"/>
      <c r="Z1505" s="20"/>
      <c r="AA1505" s="22"/>
      <c r="AB1505" s="50" t="s">
        <v>6157</v>
      </c>
      <c r="AC1505" s="20"/>
      <c r="AD1505" s="20"/>
      <c r="AE1505" s="20"/>
      <c r="AG1505" s="47"/>
    </row>
    <row r="1506" customFormat="false" ht="15.75" hidden="false" customHeight="false" outlineLevel="0" collapsed="false">
      <c r="A1506" s="12"/>
      <c r="B1506" s="20"/>
      <c r="C1506" s="48" t="s">
        <v>6158</v>
      </c>
      <c r="D1506" s="24"/>
      <c r="E1506" s="49" t="s">
        <v>6159</v>
      </c>
      <c r="F1506" s="49" t="s">
        <v>6160</v>
      </c>
      <c r="G1506" s="17"/>
      <c r="H1506" s="17"/>
      <c r="I1506" s="26" t="s">
        <v>166</v>
      </c>
      <c r="J1506" s="32"/>
      <c r="K1506" s="17"/>
      <c r="L1506" s="38"/>
      <c r="M1506" s="50"/>
      <c r="N1506" s="17"/>
      <c r="O1506" s="17"/>
      <c r="P1506" s="40" t="s">
        <v>168</v>
      </c>
      <c r="Q1506" s="12"/>
      <c r="R1506" s="12"/>
      <c r="S1506" s="12"/>
      <c r="T1506" s="12"/>
      <c r="U1506" s="12"/>
      <c r="V1506" s="21"/>
      <c r="Z1506" s="12"/>
      <c r="AA1506" s="29"/>
      <c r="AB1506" s="50" t="s">
        <v>6161</v>
      </c>
      <c r="AC1506" s="12"/>
      <c r="AD1506" s="12"/>
      <c r="AE1506" s="12"/>
      <c r="AF1506" s="47"/>
      <c r="AG1506" s="47"/>
    </row>
    <row r="1507" customFormat="false" ht="15.75" hidden="false" customHeight="false" outlineLevel="0" collapsed="false">
      <c r="A1507" s="12"/>
      <c r="B1507" s="20"/>
      <c r="C1507" s="48" t="s">
        <v>410</v>
      </c>
      <c r="D1507" s="24"/>
      <c r="E1507" s="49" t="s">
        <v>6162</v>
      </c>
      <c r="F1507" s="49" t="s">
        <v>6163</v>
      </c>
      <c r="G1507" s="17"/>
      <c r="H1507" s="17"/>
      <c r="I1507" s="26" t="s">
        <v>166</v>
      </c>
      <c r="J1507" s="32"/>
      <c r="K1507" s="17"/>
      <c r="L1507" s="38"/>
      <c r="M1507" s="50"/>
      <c r="N1507" s="17"/>
      <c r="O1507" s="17"/>
      <c r="P1507" s="40" t="s">
        <v>168</v>
      </c>
      <c r="Q1507" s="12"/>
      <c r="R1507" s="12"/>
      <c r="S1507" s="12"/>
      <c r="T1507" s="12"/>
      <c r="U1507" s="12"/>
      <c r="V1507" s="21"/>
      <c r="Z1507" s="12"/>
      <c r="AA1507" s="29"/>
      <c r="AB1507" s="50" t="s">
        <v>6164</v>
      </c>
      <c r="AC1507" s="12"/>
      <c r="AD1507" s="12"/>
      <c r="AE1507" s="12"/>
      <c r="AG1507" s="47"/>
    </row>
    <row r="1508" customFormat="false" ht="15.75" hidden="false" customHeight="false" outlineLevel="0" collapsed="false">
      <c r="A1508" s="12"/>
      <c r="B1508" s="13"/>
      <c r="C1508" s="14" t="s">
        <v>6165</v>
      </c>
      <c r="D1508" s="24"/>
      <c r="E1508" s="16" t="s">
        <v>6166</v>
      </c>
      <c r="F1508" s="16" t="s">
        <v>6167</v>
      </c>
      <c r="G1508" s="17"/>
      <c r="H1508" s="17"/>
      <c r="I1508" s="26" t="s">
        <v>166</v>
      </c>
      <c r="J1508" s="32"/>
      <c r="K1508" s="17"/>
      <c r="L1508" s="38"/>
      <c r="M1508" s="78"/>
      <c r="N1508" s="17"/>
      <c r="O1508" s="17"/>
      <c r="P1508" s="40" t="s">
        <v>168</v>
      </c>
      <c r="Q1508" s="12"/>
      <c r="R1508" s="12"/>
      <c r="S1508" s="12"/>
      <c r="T1508" s="12"/>
      <c r="U1508" s="12"/>
      <c r="V1508" s="21"/>
      <c r="Z1508" s="12"/>
      <c r="AA1508" s="29"/>
      <c r="AB1508" s="78" t="s">
        <v>6168</v>
      </c>
      <c r="AC1508" s="12"/>
      <c r="AD1508" s="12"/>
      <c r="AE1508" s="12"/>
      <c r="AG1508" s="47"/>
    </row>
    <row r="1509" customFormat="false" ht="15.75" hidden="false" customHeight="false" outlineLevel="0" collapsed="false">
      <c r="A1509" s="12"/>
      <c r="B1509" s="20"/>
      <c r="C1509" s="48" t="s">
        <v>6169</v>
      </c>
      <c r="D1509" s="24"/>
      <c r="E1509" s="49" t="s">
        <v>6170</v>
      </c>
      <c r="F1509" s="49" t="s">
        <v>6171</v>
      </c>
      <c r="G1509" s="17"/>
      <c r="H1509" s="17"/>
      <c r="I1509" s="26" t="s">
        <v>166</v>
      </c>
      <c r="J1509" s="32"/>
      <c r="K1509" s="17"/>
      <c r="L1509" s="38"/>
      <c r="M1509" s="50"/>
      <c r="N1509" s="17"/>
      <c r="O1509" s="17"/>
      <c r="P1509" s="40" t="s">
        <v>168</v>
      </c>
      <c r="Q1509" s="12"/>
      <c r="R1509" s="12"/>
      <c r="S1509" s="12"/>
      <c r="T1509" s="12"/>
      <c r="U1509" s="12"/>
      <c r="V1509" s="21"/>
      <c r="Z1509" s="12"/>
      <c r="AA1509" s="29"/>
      <c r="AB1509" s="50" t="s">
        <v>6172</v>
      </c>
      <c r="AC1509" s="12"/>
      <c r="AD1509" s="12"/>
      <c r="AE1509" s="12"/>
      <c r="AF1509" s="47"/>
      <c r="AG1509" s="47"/>
    </row>
    <row r="1510" customFormat="false" ht="15.75" hidden="false" customHeight="false" outlineLevel="0" collapsed="false">
      <c r="A1510" s="12"/>
      <c r="B1510" s="13"/>
      <c r="C1510" s="14" t="s">
        <v>6173</v>
      </c>
      <c r="D1510" s="24"/>
      <c r="E1510" s="16" t="s">
        <v>6174</v>
      </c>
      <c r="F1510" s="16" t="s">
        <v>6175</v>
      </c>
      <c r="G1510" s="17"/>
      <c r="H1510" s="17"/>
      <c r="I1510" s="26" t="s">
        <v>166</v>
      </c>
      <c r="J1510" s="32"/>
      <c r="K1510" s="17"/>
      <c r="L1510" s="38"/>
      <c r="M1510" s="46"/>
      <c r="N1510" s="17"/>
      <c r="O1510" s="17"/>
      <c r="P1510" s="40" t="s">
        <v>168</v>
      </c>
      <c r="Q1510" s="12"/>
      <c r="R1510" s="12"/>
      <c r="S1510" s="12"/>
      <c r="T1510" s="12"/>
      <c r="U1510" s="12"/>
      <c r="V1510" s="21"/>
      <c r="Z1510" s="12"/>
      <c r="AA1510" s="29"/>
      <c r="AB1510" s="46" t="s">
        <v>5949</v>
      </c>
      <c r="AC1510" s="12"/>
      <c r="AD1510" s="12"/>
      <c r="AE1510" s="12"/>
      <c r="AG1510" s="47"/>
    </row>
    <row r="1511" customFormat="false" ht="15.75" hidden="false" customHeight="false" outlineLevel="0" collapsed="false">
      <c r="A1511" s="12"/>
      <c r="B1511" s="12"/>
      <c r="C1511" s="23" t="s">
        <v>6176</v>
      </c>
      <c r="D1511" s="24"/>
      <c r="E1511" s="25" t="s">
        <v>6177</v>
      </c>
      <c r="F1511" s="17" t="s">
        <v>6178</v>
      </c>
      <c r="G1511" s="17" t="s">
        <v>2629</v>
      </c>
      <c r="H1511" s="17"/>
      <c r="I1511" s="26" t="s">
        <v>82</v>
      </c>
      <c r="J1511" s="32"/>
      <c r="K1511" s="17"/>
      <c r="L1511" s="38"/>
      <c r="M1511" s="27"/>
      <c r="N1511" s="17"/>
      <c r="O1511" s="17"/>
      <c r="P1511" s="40" t="s">
        <v>638</v>
      </c>
      <c r="Q1511" s="12"/>
      <c r="R1511" s="12" t="s">
        <v>6179</v>
      </c>
      <c r="S1511" s="12"/>
      <c r="T1511" s="12" t="s">
        <v>6180</v>
      </c>
      <c r="U1511" s="12"/>
      <c r="V1511" s="21" t="s">
        <v>31</v>
      </c>
      <c r="Z1511" s="12"/>
      <c r="AA1511" s="29"/>
      <c r="AB1511" s="84"/>
      <c r="AC1511" s="12"/>
      <c r="AD1511" s="12"/>
      <c r="AE1511" s="12"/>
    </row>
    <row r="1512" customFormat="false" ht="15.75" hidden="false" customHeight="false" outlineLevel="0" collapsed="false">
      <c r="A1512" s="12"/>
      <c r="B1512" s="12"/>
      <c r="C1512" s="23" t="s">
        <v>6181</v>
      </c>
      <c r="D1512" s="24"/>
      <c r="E1512" s="25" t="s">
        <v>6182</v>
      </c>
      <c r="F1512" s="17" t="s">
        <v>6183</v>
      </c>
      <c r="G1512" s="17" t="s">
        <v>1600</v>
      </c>
      <c r="H1512" s="17"/>
      <c r="I1512" s="26" t="s">
        <v>82</v>
      </c>
      <c r="J1512" s="32"/>
      <c r="K1512" s="17"/>
      <c r="L1512" s="38"/>
      <c r="M1512" s="27"/>
      <c r="N1512" s="17"/>
      <c r="O1512" s="17"/>
      <c r="P1512" s="40" t="s">
        <v>638</v>
      </c>
      <c r="Q1512" s="12"/>
      <c r="R1512" s="12" t="s">
        <v>6184</v>
      </c>
      <c r="S1512" s="12"/>
      <c r="T1512" s="12" t="s">
        <v>6185</v>
      </c>
      <c r="U1512" s="12"/>
      <c r="V1512" s="21" t="s">
        <v>31</v>
      </c>
      <c r="Z1512" s="12"/>
      <c r="AA1512" s="29"/>
      <c r="AB1512" s="84"/>
      <c r="AC1512" s="12"/>
      <c r="AD1512" s="12"/>
      <c r="AE1512" s="12"/>
    </row>
    <row r="1513" customFormat="false" ht="15.75" hidden="false" customHeight="false" outlineLevel="0" collapsed="false">
      <c r="A1513" s="12"/>
      <c r="B1513" s="20"/>
      <c r="C1513" s="48" t="s">
        <v>6186</v>
      </c>
      <c r="D1513" s="24"/>
      <c r="E1513" s="49" t="s">
        <v>6187</v>
      </c>
      <c r="F1513" s="49" t="s">
        <v>6188</v>
      </c>
      <c r="G1513" s="17"/>
      <c r="H1513" s="17"/>
      <c r="I1513" s="26" t="s">
        <v>166</v>
      </c>
      <c r="J1513" s="32"/>
      <c r="K1513" s="17"/>
      <c r="L1513" s="38"/>
      <c r="M1513" s="46"/>
      <c r="N1513" s="17"/>
      <c r="O1513" s="17"/>
      <c r="P1513" s="40" t="s">
        <v>168</v>
      </c>
      <c r="Q1513" s="12"/>
      <c r="R1513" s="12"/>
      <c r="S1513" s="12"/>
      <c r="T1513" s="12"/>
      <c r="U1513" s="12"/>
      <c r="V1513" s="21"/>
      <c r="Z1513" s="12"/>
      <c r="AA1513" s="29"/>
      <c r="AB1513" s="46" t="s">
        <v>5949</v>
      </c>
      <c r="AC1513" s="12"/>
      <c r="AD1513" s="12"/>
      <c r="AE1513" s="12"/>
      <c r="AF1513" s="47"/>
      <c r="AG1513" s="47"/>
    </row>
    <row r="1514" customFormat="false" ht="15.75" hidden="false" customHeight="false" outlineLevel="0" collapsed="false">
      <c r="A1514" s="12"/>
      <c r="B1514" s="13"/>
      <c r="C1514" s="14" t="s">
        <v>6189</v>
      </c>
      <c r="D1514" s="24"/>
      <c r="E1514" s="16" t="s">
        <v>6190</v>
      </c>
      <c r="F1514" s="16" t="s">
        <v>6191</v>
      </c>
      <c r="G1514" s="17"/>
      <c r="H1514" s="17"/>
      <c r="I1514" s="26" t="s">
        <v>166</v>
      </c>
      <c r="J1514" s="32"/>
      <c r="K1514" s="17"/>
      <c r="L1514" s="38"/>
      <c r="M1514" s="46"/>
      <c r="N1514" s="17"/>
      <c r="O1514" s="17"/>
      <c r="P1514" s="40" t="s">
        <v>168</v>
      </c>
      <c r="Q1514" s="17"/>
      <c r="R1514" s="17"/>
      <c r="S1514" s="17"/>
      <c r="T1514" s="17"/>
      <c r="U1514" s="17"/>
      <c r="V1514" s="27"/>
      <c r="Z1514" s="17"/>
      <c r="AA1514" s="29"/>
      <c r="AB1514" s="46" t="s">
        <v>5949</v>
      </c>
      <c r="AC1514" s="17"/>
      <c r="AD1514" s="17"/>
      <c r="AE1514" s="17"/>
      <c r="AG1514" s="47"/>
    </row>
    <row r="1515" customFormat="false" ht="15.75" hidden="false" customHeight="false" outlineLevel="0" collapsed="false">
      <c r="A1515" s="12"/>
      <c r="B1515" s="12"/>
      <c r="C1515" s="23" t="s">
        <v>6192</v>
      </c>
      <c r="D1515" s="24"/>
      <c r="E1515" s="25" t="s">
        <v>6193</v>
      </c>
      <c r="F1515" s="17" t="s">
        <v>6194</v>
      </c>
      <c r="G1515" s="17" t="s">
        <v>6195</v>
      </c>
      <c r="H1515" s="17"/>
      <c r="I1515" s="26" t="s">
        <v>82</v>
      </c>
      <c r="J1515" s="32"/>
      <c r="K1515" s="17"/>
      <c r="L1515" s="38"/>
      <c r="M1515" s="27"/>
      <c r="N1515" s="17"/>
      <c r="O1515" s="17"/>
      <c r="P1515" s="40" t="s">
        <v>638</v>
      </c>
      <c r="Q1515" s="12"/>
      <c r="R1515" s="12" t="s">
        <v>6196</v>
      </c>
      <c r="S1515" s="12"/>
      <c r="T1515" s="12" t="s">
        <v>6197</v>
      </c>
      <c r="U1515" s="12"/>
      <c r="V1515" s="21" t="s">
        <v>31</v>
      </c>
      <c r="Z1515" s="12"/>
      <c r="AA1515" s="29"/>
      <c r="AB1515" s="84"/>
      <c r="AC1515" s="12"/>
      <c r="AD1515" s="12"/>
      <c r="AE1515" s="12"/>
    </row>
    <row r="1516" customFormat="false" ht="15.75" hidden="false" customHeight="false" outlineLevel="0" collapsed="false">
      <c r="A1516" s="12"/>
      <c r="B1516" s="12"/>
      <c r="C1516" s="23" t="s">
        <v>6198</v>
      </c>
      <c r="D1516" s="24"/>
      <c r="E1516" s="25" t="s">
        <v>6199</v>
      </c>
      <c r="F1516" s="17" t="s">
        <v>6200</v>
      </c>
      <c r="G1516" s="17" t="s">
        <v>1100</v>
      </c>
      <c r="H1516" s="17"/>
      <c r="I1516" s="26" t="s">
        <v>82</v>
      </c>
      <c r="J1516" s="32"/>
      <c r="K1516" s="17"/>
      <c r="L1516" s="38"/>
      <c r="M1516" s="27"/>
      <c r="N1516" s="17"/>
      <c r="O1516" s="17"/>
      <c r="P1516" s="40" t="s">
        <v>638</v>
      </c>
      <c r="Q1516" s="12"/>
      <c r="R1516" s="12" t="s">
        <v>6201</v>
      </c>
      <c r="S1516" s="12"/>
      <c r="T1516" s="12" t="s">
        <v>6202</v>
      </c>
      <c r="U1516" s="12"/>
      <c r="V1516" s="21" t="s">
        <v>31</v>
      </c>
      <c r="Z1516" s="12"/>
      <c r="AA1516" s="29"/>
      <c r="AB1516" s="84"/>
      <c r="AC1516" s="12"/>
      <c r="AD1516" s="12"/>
      <c r="AE1516" s="12"/>
    </row>
    <row r="1517" customFormat="false" ht="15.75" hidden="false" customHeight="false" outlineLevel="0" collapsed="false">
      <c r="A1517" s="12"/>
      <c r="B1517" s="20"/>
      <c r="C1517" s="48" t="s">
        <v>6203</v>
      </c>
      <c r="D1517" s="24"/>
      <c r="E1517" s="16" t="s">
        <v>6204</v>
      </c>
      <c r="F1517" s="49" t="s">
        <v>6205</v>
      </c>
      <c r="G1517" s="17"/>
      <c r="H1517" s="17"/>
      <c r="I1517" s="26" t="s">
        <v>166</v>
      </c>
      <c r="J1517" s="32"/>
      <c r="K1517" s="17"/>
      <c r="L1517" s="38"/>
      <c r="M1517" s="50"/>
      <c r="N1517" s="17"/>
      <c r="O1517" s="17"/>
      <c r="P1517" s="40" t="s">
        <v>168</v>
      </c>
      <c r="Q1517" s="20"/>
      <c r="R1517" s="20"/>
      <c r="S1517" s="20"/>
      <c r="T1517" s="20"/>
      <c r="U1517" s="20"/>
      <c r="V1517" s="45"/>
      <c r="Z1517" s="20"/>
      <c r="AA1517" s="22"/>
      <c r="AB1517" s="50" t="s">
        <v>6206</v>
      </c>
      <c r="AC1517" s="20"/>
      <c r="AD1517" s="20"/>
      <c r="AE1517" s="20"/>
      <c r="AG1517" s="47"/>
    </row>
    <row r="1518" customFormat="false" ht="15.75" hidden="false" customHeight="false" outlineLevel="0" collapsed="false">
      <c r="A1518" s="12"/>
      <c r="B1518" s="20"/>
      <c r="C1518" s="48" t="s">
        <v>6207</v>
      </c>
      <c r="D1518" s="24"/>
      <c r="E1518" s="49"/>
      <c r="F1518" s="49"/>
      <c r="G1518" s="17"/>
      <c r="H1518" s="17"/>
      <c r="I1518" s="17"/>
      <c r="J1518" s="32"/>
      <c r="K1518" s="17"/>
      <c r="L1518" s="38"/>
      <c r="M1518" s="50"/>
      <c r="N1518" s="17"/>
      <c r="O1518" s="17"/>
      <c r="P1518" s="40"/>
      <c r="Q1518" s="17"/>
      <c r="R1518" s="17"/>
      <c r="S1518" s="17"/>
      <c r="T1518" s="17"/>
      <c r="U1518" s="17"/>
      <c r="V1518" s="27"/>
      <c r="Z1518" s="17"/>
      <c r="AA1518" s="29"/>
      <c r="AB1518" s="111"/>
      <c r="AC1518" s="17"/>
      <c r="AD1518" s="17"/>
      <c r="AE1518" s="17"/>
    </row>
    <row r="1519" customFormat="false" ht="15.75" hidden="false" customHeight="false" outlineLevel="0" collapsed="false">
      <c r="A1519" s="12"/>
      <c r="B1519" s="20"/>
      <c r="C1519" s="48" t="s">
        <v>6208</v>
      </c>
      <c r="D1519" s="24"/>
      <c r="E1519" s="49" t="s">
        <v>6209</v>
      </c>
      <c r="F1519" s="49" t="s">
        <v>6210</v>
      </c>
      <c r="G1519" s="17"/>
      <c r="H1519" s="17"/>
      <c r="I1519" s="26" t="s">
        <v>166</v>
      </c>
      <c r="J1519" s="32"/>
      <c r="K1519" s="17"/>
      <c r="L1519" s="38"/>
      <c r="M1519" s="50"/>
      <c r="N1519" s="17"/>
      <c r="O1519" s="17"/>
      <c r="P1519" s="40" t="s">
        <v>168</v>
      </c>
      <c r="Q1519" s="17"/>
      <c r="R1519" s="17"/>
      <c r="S1519" s="17"/>
      <c r="T1519" s="17"/>
      <c r="U1519" s="17"/>
      <c r="V1519" s="27"/>
      <c r="Z1519" s="17"/>
      <c r="AA1519" s="29"/>
      <c r="AB1519" s="50" t="s">
        <v>6211</v>
      </c>
      <c r="AC1519" s="17"/>
      <c r="AD1519" s="17"/>
      <c r="AE1519" s="17"/>
      <c r="AG1519" s="47"/>
    </row>
    <row r="1520" customFormat="false" ht="15.75" hidden="false" customHeight="false" outlineLevel="0" collapsed="false">
      <c r="A1520" s="12"/>
      <c r="B1520" s="12"/>
      <c r="C1520" s="23" t="s">
        <v>6212</v>
      </c>
      <c r="D1520" s="24"/>
      <c r="E1520" s="25" t="s">
        <v>6213</v>
      </c>
      <c r="F1520" s="17" t="s">
        <v>6214</v>
      </c>
      <c r="G1520" s="17" t="s">
        <v>637</v>
      </c>
      <c r="H1520" s="17"/>
      <c r="I1520" s="26" t="s">
        <v>82</v>
      </c>
      <c r="J1520" s="32"/>
      <c r="K1520" s="17"/>
      <c r="L1520" s="38"/>
      <c r="M1520" s="27"/>
      <c r="N1520" s="17"/>
      <c r="O1520" s="17"/>
      <c r="P1520" s="40" t="s">
        <v>638</v>
      </c>
      <c r="Q1520" s="12"/>
      <c r="R1520" s="12" t="s">
        <v>6215</v>
      </c>
      <c r="S1520" s="12"/>
      <c r="T1520" s="12" t="s">
        <v>6216</v>
      </c>
      <c r="U1520" s="12"/>
      <c r="V1520" s="21" t="s">
        <v>31</v>
      </c>
      <c r="Z1520" s="12"/>
      <c r="AA1520" s="29"/>
      <c r="AB1520" s="84"/>
      <c r="AC1520" s="12"/>
      <c r="AD1520" s="12"/>
      <c r="AE1520" s="12"/>
    </row>
    <row r="1521" customFormat="false" ht="15.75" hidden="false" customHeight="false" outlineLevel="0" collapsed="false">
      <c r="A1521" s="12"/>
      <c r="B1521" s="20"/>
      <c r="C1521" s="48" t="s">
        <v>6217</v>
      </c>
      <c r="D1521" s="24"/>
      <c r="E1521" s="49" t="s">
        <v>6218</v>
      </c>
      <c r="F1521" s="49" t="s">
        <v>6219</v>
      </c>
      <c r="G1521" s="17"/>
      <c r="H1521" s="17"/>
      <c r="I1521" s="26" t="s">
        <v>166</v>
      </c>
      <c r="J1521" s="32"/>
      <c r="K1521" s="17"/>
      <c r="L1521" s="38"/>
      <c r="M1521" s="50"/>
      <c r="N1521" s="17"/>
      <c r="O1521" s="17"/>
      <c r="P1521" s="40" t="s">
        <v>168</v>
      </c>
      <c r="Q1521" s="12"/>
      <c r="R1521" s="12"/>
      <c r="S1521" s="12"/>
      <c r="T1521" s="12"/>
      <c r="U1521" s="12"/>
      <c r="V1521" s="21"/>
      <c r="Z1521" s="12"/>
      <c r="AA1521" s="29"/>
      <c r="AB1521" s="50" t="s">
        <v>6220</v>
      </c>
      <c r="AC1521" s="12"/>
      <c r="AD1521" s="12"/>
      <c r="AE1521" s="12"/>
      <c r="AF1521" s="47"/>
      <c r="AG1521" s="47"/>
    </row>
    <row r="1522" customFormat="false" ht="15.75" hidden="false" customHeight="false" outlineLevel="0" collapsed="false">
      <c r="A1522" s="12"/>
      <c r="B1522" s="20"/>
      <c r="C1522" s="48" t="s">
        <v>6221</v>
      </c>
      <c r="D1522" s="24"/>
      <c r="E1522" s="49" t="s">
        <v>6222</v>
      </c>
      <c r="F1522" s="49" t="s">
        <v>6223</v>
      </c>
      <c r="G1522" s="17"/>
      <c r="H1522" s="17"/>
      <c r="I1522" s="26" t="s">
        <v>166</v>
      </c>
      <c r="J1522" s="32"/>
      <c r="K1522" s="17"/>
      <c r="L1522" s="38"/>
      <c r="M1522" s="78"/>
      <c r="N1522" s="17"/>
      <c r="O1522" s="17"/>
      <c r="P1522" s="40" t="s">
        <v>168</v>
      </c>
      <c r="Q1522" s="17"/>
      <c r="R1522" s="17"/>
      <c r="S1522" s="17"/>
      <c r="T1522" s="17"/>
      <c r="U1522" s="17"/>
      <c r="V1522" s="27"/>
      <c r="Z1522" s="17"/>
      <c r="AA1522" s="29"/>
      <c r="AB1522" s="78" t="s">
        <v>6224</v>
      </c>
      <c r="AC1522" s="17"/>
      <c r="AD1522" s="17"/>
      <c r="AE1522" s="17"/>
      <c r="AG1522" s="47"/>
    </row>
    <row r="1523" customFormat="false" ht="15.75" hidden="false" customHeight="false" outlineLevel="0" collapsed="false">
      <c r="A1523" s="12"/>
      <c r="B1523" s="20"/>
      <c r="C1523" s="48" t="s">
        <v>6225</v>
      </c>
      <c r="D1523" s="24"/>
      <c r="E1523" s="49" t="s">
        <v>6226</v>
      </c>
      <c r="F1523" s="49" t="s">
        <v>6227</v>
      </c>
      <c r="G1523" s="17"/>
      <c r="H1523" s="17"/>
      <c r="I1523" s="26" t="s">
        <v>166</v>
      </c>
      <c r="J1523" s="32"/>
      <c r="K1523" s="17"/>
      <c r="L1523" s="38"/>
      <c r="M1523" s="50"/>
      <c r="N1523" s="17"/>
      <c r="O1523" s="17"/>
      <c r="P1523" s="40" t="s">
        <v>168</v>
      </c>
      <c r="Q1523" s="12"/>
      <c r="R1523" s="12"/>
      <c r="S1523" s="12"/>
      <c r="T1523" s="12"/>
      <c r="U1523" s="12"/>
      <c r="V1523" s="21"/>
      <c r="Z1523" s="12"/>
      <c r="AA1523" s="29"/>
      <c r="AB1523" s="50" t="s">
        <v>5306</v>
      </c>
      <c r="AC1523" s="12"/>
      <c r="AD1523" s="12"/>
      <c r="AE1523" s="12"/>
      <c r="AF1523" s="47"/>
      <c r="AG1523" s="47"/>
    </row>
    <row r="1524" customFormat="false" ht="15.75" hidden="false" customHeight="false" outlineLevel="0" collapsed="false">
      <c r="A1524" s="12"/>
      <c r="B1524" s="20"/>
      <c r="C1524" s="48" t="s">
        <v>6228</v>
      </c>
      <c r="D1524" s="24"/>
      <c r="E1524" s="49" t="s">
        <v>6229</v>
      </c>
      <c r="F1524" s="49" t="s">
        <v>6230</v>
      </c>
      <c r="G1524" s="17"/>
      <c r="H1524" s="17"/>
      <c r="I1524" s="26" t="s">
        <v>166</v>
      </c>
      <c r="J1524" s="32"/>
      <c r="K1524" s="17"/>
      <c r="L1524" s="38"/>
      <c r="M1524" s="50"/>
      <c r="N1524" s="17"/>
      <c r="O1524" s="17"/>
      <c r="P1524" s="40" t="s">
        <v>168</v>
      </c>
      <c r="Q1524" s="12"/>
      <c r="R1524" s="12"/>
      <c r="S1524" s="12"/>
      <c r="T1524" s="12"/>
      <c r="U1524" s="12"/>
      <c r="V1524" s="21"/>
      <c r="Z1524" s="12"/>
      <c r="AA1524" s="29"/>
      <c r="AB1524" s="50" t="s">
        <v>6231</v>
      </c>
      <c r="AC1524" s="12"/>
      <c r="AD1524" s="12"/>
      <c r="AE1524" s="12"/>
      <c r="AF1524" s="47"/>
      <c r="AG1524" s="47"/>
    </row>
    <row r="1525" customFormat="false" ht="15.75" hidden="false" customHeight="false" outlineLevel="0" collapsed="false">
      <c r="A1525" s="12"/>
      <c r="B1525" s="20"/>
      <c r="C1525" s="48" t="s">
        <v>6232</v>
      </c>
      <c r="D1525" s="24"/>
      <c r="E1525" s="49" t="s">
        <v>6233</v>
      </c>
      <c r="F1525" s="49" t="s">
        <v>6234</v>
      </c>
      <c r="G1525" s="17"/>
      <c r="H1525" s="17"/>
      <c r="I1525" s="26" t="s">
        <v>166</v>
      </c>
      <c r="J1525" s="32"/>
      <c r="K1525" s="17"/>
      <c r="L1525" s="38"/>
      <c r="M1525" s="50"/>
      <c r="N1525" s="17"/>
      <c r="O1525" s="17"/>
      <c r="P1525" s="40" t="s">
        <v>168</v>
      </c>
      <c r="Q1525" s="12"/>
      <c r="R1525" s="12"/>
      <c r="S1525" s="12"/>
      <c r="T1525" s="12"/>
      <c r="U1525" s="12"/>
      <c r="V1525" s="21"/>
      <c r="Z1525" s="12"/>
      <c r="AA1525" s="29"/>
      <c r="AB1525" s="50" t="s">
        <v>6235</v>
      </c>
      <c r="AC1525" s="12"/>
      <c r="AD1525" s="12"/>
      <c r="AE1525" s="12"/>
      <c r="AF1525" s="47"/>
      <c r="AG1525" s="47"/>
    </row>
    <row r="1526" customFormat="false" ht="15.75" hidden="false" customHeight="false" outlineLevel="0" collapsed="false">
      <c r="A1526" s="12"/>
      <c r="B1526" s="20"/>
      <c r="C1526" s="48" t="s">
        <v>6236</v>
      </c>
      <c r="D1526" s="24"/>
      <c r="E1526" s="49" t="s">
        <v>6237</v>
      </c>
      <c r="F1526" s="49" t="s">
        <v>6238</v>
      </c>
      <c r="G1526" s="17"/>
      <c r="H1526" s="17"/>
      <c r="I1526" s="26" t="s">
        <v>166</v>
      </c>
      <c r="J1526" s="32"/>
      <c r="K1526" s="17"/>
      <c r="L1526" s="38"/>
      <c r="M1526" s="46"/>
      <c r="N1526" s="17"/>
      <c r="O1526" s="17"/>
      <c r="P1526" s="40" t="s">
        <v>168</v>
      </c>
      <c r="Q1526" s="12"/>
      <c r="R1526" s="12"/>
      <c r="S1526" s="12"/>
      <c r="T1526" s="12"/>
      <c r="U1526" s="12"/>
      <c r="V1526" s="21"/>
      <c r="Z1526" s="12"/>
      <c r="AA1526" s="29"/>
      <c r="AB1526" s="46" t="s">
        <v>5949</v>
      </c>
      <c r="AC1526" s="12"/>
      <c r="AD1526" s="12"/>
      <c r="AE1526" s="12"/>
      <c r="AG1526" s="47"/>
    </row>
    <row r="1527" customFormat="false" ht="15.75" hidden="false" customHeight="false" outlineLevel="0" collapsed="false">
      <c r="A1527" s="12"/>
      <c r="B1527" s="13"/>
      <c r="C1527" s="31" t="s">
        <v>6239</v>
      </c>
      <c r="D1527" s="16"/>
      <c r="E1527" s="32"/>
      <c r="F1527" s="32"/>
      <c r="G1527" s="32"/>
      <c r="H1527" s="17"/>
      <c r="I1527" s="17"/>
      <c r="J1527" s="32"/>
      <c r="K1527" s="33"/>
      <c r="L1527" s="38"/>
      <c r="M1527" s="27"/>
      <c r="N1527" s="17"/>
      <c r="O1527" s="17"/>
      <c r="P1527" s="19"/>
      <c r="Q1527" s="12"/>
      <c r="R1527" s="12"/>
      <c r="S1527" s="12"/>
      <c r="T1527" s="12"/>
      <c r="U1527" s="12"/>
      <c r="V1527" s="21"/>
      <c r="Z1527" s="12"/>
      <c r="AA1527" s="22"/>
      <c r="AB1527" s="84"/>
      <c r="AC1527" s="12"/>
      <c r="AD1527" s="12"/>
      <c r="AE1527" s="12"/>
    </row>
    <row r="1528" customFormat="false" ht="15.75" hidden="false" customHeight="false" outlineLevel="0" collapsed="false">
      <c r="A1528" s="12"/>
      <c r="B1528" s="13"/>
      <c r="C1528" s="14" t="s">
        <v>6240</v>
      </c>
      <c r="D1528" s="24"/>
      <c r="E1528" s="16" t="s">
        <v>6241</v>
      </c>
      <c r="F1528" s="16" t="s">
        <v>6242</v>
      </c>
      <c r="G1528" s="17"/>
      <c r="H1528" s="17"/>
      <c r="I1528" s="26" t="s">
        <v>166</v>
      </c>
      <c r="J1528" s="32"/>
      <c r="K1528" s="17"/>
      <c r="L1528" s="38"/>
      <c r="M1528" s="78"/>
      <c r="N1528" s="17"/>
      <c r="O1528" s="17"/>
      <c r="P1528" s="40" t="s">
        <v>168</v>
      </c>
      <c r="Q1528" s="12"/>
      <c r="R1528" s="12"/>
      <c r="S1528" s="12"/>
      <c r="T1528" s="12"/>
      <c r="U1528" s="12"/>
      <c r="V1528" s="21"/>
      <c r="Z1528" s="12"/>
      <c r="AA1528" s="29"/>
      <c r="AB1528" s="78" t="s">
        <v>6243</v>
      </c>
      <c r="AC1528" s="12"/>
      <c r="AD1528" s="12"/>
      <c r="AE1528" s="12"/>
      <c r="AF1528" s="47"/>
      <c r="AG1528" s="47"/>
    </row>
    <row r="1529" customFormat="false" ht="15.75" hidden="false" customHeight="false" outlineLevel="0" collapsed="false">
      <c r="A1529" s="12"/>
      <c r="B1529" s="12"/>
      <c r="C1529" s="23" t="s">
        <v>6244</v>
      </c>
      <c r="D1529" s="24"/>
      <c r="E1529" s="25" t="s">
        <v>4509</v>
      </c>
      <c r="F1529" s="17" t="s">
        <v>6245</v>
      </c>
      <c r="G1529" s="17" t="s">
        <v>1600</v>
      </c>
      <c r="H1529" s="17"/>
      <c r="I1529" s="26" t="s">
        <v>82</v>
      </c>
      <c r="J1529" s="32"/>
      <c r="K1529" s="17"/>
      <c r="L1529" s="38"/>
      <c r="M1529" s="27"/>
      <c r="N1529" s="17"/>
      <c r="O1529" s="17"/>
      <c r="P1529" s="40" t="s">
        <v>638</v>
      </c>
      <c r="Q1529" s="12"/>
      <c r="R1529" s="12" t="s">
        <v>6246</v>
      </c>
      <c r="S1529" s="12"/>
      <c r="T1529" s="12" t="s">
        <v>6247</v>
      </c>
      <c r="U1529" s="12"/>
      <c r="V1529" s="21" t="s">
        <v>31</v>
      </c>
      <c r="Z1529" s="12"/>
      <c r="AA1529" s="29"/>
      <c r="AB1529" s="84"/>
      <c r="AC1529" s="12"/>
      <c r="AD1529" s="12"/>
      <c r="AE1529" s="12"/>
    </row>
    <row r="1530" customFormat="false" ht="15.75" hidden="false" customHeight="false" outlineLevel="0" collapsed="false">
      <c r="A1530" s="12"/>
      <c r="B1530" s="20"/>
      <c r="C1530" s="48" t="s">
        <v>6248</v>
      </c>
      <c r="D1530" s="24"/>
      <c r="E1530" s="49" t="s">
        <v>6249</v>
      </c>
      <c r="F1530" s="49" t="s">
        <v>6250</v>
      </c>
      <c r="G1530" s="17"/>
      <c r="H1530" s="17"/>
      <c r="I1530" s="26" t="s">
        <v>166</v>
      </c>
      <c r="J1530" s="32"/>
      <c r="K1530" s="17"/>
      <c r="L1530" s="38"/>
      <c r="M1530" s="50"/>
      <c r="N1530" s="17"/>
      <c r="O1530" s="17"/>
      <c r="P1530" s="40" t="s">
        <v>168</v>
      </c>
      <c r="Q1530" s="17"/>
      <c r="R1530" s="17"/>
      <c r="S1530" s="17"/>
      <c r="T1530" s="17"/>
      <c r="U1530" s="17"/>
      <c r="V1530" s="27"/>
      <c r="Z1530" s="17"/>
      <c r="AA1530" s="29"/>
      <c r="AB1530" s="50" t="s">
        <v>6251</v>
      </c>
      <c r="AC1530" s="17"/>
      <c r="AD1530" s="17"/>
      <c r="AE1530" s="17"/>
      <c r="AF1530" s="47"/>
      <c r="AG1530" s="47"/>
    </row>
    <row r="1531" customFormat="false" ht="15.75" hidden="false" customHeight="false" outlineLevel="0" collapsed="false">
      <c r="A1531" s="12"/>
      <c r="B1531" s="20"/>
      <c r="C1531" s="48" t="s">
        <v>6252</v>
      </c>
      <c r="D1531" s="24"/>
      <c r="E1531" s="49" t="s">
        <v>6253</v>
      </c>
      <c r="F1531" s="49" t="s">
        <v>6254</v>
      </c>
      <c r="G1531" s="17"/>
      <c r="H1531" s="17"/>
      <c r="I1531" s="26" t="s">
        <v>166</v>
      </c>
      <c r="J1531" s="32"/>
      <c r="K1531" s="17"/>
      <c r="L1531" s="38"/>
      <c r="M1531" s="50"/>
      <c r="N1531" s="17"/>
      <c r="O1531" s="17"/>
      <c r="P1531" s="40" t="s">
        <v>168</v>
      </c>
      <c r="Q1531" s="12"/>
      <c r="R1531" s="12"/>
      <c r="S1531" s="12"/>
      <c r="T1531" s="12"/>
      <c r="U1531" s="12"/>
      <c r="V1531" s="21"/>
      <c r="Z1531" s="12"/>
      <c r="AA1531" s="29"/>
      <c r="AB1531" s="50" t="s">
        <v>6255</v>
      </c>
      <c r="AC1531" s="12"/>
      <c r="AD1531" s="12"/>
      <c r="AE1531" s="12"/>
      <c r="AG1531" s="47"/>
    </row>
    <row r="1532" customFormat="false" ht="15.75" hidden="false" customHeight="false" outlineLevel="0" collapsed="false">
      <c r="A1532" s="12"/>
      <c r="B1532" s="12"/>
      <c r="C1532" s="23" t="s">
        <v>6256</v>
      </c>
      <c r="D1532" s="24"/>
      <c r="E1532" s="25" t="s">
        <v>6257</v>
      </c>
      <c r="F1532" s="17" t="s">
        <v>6258</v>
      </c>
      <c r="G1532" s="17" t="s">
        <v>2637</v>
      </c>
      <c r="H1532" s="17"/>
      <c r="I1532" s="26" t="s">
        <v>82</v>
      </c>
      <c r="J1532" s="32"/>
      <c r="K1532" s="17"/>
      <c r="L1532" s="38"/>
      <c r="M1532" s="27"/>
      <c r="N1532" s="17"/>
      <c r="O1532" s="17"/>
      <c r="P1532" s="40" t="s">
        <v>638</v>
      </c>
      <c r="Q1532" s="12"/>
      <c r="R1532" s="12" t="s">
        <v>6259</v>
      </c>
      <c r="S1532" s="12"/>
      <c r="T1532" s="12" t="s">
        <v>6260</v>
      </c>
      <c r="U1532" s="12"/>
      <c r="V1532" s="21" t="s">
        <v>31</v>
      </c>
      <c r="Z1532" s="12"/>
      <c r="AA1532" s="29"/>
      <c r="AB1532" s="84"/>
      <c r="AC1532" s="12"/>
      <c r="AD1532" s="12"/>
      <c r="AE1532" s="12"/>
    </row>
    <row r="1533" customFormat="false" ht="15.75" hidden="false" customHeight="false" outlineLevel="0" collapsed="false">
      <c r="A1533" s="12"/>
      <c r="B1533" s="12"/>
      <c r="C1533" s="23" t="s">
        <v>6261</v>
      </c>
      <c r="D1533" s="24"/>
      <c r="E1533" s="25" t="s">
        <v>6262</v>
      </c>
      <c r="F1533" s="17" t="s">
        <v>6263</v>
      </c>
      <c r="G1533" s="17" t="s">
        <v>1100</v>
      </c>
      <c r="H1533" s="17"/>
      <c r="I1533" s="26" t="s">
        <v>82</v>
      </c>
      <c r="J1533" s="32"/>
      <c r="K1533" s="17"/>
      <c r="L1533" s="38"/>
      <c r="M1533" s="27"/>
      <c r="N1533" s="17"/>
      <c r="O1533" s="17"/>
      <c r="P1533" s="40" t="s">
        <v>638</v>
      </c>
      <c r="Q1533" s="17"/>
      <c r="R1533" s="17" t="s">
        <v>6264</v>
      </c>
      <c r="S1533" s="17"/>
      <c r="T1533" s="17" t="s">
        <v>6265</v>
      </c>
      <c r="U1533" s="17"/>
      <c r="V1533" s="21" t="s">
        <v>31</v>
      </c>
      <c r="Z1533" s="17"/>
      <c r="AA1533" s="29"/>
      <c r="AB1533" s="84"/>
      <c r="AC1533" s="17"/>
      <c r="AD1533" s="17"/>
      <c r="AE1533" s="17"/>
    </row>
    <row r="1534" customFormat="false" ht="15.75" hidden="false" customHeight="false" outlineLevel="0" collapsed="false">
      <c r="A1534" s="12"/>
      <c r="B1534" s="20"/>
      <c r="C1534" s="48" t="s">
        <v>6266</v>
      </c>
      <c r="D1534" s="24"/>
      <c r="E1534" s="49" t="s">
        <v>6267</v>
      </c>
      <c r="F1534" s="49" t="s">
        <v>6268</v>
      </c>
      <c r="G1534" s="17"/>
      <c r="H1534" s="17"/>
      <c r="I1534" s="26" t="s">
        <v>166</v>
      </c>
      <c r="J1534" s="32"/>
      <c r="K1534" s="17"/>
      <c r="L1534" s="38"/>
      <c r="M1534" s="50"/>
      <c r="N1534" s="17"/>
      <c r="O1534" s="17"/>
      <c r="P1534" s="40" t="s">
        <v>168</v>
      </c>
      <c r="Q1534" s="12"/>
      <c r="R1534" s="12"/>
      <c r="S1534" s="12"/>
      <c r="T1534" s="12"/>
      <c r="U1534" s="12"/>
      <c r="V1534" s="21"/>
      <c r="Z1534" s="12"/>
      <c r="AA1534" s="29"/>
      <c r="AB1534" s="50" t="s">
        <v>6269</v>
      </c>
      <c r="AC1534" s="12"/>
      <c r="AD1534" s="12"/>
      <c r="AE1534" s="12"/>
      <c r="AF1534" s="47"/>
      <c r="AG1534" s="47"/>
    </row>
    <row r="1535" customFormat="false" ht="15.75" hidden="false" customHeight="false" outlineLevel="0" collapsed="false">
      <c r="A1535" s="12"/>
      <c r="B1535" s="12"/>
      <c r="C1535" s="23" t="s">
        <v>6270</v>
      </c>
      <c r="D1535" s="24"/>
      <c r="E1535" s="25" t="s">
        <v>6271</v>
      </c>
      <c r="F1535" s="17" t="s">
        <v>6272</v>
      </c>
      <c r="G1535" s="17" t="s">
        <v>1600</v>
      </c>
      <c r="H1535" s="17"/>
      <c r="I1535" s="26" t="s">
        <v>82</v>
      </c>
      <c r="J1535" s="32"/>
      <c r="K1535" s="17"/>
      <c r="L1535" s="38"/>
      <c r="M1535" s="27"/>
      <c r="N1535" s="17"/>
      <c r="O1535" s="17"/>
      <c r="P1535" s="40" t="s">
        <v>638</v>
      </c>
      <c r="Q1535" s="12"/>
      <c r="R1535" s="12" t="s">
        <v>6273</v>
      </c>
      <c r="S1535" s="12"/>
      <c r="T1535" s="12" t="s">
        <v>6274</v>
      </c>
      <c r="U1535" s="12"/>
      <c r="V1535" s="21" t="s">
        <v>31</v>
      </c>
      <c r="Z1535" s="12"/>
      <c r="AA1535" s="29"/>
      <c r="AB1535" s="84"/>
      <c r="AC1535" s="12"/>
      <c r="AD1535" s="12"/>
      <c r="AE1535" s="12"/>
    </row>
    <row r="1536" customFormat="false" ht="15.75" hidden="false" customHeight="false" outlineLevel="0" collapsed="false">
      <c r="A1536" s="12"/>
      <c r="B1536" s="20"/>
      <c r="C1536" s="48" t="s">
        <v>1176</v>
      </c>
      <c r="D1536" s="24"/>
      <c r="E1536" s="49" t="s">
        <v>6275</v>
      </c>
      <c r="F1536" s="49" t="s">
        <v>6276</v>
      </c>
      <c r="G1536" s="17"/>
      <c r="H1536" s="17"/>
      <c r="I1536" s="26" t="s">
        <v>166</v>
      </c>
      <c r="J1536" s="32"/>
      <c r="K1536" s="17"/>
      <c r="L1536" s="38"/>
      <c r="M1536" s="50"/>
      <c r="N1536" s="17"/>
      <c r="O1536" s="17"/>
      <c r="P1536" s="40" t="s">
        <v>168</v>
      </c>
      <c r="Q1536" s="12"/>
      <c r="R1536" s="12"/>
      <c r="S1536" s="12"/>
      <c r="T1536" s="12"/>
      <c r="U1536" s="12"/>
      <c r="V1536" s="21"/>
      <c r="Z1536" s="12"/>
      <c r="AA1536" s="29"/>
      <c r="AB1536" s="50" t="s">
        <v>5306</v>
      </c>
      <c r="AC1536" s="12"/>
      <c r="AD1536" s="12"/>
      <c r="AE1536" s="12"/>
    </row>
    <row r="1537" customFormat="false" ht="15.75" hidden="false" customHeight="false" outlineLevel="0" collapsed="false">
      <c r="A1537" s="12" t="s">
        <v>193</v>
      </c>
      <c r="B1537" s="20" t="s">
        <v>1376</v>
      </c>
      <c r="C1537" s="48" t="s">
        <v>6277</v>
      </c>
      <c r="D1537" s="24"/>
      <c r="E1537" s="49" t="s">
        <v>1492</v>
      </c>
      <c r="F1537" s="49" t="s">
        <v>6278</v>
      </c>
      <c r="G1537" s="17"/>
      <c r="H1537" s="17"/>
      <c r="I1537" s="26" t="s">
        <v>166</v>
      </c>
      <c r="J1537" s="32"/>
      <c r="K1537" s="17"/>
      <c r="L1537" s="38"/>
      <c r="M1537" s="50"/>
      <c r="N1537" s="17"/>
      <c r="O1537" s="17"/>
      <c r="P1537" s="40" t="s">
        <v>168</v>
      </c>
      <c r="Q1537" s="12"/>
      <c r="R1537" s="12"/>
      <c r="S1537" s="12"/>
      <c r="T1537" s="12"/>
      <c r="U1537" s="12"/>
      <c r="V1537" s="21"/>
      <c r="Z1537" s="12"/>
      <c r="AA1537" s="29"/>
      <c r="AB1537" s="12" t="s">
        <v>6279</v>
      </c>
      <c r="AC1537" s="12"/>
      <c r="AD1537" s="12"/>
      <c r="AE1537" s="12"/>
      <c r="AG1537" s="47"/>
    </row>
    <row r="1538" customFormat="false" ht="15.75" hidden="false" customHeight="false" outlineLevel="0" collapsed="false">
      <c r="A1538" s="12"/>
      <c r="B1538" s="12"/>
      <c r="C1538" s="23" t="s">
        <v>6280</v>
      </c>
      <c r="D1538" s="24"/>
      <c r="E1538" s="25" t="s">
        <v>6281</v>
      </c>
      <c r="F1538" s="17" t="s">
        <v>6282</v>
      </c>
      <c r="G1538" s="17" t="s">
        <v>1100</v>
      </c>
      <c r="H1538" s="17"/>
      <c r="I1538" s="26" t="s">
        <v>82</v>
      </c>
      <c r="J1538" s="32"/>
      <c r="K1538" s="17"/>
      <c r="L1538" s="38"/>
      <c r="M1538" s="27"/>
      <c r="N1538" s="17"/>
      <c r="O1538" s="17"/>
      <c r="P1538" s="40" t="s">
        <v>638</v>
      </c>
      <c r="Q1538" s="20"/>
      <c r="R1538" s="20" t="s">
        <v>6283</v>
      </c>
      <c r="S1538" s="20"/>
      <c r="T1538" s="20" t="s">
        <v>6284</v>
      </c>
      <c r="U1538" s="20"/>
      <c r="V1538" s="21" t="s">
        <v>31</v>
      </c>
      <c r="Z1538" s="20"/>
      <c r="AA1538" s="22"/>
      <c r="AB1538" s="20"/>
      <c r="AC1538" s="20"/>
      <c r="AD1538" s="20"/>
      <c r="AE1538" s="20"/>
    </row>
    <row r="1539" customFormat="false" ht="15.75" hidden="false" customHeight="false" outlineLevel="0" collapsed="false">
      <c r="A1539" s="12"/>
      <c r="B1539" s="20"/>
      <c r="C1539" s="48" t="s">
        <v>4314</v>
      </c>
      <c r="D1539" s="24"/>
      <c r="E1539" s="49" t="s">
        <v>6285</v>
      </c>
      <c r="F1539" s="49" t="s">
        <v>6286</v>
      </c>
      <c r="G1539" s="17"/>
      <c r="H1539" s="17"/>
      <c r="I1539" s="26" t="s">
        <v>166</v>
      </c>
      <c r="J1539" s="32"/>
      <c r="K1539" s="17"/>
      <c r="L1539" s="38"/>
      <c r="M1539" s="50"/>
      <c r="N1539" s="17"/>
      <c r="O1539" s="17"/>
      <c r="P1539" s="40" t="s">
        <v>168</v>
      </c>
      <c r="Q1539" s="20"/>
      <c r="R1539" s="20"/>
      <c r="S1539" s="20"/>
      <c r="T1539" s="20"/>
      <c r="U1539" s="20"/>
      <c r="V1539" s="45"/>
      <c r="Z1539" s="20"/>
      <c r="AA1539" s="22"/>
      <c r="AB1539" s="50" t="s">
        <v>6287</v>
      </c>
      <c r="AC1539" s="20"/>
      <c r="AD1539" s="20"/>
      <c r="AE1539" s="20"/>
      <c r="AG1539" s="47"/>
    </row>
    <row r="1540" customFormat="false" ht="15.75" hidden="false" customHeight="false" outlineLevel="0" collapsed="false">
      <c r="A1540" s="12"/>
      <c r="B1540" s="12"/>
      <c r="C1540" s="23" t="s">
        <v>6288</v>
      </c>
      <c r="D1540" s="24"/>
      <c r="E1540" s="17"/>
      <c r="F1540" s="17" t="s">
        <v>6289</v>
      </c>
      <c r="G1540" s="17" t="s">
        <v>1100</v>
      </c>
      <c r="H1540" s="17"/>
      <c r="I1540" s="26" t="s">
        <v>82</v>
      </c>
      <c r="J1540" s="32"/>
      <c r="K1540" s="17"/>
      <c r="L1540" s="38"/>
      <c r="M1540" s="27"/>
      <c r="N1540" s="17"/>
      <c r="O1540" s="17"/>
      <c r="P1540" s="40" t="s">
        <v>638</v>
      </c>
      <c r="Q1540" s="17"/>
      <c r="R1540" s="17" t="s">
        <v>6290</v>
      </c>
      <c r="S1540" s="17"/>
      <c r="T1540" s="17" t="s">
        <v>6291</v>
      </c>
      <c r="U1540" s="17"/>
      <c r="V1540" s="21" t="s">
        <v>31</v>
      </c>
      <c r="Z1540" s="17"/>
      <c r="AA1540" s="29"/>
      <c r="AB1540" s="84"/>
      <c r="AC1540" s="17"/>
      <c r="AD1540" s="17"/>
      <c r="AE1540" s="17"/>
    </row>
    <row r="1541" customFormat="false" ht="15.75" hidden="false" customHeight="false" outlineLevel="0" collapsed="false">
      <c r="A1541" s="12"/>
      <c r="B1541" s="13"/>
      <c r="C1541" s="14" t="s">
        <v>6292</v>
      </c>
      <c r="D1541" s="24"/>
      <c r="E1541" s="16" t="s">
        <v>6293</v>
      </c>
      <c r="F1541" s="16" t="s">
        <v>6294</v>
      </c>
      <c r="G1541" s="17"/>
      <c r="H1541" s="17"/>
      <c r="I1541" s="26" t="s">
        <v>166</v>
      </c>
      <c r="J1541" s="32"/>
      <c r="K1541" s="17"/>
      <c r="L1541" s="38"/>
      <c r="M1541" s="78"/>
      <c r="N1541" s="17"/>
      <c r="O1541" s="17"/>
      <c r="P1541" s="40" t="s">
        <v>168</v>
      </c>
      <c r="Q1541" s="12"/>
      <c r="R1541" s="12"/>
      <c r="S1541" s="12"/>
      <c r="T1541" s="12"/>
      <c r="U1541" s="12"/>
      <c r="V1541" s="21"/>
      <c r="Z1541" s="12"/>
      <c r="AA1541" s="29"/>
      <c r="AB1541" s="78" t="s">
        <v>6295</v>
      </c>
      <c r="AC1541" s="12"/>
      <c r="AD1541" s="12"/>
      <c r="AE1541" s="12"/>
      <c r="AF1541" s="47"/>
      <c r="AG1541" s="47"/>
    </row>
    <row r="1542" customFormat="false" ht="15.75" hidden="false" customHeight="false" outlineLevel="0" collapsed="false">
      <c r="A1542" s="12"/>
      <c r="B1542" s="20"/>
      <c r="C1542" s="48" t="s">
        <v>6296</v>
      </c>
      <c r="D1542" s="24"/>
      <c r="E1542" s="49" t="s">
        <v>6297</v>
      </c>
      <c r="F1542" s="49" t="s">
        <v>6298</v>
      </c>
      <c r="G1542" s="17"/>
      <c r="H1542" s="17"/>
      <c r="I1542" s="26" t="s">
        <v>166</v>
      </c>
      <c r="J1542" s="32"/>
      <c r="K1542" s="17"/>
      <c r="L1542" s="38"/>
      <c r="M1542" s="50"/>
      <c r="N1542" s="17"/>
      <c r="O1542" s="17"/>
      <c r="P1542" s="40" t="s">
        <v>168</v>
      </c>
      <c r="Q1542" s="12"/>
      <c r="R1542" s="12"/>
      <c r="S1542" s="12"/>
      <c r="T1542" s="12"/>
      <c r="U1542" s="12"/>
      <c r="V1542" s="21"/>
      <c r="Z1542" s="12"/>
      <c r="AA1542" s="29"/>
      <c r="AB1542" s="50" t="s">
        <v>6299</v>
      </c>
      <c r="AC1542" s="12"/>
      <c r="AD1542" s="12"/>
      <c r="AE1542" s="12"/>
      <c r="AF1542" s="47"/>
      <c r="AG1542" s="47"/>
    </row>
    <row r="1543" customFormat="false" ht="15.75" hidden="false" customHeight="false" outlineLevel="0" collapsed="false">
      <c r="A1543" s="12"/>
      <c r="B1543" s="12"/>
      <c r="C1543" s="23" t="s">
        <v>6300</v>
      </c>
      <c r="D1543" s="24"/>
      <c r="E1543" s="25" t="s">
        <v>6301</v>
      </c>
      <c r="F1543" s="17" t="s">
        <v>6302</v>
      </c>
      <c r="G1543" s="17" t="s">
        <v>6303</v>
      </c>
      <c r="H1543" s="17"/>
      <c r="I1543" s="26" t="s">
        <v>82</v>
      </c>
      <c r="J1543" s="32"/>
      <c r="K1543" s="17"/>
      <c r="L1543" s="38"/>
      <c r="M1543" s="27"/>
      <c r="N1543" s="17"/>
      <c r="O1543" s="17"/>
      <c r="P1543" s="40" t="s">
        <v>638</v>
      </c>
      <c r="Q1543" s="17"/>
      <c r="R1543" s="17" t="s">
        <v>6304</v>
      </c>
      <c r="S1543" s="17"/>
      <c r="T1543" s="17" t="s">
        <v>6305</v>
      </c>
      <c r="U1543" s="17"/>
      <c r="V1543" s="21" t="s">
        <v>31</v>
      </c>
      <c r="Z1543" s="17"/>
      <c r="AA1543" s="29"/>
      <c r="AB1543" s="84"/>
      <c r="AC1543" s="17"/>
      <c r="AD1543" s="17"/>
      <c r="AE1543" s="17"/>
    </row>
    <row r="1544" customFormat="false" ht="15.75" hidden="false" customHeight="false" outlineLevel="0" collapsed="false">
      <c r="A1544" s="12"/>
      <c r="B1544" s="13"/>
      <c r="C1544" s="14" t="s">
        <v>6306</v>
      </c>
      <c r="D1544" s="24"/>
      <c r="E1544" s="16" t="s">
        <v>6307</v>
      </c>
      <c r="F1544" s="16" t="s">
        <v>6308</v>
      </c>
      <c r="G1544" s="17"/>
      <c r="H1544" s="17"/>
      <c r="I1544" s="26" t="s">
        <v>166</v>
      </c>
      <c r="J1544" s="32"/>
      <c r="K1544" s="17"/>
      <c r="L1544" s="38"/>
      <c r="M1544" s="46"/>
      <c r="N1544" s="17"/>
      <c r="O1544" s="17"/>
      <c r="P1544" s="40" t="s">
        <v>168</v>
      </c>
      <c r="Q1544" s="12"/>
      <c r="R1544" s="12"/>
      <c r="S1544" s="12"/>
      <c r="T1544" s="12"/>
      <c r="U1544" s="12"/>
      <c r="V1544" s="21"/>
      <c r="Z1544" s="12"/>
      <c r="AA1544" s="29"/>
      <c r="AB1544" s="46" t="s">
        <v>5949</v>
      </c>
      <c r="AC1544" s="12"/>
      <c r="AD1544" s="12"/>
      <c r="AE1544" s="12"/>
      <c r="AF1544" s="47"/>
      <c r="AG1544" s="47"/>
    </row>
    <row r="1545" customFormat="false" ht="15.75" hidden="false" customHeight="false" outlineLevel="0" collapsed="false">
      <c r="A1545" s="12" t="s">
        <v>31</v>
      </c>
      <c r="B1545" s="20" t="s">
        <v>1376</v>
      </c>
      <c r="C1545" s="48" t="s">
        <v>6309</v>
      </c>
      <c r="D1545" s="24" t="s">
        <v>61</v>
      </c>
      <c r="E1545" s="49" t="s">
        <v>6310</v>
      </c>
      <c r="F1545" s="49" t="s">
        <v>6311</v>
      </c>
      <c r="G1545" s="17" t="s">
        <v>754</v>
      </c>
      <c r="H1545" s="17"/>
      <c r="I1545" s="26" t="s">
        <v>166</v>
      </c>
      <c r="J1545" s="47" t="s">
        <v>1816</v>
      </c>
      <c r="K1545" s="17" t="n">
        <v>2007</v>
      </c>
      <c r="L1545" s="38" t="s">
        <v>109</v>
      </c>
      <c r="M1545" s="50" t="s">
        <v>147</v>
      </c>
      <c r="N1545" s="114" t="s">
        <v>6312</v>
      </c>
      <c r="O1545" s="17" t="s">
        <v>149</v>
      </c>
      <c r="P1545" s="40" t="s">
        <v>168</v>
      </c>
      <c r="Q1545" s="12"/>
      <c r="R1545" s="12"/>
      <c r="S1545" s="12"/>
      <c r="T1545" s="12"/>
      <c r="U1545" s="12"/>
      <c r="V1545" s="21"/>
      <c r="Z1545" s="12"/>
      <c r="AA1545" s="29" t="n">
        <v>5</v>
      </c>
      <c r="AB1545" s="111" t="s">
        <v>6313</v>
      </c>
      <c r="AC1545" s="59" t="s">
        <v>6314</v>
      </c>
      <c r="AD1545" s="12"/>
      <c r="AE1545" s="12"/>
      <c r="AF1545" s="47"/>
      <c r="AG1545" s="47"/>
    </row>
    <row r="1546" customFormat="false" ht="15.75" hidden="false" customHeight="false" outlineLevel="0" collapsed="false">
      <c r="A1546" s="12"/>
      <c r="B1546" s="12"/>
      <c r="C1546" s="23" t="s">
        <v>6315</v>
      </c>
      <c r="D1546" s="24"/>
      <c r="E1546" s="25" t="s">
        <v>6316</v>
      </c>
      <c r="F1546" s="17" t="s">
        <v>6317</v>
      </c>
      <c r="G1546" s="17" t="s">
        <v>1600</v>
      </c>
      <c r="H1546" s="17"/>
      <c r="I1546" s="26" t="s">
        <v>82</v>
      </c>
      <c r="J1546" s="32"/>
      <c r="K1546" s="17"/>
      <c r="L1546" s="38"/>
      <c r="M1546" s="27"/>
      <c r="N1546" s="17"/>
      <c r="O1546" s="17"/>
      <c r="P1546" s="40" t="s">
        <v>638</v>
      </c>
      <c r="Q1546" s="12"/>
      <c r="R1546" s="12" t="s">
        <v>6318</v>
      </c>
      <c r="S1546" s="12"/>
      <c r="T1546" s="12" t="s">
        <v>6319</v>
      </c>
      <c r="U1546" s="12"/>
      <c r="V1546" s="21" t="s">
        <v>31</v>
      </c>
      <c r="Z1546" s="12"/>
      <c r="AA1546" s="29"/>
      <c r="AB1546" s="84"/>
      <c r="AC1546" s="12"/>
      <c r="AD1546" s="12"/>
      <c r="AE1546" s="12"/>
    </row>
    <row r="1547" customFormat="false" ht="15.75" hidden="false" customHeight="false" outlineLevel="0" collapsed="false">
      <c r="A1547" s="12"/>
      <c r="B1547" s="12"/>
      <c r="C1547" s="23" t="s">
        <v>6320</v>
      </c>
      <c r="D1547" s="24"/>
      <c r="E1547" s="25" t="s">
        <v>6321</v>
      </c>
      <c r="F1547" s="17" t="s">
        <v>6322</v>
      </c>
      <c r="G1547" s="17" t="s">
        <v>2637</v>
      </c>
      <c r="H1547" s="17"/>
      <c r="I1547" s="26" t="s">
        <v>82</v>
      </c>
      <c r="J1547" s="32"/>
      <c r="K1547" s="17"/>
      <c r="L1547" s="38"/>
      <c r="M1547" s="27"/>
      <c r="N1547" s="17"/>
      <c r="O1547" s="17"/>
      <c r="P1547" s="40" t="s">
        <v>638</v>
      </c>
      <c r="Q1547" s="12"/>
      <c r="R1547" s="12" t="s">
        <v>6323</v>
      </c>
      <c r="S1547" s="12"/>
      <c r="T1547" s="12" t="s">
        <v>6324</v>
      </c>
      <c r="U1547" s="12"/>
      <c r="V1547" s="21" t="s">
        <v>31</v>
      </c>
      <c r="Z1547" s="12"/>
      <c r="AA1547" s="29"/>
      <c r="AB1547" s="84"/>
      <c r="AC1547" s="12"/>
      <c r="AD1547" s="12"/>
      <c r="AE1547" s="12"/>
    </row>
    <row r="1548" customFormat="false" ht="15.75" hidden="false" customHeight="false" outlineLevel="0" collapsed="false">
      <c r="A1548" s="12"/>
      <c r="B1548" s="20"/>
      <c r="C1548" s="48" t="s">
        <v>6325</v>
      </c>
      <c r="D1548" s="24"/>
      <c r="E1548" s="49" t="s">
        <v>6326</v>
      </c>
      <c r="F1548" s="49" t="s">
        <v>6327</v>
      </c>
      <c r="G1548" s="17"/>
      <c r="H1548" s="17"/>
      <c r="I1548" s="26" t="s">
        <v>166</v>
      </c>
      <c r="J1548" s="32"/>
      <c r="K1548" s="17"/>
      <c r="L1548" s="38"/>
      <c r="M1548" s="50"/>
      <c r="N1548" s="17"/>
      <c r="O1548" s="17"/>
      <c r="P1548" s="40" t="s">
        <v>168</v>
      </c>
      <c r="Q1548" s="12"/>
      <c r="R1548" s="12"/>
      <c r="S1548" s="12"/>
      <c r="T1548" s="12"/>
      <c r="U1548" s="12"/>
      <c r="V1548" s="21"/>
      <c r="Z1548" s="12"/>
      <c r="AA1548" s="29"/>
      <c r="AB1548" s="50" t="s">
        <v>6328</v>
      </c>
      <c r="AC1548" s="12"/>
      <c r="AD1548" s="12"/>
      <c r="AE1548" s="12"/>
      <c r="AF1548" s="47"/>
      <c r="AG1548" s="47"/>
    </row>
    <row r="1549" customFormat="false" ht="15.75" hidden="false" customHeight="false" outlineLevel="0" collapsed="false">
      <c r="A1549" s="12"/>
      <c r="B1549" s="12"/>
      <c r="C1549" s="23" t="s">
        <v>6329</v>
      </c>
      <c r="D1549" s="24"/>
      <c r="E1549" s="25" t="s">
        <v>6330</v>
      </c>
      <c r="F1549" s="17" t="s">
        <v>6331</v>
      </c>
      <c r="G1549" s="17" t="s">
        <v>478</v>
      </c>
      <c r="H1549" s="17"/>
      <c r="I1549" s="26" t="s">
        <v>82</v>
      </c>
      <c r="J1549" s="32"/>
      <c r="K1549" s="17"/>
      <c r="L1549" s="38"/>
      <c r="M1549" s="27"/>
      <c r="N1549" s="17"/>
      <c r="O1549" s="17"/>
      <c r="P1549" s="40" t="s">
        <v>638</v>
      </c>
      <c r="Q1549" s="20"/>
      <c r="R1549" s="20" t="s">
        <v>6332</v>
      </c>
      <c r="S1549" s="20"/>
      <c r="T1549" s="20" t="s">
        <v>6333</v>
      </c>
      <c r="U1549" s="20"/>
      <c r="V1549" s="21" t="s">
        <v>31</v>
      </c>
      <c r="Z1549" s="20"/>
      <c r="AA1549" s="22"/>
      <c r="AB1549" s="84"/>
      <c r="AC1549" s="20"/>
      <c r="AD1549" s="20"/>
      <c r="AE1549" s="20"/>
    </row>
    <row r="1550" customFormat="false" ht="15.75" hidden="false" customHeight="false" outlineLevel="0" collapsed="false">
      <c r="A1550" s="12"/>
      <c r="B1550" s="12"/>
      <c r="C1550" s="23" t="s">
        <v>6334</v>
      </c>
      <c r="D1550" s="24"/>
      <c r="E1550" s="17" t="s">
        <v>6335</v>
      </c>
      <c r="F1550" s="17" t="s">
        <v>6336</v>
      </c>
      <c r="G1550" s="17" t="s">
        <v>6337</v>
      </c>
      <c r="H1550" s="17"/>
      <c r="I1550" s="26" t="s">
        <v>82</v>
      </c>
      <c r="J1550" s="32"/>
      <c r="K1550" s="17"/>
      <c r="L1550" s="38"/>
      <c r="M1550" s="27"/>
      <c r="N1550" s="17"/>
      <c r="O1550" s="17"/>
      <c r="P1550" s="40" t="s">
        <v>638</v>
      </c>
      <c r="Q1550" s="12"/>
      <c r="R1550" s="12" t="s">
        <v>6338</v>
      </c>
      <c r="S1550" s="12"/>
      <c r="T1550" s="12" t="s">
        <v>6339</v>
      </c>
      <c r="U1550" s="12"/>
      <c r="V1550" s="21" t="s">
        <v>31</v>
      </c>
      <c r="Z1550" s="12"/>
      <c r="AA1550" s="29"/>
      <c r="AB1550" s="84"/>
      <c r="AC1550" s="12"/>
      <c r="AD1550" s="12"/>
      <c r="AE1550" s="12"/>
    </row>
    <row r="1551" customFormat="false" ht="15.75" hidden="false" customHeight="false" outlineLevel="0" collapsed="false">
      <c r="A1551" s="12"/>
      <c r="B1551" s="13"/>
      <c r="C1551" s="14" t="s">
        <v>6340</v>
      </c>
      <c r="D1551" s="24"/>
      <c r="E1551" s="16" t="s">
        <v>6341</v>
      </c>
      <c r="F1551" s="16" t="s">
        <v>6342</v>
      </c>
      <c r="G1551" s="17"/>
      <c r="H1551" s="17"/>
      <c r="I1551" s="26" t="s">
        <v>166</v>
      </c>
      <c r="J1551" s="32"/>
      <c r="K1551" s="17"/>
      <c r="L1551" s="38"/>
      <c r="M1551" s="78"/>
      <c r="N1551" s="17"/>
      <c r="O1551" s="17"/>
      <c r="P1551" s="40" t="s">
        <v>168</v>
      </c>
      <c r="Q1551" s="12"/>
      <c r="R1551" s="12"/>
      <c r="S1551" s="12"/>
      <c r="T1551" s="12"/>
      <c r="U1551" s="12"/>
      <c r="V1551" s="21"/>
      <c r="Z1551" s="12"/>
      <c r="AA1551" s="29"/>
      <c r="AB1551" s="78" t="s">
        <v>5306</v>
      </c>
      <c r="AC1551" s="12"/>
      <c r="AD1551" s="12"/>
      <c r="AE1551" s="12"/>
      <c r="AF1551" s="47"/>
      <c r="AG1551" s="47"/>
    </row>
    <row r="1552" customFormat="false" ht="15.75" hidden="false" customHeight="false" outlineLevel="0" collapsed="false">
      <c r="A1552" s="12"/>
      <c r="B1552" s="20"/>
      <c r="C1552" s="48" t="s">
        <v>6343</v>
      </c>
      <c r="D1552" s="24"/>
      <c r="E1552" s="49" t="s">
        <v>6344</v>
      </c>
      <c r="F1552" s="49" t="s">
        <v>6345</v>
      </c>
      <c r="G1552" s="17"/>
      <c r="H1552" s="17"/>
      <c r="I1552" s="26" t="s">
        <v>166</v>
      </c>
      <c r="J1552" s="32"/>
      <c r="K1552" s="17"/>
      <c r="L1552" s="38"/>
      <c r="M1552" s="50"/>
      <c r="N1552" s="17"/>
      <c r="O1552" s="17"/>
      <c r="P1552" s="40" t="s">
        <v>168</v>
      </c>
      <c r="Q1552" s="20"/>
      <c r="R1552" s="20"/>
      <c r="S1552" s="20"/>
      <c r="T1552" s="20"/>
      <c r="U1552" s="20"/>
      <c r="V1552" s="45"/>
      <c r="Z1552" s="20"/>
      <c r="AA1552" s="22"/>
      <c r="AB1552" s="50" t="s">
        <v>6346</v>
      </c>
      <c r="AC1552" s="20"/>
      <c r="AD1552" s="20"/>
      <c r="AE1552" s="20"/>
      <c r="AF1552" s="47"/>
      <c r="AG1552" s="47"/>
    </row>
    <row r="1553" customFormat="false" ht="15.75" hidden="false" customHeight="false" outlineLevel="0" collapsed="false">
      <c r="A1553" s="12"/>
      <c r="B1553" s="20"/>
      <c r="C1553" s="48" t="s">
        <v>6347</v>
      </c>
      <c r="D1553" s="24"/>
      <c r="E1553" s="49" t="s">
        <v>6348</v>
      </c>
      <c r="F1553" s="49" t="s">
        <v>6349</v>
      </c>
      <c r="G1553" s="17"/>
      <c r="H1553" s="17"/>
      <c r="I1553" s="26" t="s">
        <v>166</v>
      </c>
      <c r="J1553" s="32"/>
      <c r="K1553" s="17"/>
      <c r="L1553" s="38"/>
      <c r="M1553" s="50"/>
      <c r="N1553" s="17"/>
      <c r="O1553" s="17"/>
      <c r="P1553" s="40" t="s">
        <v>168</v>
      </c>
      <c r="Q1553" s="12"/>
      <c r="R1553" s="12"/>
      <c r="S1553" s="12"/>
      <c r="T1553" s="12"/>
      <c r="U1553" s="12"/>
      <c r="V1553" s="21"/>
      <c r="Z1553" s="12"/>
      <c r="AA1553" s="29"/>
      <c r="AB1553" s="50" t="s">
        <v>6350</v>
      </c>
      <c r="AC1553" s="12"/>
      <c r="AD1553" s="12"/>
      <c r="AE1553" s="12"/>
      <c r="AF1553" s="47"/>
      <c r="AG1553" s="47"/>
    </row>
    <row r="1554" customFormat="false" ht="15.75" hidden="false" customHeight="false" outlineLevel="0" collapsed="false">
      <c r="A1554" s="12"/>
      <c r="B1554" s="20"/>
      <c r="C1554" s="48" t="s">
        <v>6351</v>
      </c>
      <c r="D1554" s="24"/>
      <c r="E1554" s="16" t="s">
        <v>6352</v>
      </c>
      <c r="F1554" s="49" t="s">
        <v>6353</v>
      </c>
      <c r="G1554" s="17"/>
      <c r="H1554" s="17"/>
      <c r="I1554" s="26" t="s">
        <v>166</v>
      </c>
      <c r="J1554" s="32"/>
      <c r="K1554" s="17"/>
      <c r="L1554" s="38"/>
      <c r="M1554" s="50"/>
      <c r="N1554" s="17"/>
      <c r="O1554" s="17"/>
      <c r="P1554" s="40" t="s">
        <v>168</v>
      </c>
      <c r="Q1554" s="17"/>
      <c r="R1554" s="17"/>
      <c r="S1554" s="17"/>
      <c r="T1554" s="17"/>
      <c r="U1554" s="17"/>
      <c r="V1554" s="27"/>
      <c r="Z1554" s="17"/>
      <c r="AA1554" s="29"/>
      <c r="AB1554" s="50" t="s">
        <v>6354</v>
      </c>
      <c r="AC1554" s="17"/>
      <c r="AD1554" s="17"/>
      <c r="AE1554" s="17"/>
      <c r="AG1554" s="47"/>
    </row>
    <row r="1555" customFormat="false" ht="15.75" hidden="false" customHeight="false" outlineLevel="0" collapsed="false">
      <c r="A1555" s="12"/>
      <c r="B1555" s="20"/>
      <c r="C1555" s="48" t="s">
        <v>6355</v>
      </c>
      <c r="D1555" s="24"/>
      <c r="E1555" s="49" t="s">
        <v>6356</v>
      </c>
      <c r="F1555" s="49" t="s">
        <v>6357</v>
      </c>
      <c r="G1555" s="17"/>
      <c r="H1555" s="17"/>
      <c r="I1555" s="26" t="s">
        <v>166</v>
      </c>
      <c r="J1555" s="32"/>
      <c r="K1555" s="17"/>
      <c r="L1555" s="38"/>
      <c r="M1555" s="46"/>
      <c r="N1555" s="17"/>
      <c r="O1555" s="17"/>
      <c r="P1555" s="40" t="s">
        <v>168</v>
      </c>
      <c r="Q1555" s="12"/>
      <c r="R1555" s="12"/>
      <c r="S1555" s="12"/>
      <c r="T1555" s="12"/>
      <c r="U1555" s="12"/>
      <c r="V1555" s="21"/>
      <c r="Z1555" s="12"/>
      <c r="AA1555" s="29"/>
      <c r="AB1555" s="46" t="s">
        <v>5949</v>
      </c>
      <c r="AC1555" s="12"/>
      <c r="AD1555" s="12"/>
      <c r="AE1555" s="12"/>
      <c r="AF1555" s="47"/>
      <c r="AG1555" s="47"/>
    </row>
    <row r="1556" customFormat="false" ht="15.75" hidden="false" customHeight="false" outlineLevel="0" collapsed="false">
      <c r="A1556" s="12"/>
      <c r="B1556" s="20"/>
      <c r="C1556" s="48" t="s">
        <v>6358</v>
      </c>
      <c r="D1556" s="24"/>
      <c r="E1556" s="49" t="s">
        <v>6359</v>
      </c>
      <c r="F1556" s="49" t="s">
        <v>6360</v>
      </c>
      <c r="G1556" s="17"/>
      <c r="H1556" s="17"/>
      <c r="I1556" s="26" t="s">
        <v>166</v>
      </c>
      <c r="J1556" s="32"/>
      <c r="K1556" s="17"/>
      <c r="L1556" s="38"/>
      <c r="M1556" s="50"/>
      <c r="N1556" s="17"/>
      <c r="O1556" s="17"/>
      <c r="P1556" s="40" t="s">
        <v>168</v>
      </c>
      <c r="Q1556" s="12"/>
      <c r="R1556" s="12"/>
      <c r="S1556" s="12"/>
      <c r="T1556" s="12"/>
      <c r="U1556" s="12"/>
      <c r="V1556" s="21"/>
      <c r="Z1556" s="12"/>
      <c r="AA1556" s="29"/>
      <c r="AB1556" s="50" t="s">
        <v>6361</v>
      </c>
      <c r="AC1556" s="12"/>
      <c r="AD1556" s="12"/>
      <c r="AE1556" s="12"/>
      <c r="AG1556" s="47"/>
    </row>
    <row r="1557" customFormat="false" ht="15.75" hidden="false" customHeight="false" outlineLevel="0" collapsed="false">
      <c r="A1557" s="12"/>
      <c r="B1557" s="12"/>
      <c r="C1557" s="23" t="s">
        <v>6362</v>
      </c>
      <c r="D1557" s="24"/>
      <c r="E1557" s="25" t="s">
        <v>6363</v>
      </c>
      <c r="F1557" s="17" t="s">
        <v>6364</v>
      </c>
      <c r="G1557" s="17" t="s">
        <v>1100</v>
      </c>
      <c r="H1557" s="17"/>
      <c r="I1557" s="26" t="s">
        <v>82</v>
      </c>
      <c r="J1557" s="32"/>
      <c r="K1557" s="17"/>
      <c r="L1557" s="38"/>
      <c r="M1557" s="27"/>
      <c r="N1557" s="17"/>
      <c r="O1557" s="17"/>
      <c r="P1557" s="40" t="s">
        <v>638</v>
      </c>
      <c r="Q1557" s="12"/>
      <c r="R1557" s="12" t="s">
        <v>6365</v>
      </c>
      <c r="S1557" s="12"/>
      <c r="T1557" s="12" t="s">
        <v>6366</v>
      </c>
      <c r="U1557" s="12"/>
      <c r="V1557" s="21" t="s">
        <v>31</v>
      </c>
      <c r="Z1557" s="12"/>
      <c r="AA1557" s="29"/>
      <c r="AB1557" s="84"/>
      <c r="AC1557" s="12"/>
      <c r="AD1557" s="12"/>
      <c r="AE1557" s="12"/>
    </row>
    <row r="1558" customFormat="false" ht="15.75" hidden="false" customHeight="false" outlineLevel="0" collapsed="false">
      <c r="A1558" s="12"/>
      <c r="B1558" s="20"/>
      <c r="C1558" s="48" t="s">
        <v>6367</v>
      </c>
      <c r="D1558" s="24"/>
      <c r="E1558" s="49" t="s">
        <v>6368</v>
      </c>
      <c r="F1558" s="49" t="s">
        <v>6369</v>
      </c>
      <c r="G1558" s="17"/>
      <c r="H1558" s="17"/>
      <c r="I1558" s="26" t="s">
        <v>166</v>
      </c>
      <c r="J1558" s="32"/>
      <c r="K1558" s="17"/>
      <c r="L1558" s="38"/>
      <c r="M1558" s="50"/>
      <c r="N1558" s="17"/>
      <c r="O1558" s="17"/>
      <c r="P1558" s="40" t="s">
        <v>168</v>
      </c>
      <c r="Q1558" s="12"/>
      <c r="R1558" s="12"/>
      <c r="S1558" s="12"/>
      <c r="T1558" s="12"/>
      <c r="U1558" s="12"/>
      <c r="V1558" s="21"/>
      <c r="Z1558" s="12"/>
      <c r="AA1558" s="29"/>
      <c r="AB1558" s="50" t="s">
        <v>6370</v>
      </c>
      <c r="AC1558" s="12"/>
      <c r="AD1558" s="12"/>
      <c r="AE1558" s="12"/>
      <c r="AF1558" s="47"/>
      <c r="AG1558" s="47"/>
    </row>
    <row r="1559" customFormat="false" ht="15.75" hidden="false" customHeight="false" outlineLevel="0" collapsed="false">
      <c r="A1559" s="12"/>
      <c r="B1559" s="13"/>
      <c r="C1559" s="14" t="s">
        <v>6371</v>
      </c>
      <c r="D1559" s="24"/>
      <c r="E1559" s="16" t="s">
        <v>6372</v>
      </c>
      <c r="F1559" s="16" t="s">
        <v>6373</v>
      </c>
      <c r="G1559" s="17"/>
      <c r="H1559" s="17"/>
      <c r="I1559" s="26" t="s">
        <v>166</v>
      </c>
      <c r="J1559" s="32"/>
      <c r="K1559" s="17"/>
      <c r="L1559" s="38"/>
      <c r="M1559" s="46"/>
      <c r="N1559" s="17"/>
      <c r="O1559" s="17"/>
      <c r="P1559" s="40" t="s">
        <v>168</v>
      </c>
      <c r="Q1559" s="12"/>
      <c r="R1559" s="12"/>
      <c r="S1559" s="12"/>
      <c r="T1559" s="12"/>
      <c r="U1559" s="12"/>
      <c r="V1559" s="21"/>
      <c r="Z1559" s="12"/>
      <c r="AA1559" s="29"/>
      <c r="AB1559" s="46" t="s">
        <v>5949</v>
      </c>
      <c r="AC1559" s="12"/>
      <c r="AD1559" s="12"/>
      <c r="AE1559" s="12"/>
      <c r="AG1559" s="47"/>
    </row>
    <row r="1560" customFormat="false" ht="15.75" hidden="false" customHeight="false" outlineLevel="0" collapsed="false">
      <c r="A1560" s="12"/>
      <c r="B1560" s="20"/>
      <c r="C1560" s="48" t="s">
        <v>6374</v>
      </c>
      <c r="D1560" s="24"/>
      <c r="E1560" s="49" t="s">
        <v>6375</v>
      </c>
      <c r="F1560" s="49" t="s">
        <v>6376</v>
      </c>
      <c r="G1560" s="17"/>
      <c r="H1560" s="17"/>
      <c r="I1560" s="26" t="s">
        <v>166</v>
      </c>
      <c r="J1560" s="32"/>
      <c r="K1560" s="17"/>
      <c r="L1560" s="38"/>
      <c r="M1560" s="50"/>
      <c r="N1560" s="17"/>
      <c r="O1560" s="17"/>
      <c r="P1560" s="40" t="s">
        <v>168</v>
      </c>
      <c r="Q1560" s="12"/>
      <c r="R1560" s="12"/>
      <c r="S1560" s="12"/>
      <c r="T1560" s="12"/>
      <c r="U1560" s="12"/>
      <c r="V1560" s="21"/>
      <c r="Z1560" s="12"/>
      <c r="AA1560" s="29"/>
      <c r="AB1560" s="50" t="s">
        <v>6377</v>
      </c>
      <c r="AC1560" s="12"/>
      <c r="AD1560" s="12"/>
      <c r="AE1560" s="12"/>
      <c r="AG1560" s="47"/>
    </row>
    <row r="1561" customFormat="false" ht="15.75" hidden="false" customHeight="false" outlineLevel="0" collapsed="false">
      <c r="A1561" s="12"/>
      <c r="B1561" s="13"/>
      <c r="C1561" s="14" t="s">
        <v>6378</v>
      </c>
      <c r="D1561" s="24"/>
      <c r="E1561" s="16" t="s">
        <v>6379</v>
      </c>
      <c r="F1561" s="16" t="s">
        <v>6380</v>
      </c>
      <c r="G1561" s="17"/>
      <c r="H1561" s="17"/>
      <c r="I1561" s="26" t="s">
        <v>166</v>
      </c>
      <c r="J1561" s="32"/>
      <c r="K1561" s="17"/>
      <c r="L1561" s="38"/>
      <c r="M1561" s="46"/>
      <c r="N1561" s="17"/>
      <c r="O1561" s="17"/>
      <c r="P1561" s="40" t="s">
        <v>168</v>
      </c>
      <c r="Q1561" s="12"/>
      <c r="R1561" s="12"/>
      <c r="S1561" s="12"/>
      <c r="T1561" s="12"/>
      <c r="U1561" s="12"/>
      <c r="V1561" s="21"/>
      <c r="Z1561" s="12"/>
      <c r="AA1561" s="29"/>
      <c r="AB1561" s="46" t="s">
        <v>5949</v>
      </c>
      <c r="AC1561" s="12"/>
      <c r="AD1561" s="12"/>
      <c r="AE1561" s="12"/>
      <c r="AF1561" s="47"/>
      <c r="AG1561" s="47"/>
    </row>
    <row r="1562" customFormat="false" ht="15.75" hidden="false" customHeight="false" outlineLevel="0" collapsed="false">
      <c r="A1562" s="12"/>
      <c r="B1562" s="20"/>
      <c r="C1562" s="48" t="s">
        <v>6381</v>
      </c>
      <c r="D1562" s="24"/>
      <c r="E1562" s="49" t="s">
        <v>6382</v>
      </c>
      <c r="F1562" s="49" t="s">
        <v>6383</v>
      </c>
      <c r="G1562" s="17"/>
      <c r="H1562" s="17"/>
      <c r="I1562" s="26" t="s">
        <v>166</v>
      </c>
      <c r="J1562" s="32"/>
      <c r="K1562" s="17"/>
      <c r="L1562" s="38"/>
      <c r="M1562" s="50"/>
      <c r="N1562" s="17"/>
      <c r="O1562" s="17"/>
      <c r="P1562" s="40" t="s">
        <v>168</v>
      </c>
      <c r="Q1562" s="12"/>
      <c r="R1562" s="12"/>
      <c r="S1562" s="12"/>
      <c r="T1562" s="12"/>
      <c r="U1562" s="12"/>
      <c r="V1562" s="21"/>
      <c r="Z1562" s="12"/>
      <c r="AA1562" s="29"/>
      <c r="AB1562" s="50" t="s">
        <v>6384</v>
      </c>
      <c r="AC1562" s="12"/>
      <c r="AD1562" s="12"/>
      <c r="AE1562" s="12"/>
      <c r="AG1562" s="47"/>
    </row>
    <row r="1563" customFormat="false" ht="15.75" hidden="false" customHeight="false" outlineLevel="0" collapsed="false">
      <c r="A1563" s="12"/>
      <c r="B1563" s="20"/>
      <c r="C1563" s="48" t="s">
        <v>6385</v>
      </c>
      <c r="D1563" s="24"/>
      <c r="E1563" s="49" t="s">
        <v>6386</v>
      </c>
      <c r="F1563" s="49" t="s">
        <v>6387</v>
      </c>
      <c r="G1563" s="17"/>
      <c r="H1563" s="17"/>
      <c r="I1563" s="26" t="s">
        <v>166</v>
      </c>
      <c r="J1563" s="32"/>
      <c r="K1563" s="17"/>
      <c r="L1563" s="38"/>
      <c r="M1563" s="50"/>
      <c r="N1563" s="17"/>
      <c r="O1563" s="17"/>
      <c r="P1563" s="40" t="s">
        <v>168</v>
      </c>
      <c r="Q1563" s="12"/>
      <c r="R1563" s="12"/>
      <c r="S1563" s="12"/>
      <c r="T1563" s="12"/>
      <c r="U1563" s="12"/>
      <c r="V1563" s="21"/>
      <c r="Z1563" s="12"/>
      <c r="AA1563" s="29"/>
      <c r="AB1563" s="50" t="s">
        <v>6388</v>
      </c>
      <c r="AC1563" s="12"/>
      <c r="AD1563" s="12"/>
      <c r="AE1563" s="12"/>
      <c r="AF1563" s="47"/>
      <c r="AG1563" s="47"/>
    </row>
    <row r="1564" customFormat="false" ht="15.75" hidden="false" customHeight="false" outlineLevel="0" collapsed="false">
      <c r="A1564" s="12"/>
      <c r="B1564" s="12"/>
      <c r="C1564" s="23" t="s">
        <v>6389</v>
      </c>
      <c r="D1564" s="24"/>
      <c r="E1564" s="25" t="s">
        <v>6390</v>
      </c>
      <c r="F1564" s="17" t="s">
        <v>6391</v>
      </c>
      <c r="G1564" s="17" t="s">
        <v>4858</v>
      </c>
      <c r="H1564" s="17"/>
      <c r="I1564" s="26" t="s">
        <v>82</v>
      </c>
      <c r="J1564" s="32"/>
      <c r="K1564" s="17"/>
      <c r="L1564" s="38"/>
      <c r="M1564" s="27"/>
      <c r="N1564" s="17"/>
      <c r="O1564" s="17"/>
      <c r="P1564" s="40" t="s">
        <v>638</v>
      </c>
      <c r="Q1564" s="12"/>
      <c r="R1564" s="12" t="s">
        <v>6392</v>
      </c>
      <c r="S1564" s="12"/>
      <c r="T1564" s="12" t="s">
        <v>6393</v>
      </c>
      <c r="U1564" s="12"/>
      <c r="V1564" s="21" t="s">
        <v>31</v>
      </c>
      <c r="Z1564" s="12"/>
      <c r="AA1564" s="29"/>
      <c r="AB1564" s="84"/>
      <c r="AC1564" s="12"/>
      <c r="AD1564" s="12"/>
      <c r="AE1564" s="12"/>
    </row>
    <row r="1565" customFormat="false" ht="15.75" hidden="false" customHeight="false" outlineLevel="0" collapsed="false">
      <c r="A1565" s="12"/>
      <c r="B1565" s="13"/>
      <c r="C1565" s="14" t="s">
        <v>6394</v>
      </c>
      <c r="D1565" s="24"/>
      <c r="E1565" s="16" t="s">
        <v>6395</v>
      </c>
      <c r="F1565" s="16" t="s">
        <v>6396</v>
      </c>
      <c r="G1565" s="17"/>
      <c r="H1565" s="17"/>
      <c r="I1565" s="26" t="s">
        <v>166</v>
      </c>
      <c r="J1565" s="32"/>
      <c r="K1565" s="17"/>
      <c r="L1565" s="38"/>
      <c r="M1565" s="46"/>
      <c r="N1565" s="17"/>
      <c r="O1565" s="17"/>
      <c r="P1565" s="40" t="s">
        <v>168</v>
      </c>
      <c r="Q1565" s="12"/>
      <c r="R1565" s="12"/>
      <c r="S1565" s="12"/>
      <c r="T1565" s="12"/>
      <c r="U1565" s="12"/>
      <c r="V1565" s="21"/>
      <c r="Z1565" s="12"/>
      <c r="AA1565" s="29"/>
      <c r="AB1565" s="46" t="s">
        <v>5949</v>
      </c>
      <c r="AC1565" s="12"/>
      <c r="AD1565" s="12"/>
      <c r="AE1565" s="12"/>
      <c r="AF1565" s="47"/>
      <c r="AG1565" s="47"/>
    </row>
    <row r="1566" customFormat="false" ht="15.75" hidden="false" customHeight="false" outlineLevel="0" collapsed="false">
      <c r="A1566" s="12"/>
      <c r="B1566" s="12"/>
      <c r="C1566" s="23" t="s">
        <v>6397</v>
      </c>
      <c r="D1566" s="24"/>
      <c r="E1566" s="25" t="s">
        <v>6398</v>
      </c>
      <c r="F1566" s="17" t="s">
        <v>6399</v>
      </c>
      <c r="G1566" s="17" t="s">
        <v>1100</v>
      </c>
      <c r="H1566" s="17"/>
      <c r="I1566" s="26" t="s">
        <v>82</v>
      </c>
      <c r="J1566" s="32"/>
      <c r="K1566" s="17"/>
      <c r="L1566" s="38"/>
      <c r="M1566" s="27"/>
      <c r="N1566" s="17"/>
      <c r="O1566" s="17"/>
      <c r="P1566" s="40" t="s">
        <v>638</v>
      </c>
      <c r="Q1566" s="20"/>
      <c r="R1566" s="20" t="s">
        <v>6400</v>
      </c>
      <c r="S1566" s="20"/>
      <c r="T1566" s="20" t="s">
        <v>6401</v>
      </c>
      <c r="U1566" s="20"/>
      <c r="V1566" s="21" t="s">
        <v>31</v>
      </c>
      <c r="Z1566" s="20"/>
      <c r="AA1566" s="22"/>
      <c r="AB1566" s="84"/>
      <c r="AC1566" s="20"/>
      <c r="AD1566" s="20"/>
      <c r="AE1566" s="20"/>
    </row>
    <row r="1567" customFormat="false" ht="15.75" hidden="false" customHeight="false" outlineLevel="0" collapsed="false">
      <c r="A1567" s="12"/>
      <c r="B1567" s="20"/>
      <c r="C1567" s="48" t="s">
        <v>6402</v>
      </c>
      <c r="D1567" s="24"/>
      <c r="E1567" s="49" t="s">
        <v>6403</v>
      </c>
      <c r="F1567" s="49" t="s">
        <v>6404</v>
      </c>
      <c r="G1567" s="17"/>
      <c r="H1567" s="17"/>
      <c r="I1567" s="26" t="s">
        <v>166</v>
      </c>
      <c r="J1567" s="32"/>
      <c r="K1567" s="17"/>
      <c r="L1567" s="38"/>
      <c r="M1567" s="50"/>
      <c r="N1567" s="17"/>
      <c r="O1567" s="17"/>
      <c r="P1567" s="40" t="s">
        <v>168</v>
      </c>
      <c r="Q1567" s="12"/>
      <c r="R1567" s="12"/>
      <c r="S1567" s="12"/>
      <c r="T1567" s="12"/>
      <c r="U1567" s="12"/>
      <c r="V1567" s="21"/>
      <c r="Z1567" s="12"/>
      <c r="AA1567" s="29"/>
      <c r="AB1567" s="50" t="s">
        <v>6405</v>
      </c>
      <c r="AC1567" s="12"/>
      <c r="AD1567" s="12"/>
      <c r="AE1567" s="12"/>
    </row>
    <row r="1568" customFormat="false" ht="15.75" hidden="false" customHeight="false" outlineLevel="0" collapsed="false">
      <c r="A1568" s="12"/>
      <c r="B1568" s="13"/>
      <c r="C1568" s="14" t="s">
        <v>6406</v>
      </c>
      <c r="D1568" s="24"/>
      <c r="E1568" s="16" t="s">
        <v>6407</v>
      </c>
      <c r="F1568" s="16" t="s">
        <v>6408</v>
      </c>
      <c r="G1568" s="17"/>
      <c r="H1568" s="17"/>
      <c r="I1568" s="26" t="s">
        <v>166</v>
      </c>
      <c r="J1568" s="32"/>
      <c r="K1568" s="17"/>
      <c r="L1568" s="38"/>
      <c r="M1568" s="46"/>
      <c r="N1568" s="17"/>
      <c r="O1568" s="17"/>
      <c r="P1568" s="40" t="s">
        <v>168</v>
      </c>
      <c r="Q1568" s="12"/>
      <c r="R1568" s="12"/>
      <c r="S1568" s="12"/>
      <c r="T1568" s="12"/>
      <c r="U1568" s="12"/>
      <c r="V1568" s="21"/>
      <c r="Z1568" s="12"/>
      <c r="AA1568" s="29"/>
      <c r="AB1568" s="46" t="s">
        <v>5949</v>
      </c>
      <c r="AC1568" s="12"/>
      <c r="AD1568" s="12"/>
      <c r="AE1568" s="12"/>
      <c r="AF1568" s="47"/>
      <c r="AG1568" s="47"/>
    </row>
    <row r="1569" customFormat="false" ht="15.75" hidden="false" customHeight="false" outlineLevel="0" collapsed="false">
      <c r="A1569" s="12"/>
      <c r="B1569" s="20"/>
      <c r="C1569" s="48" t="s">
        <v>6409</v>
      </c>
      <c r="D1569" s="24"/>
      <c r="E1569" s="49" t="s">
        <v>6410</v>
      </c>
      <c r="F1569" s="49" t="s">
        <v>6411</v>
      </c>
      <c r="G1569" s="17"/>
      <c r="H1569" s="17"/>
      <c r="I1569" s="26" t="s">
        <v>166</v>
      </c>
      <c r="J1569" s="32"/>
      <c r="K1569" s="17"/>
      <c r="L1569" s="38"/>
      <c r="M1569" s="50"/>
      <c r="N1569" s="17"/>
      <c r="O1569" s="17"/>
      <c r="P1569" s="40" t="s">
        <v>168</v>
      </c>
      <c r="Q1569" s="12"/>
      <c r="R1569" s="12"/>
      <c r="S1569" s="12"/>
      <c r="T1569" s="12"/>
      <c r="U1569" s="12"/>
      <c r="V1569" s="21"/>
      <c r="Z1569" s="12"/>
      <c r="AA1569" s="29"/>
      <c r="AB1569" s="50" t="s">
        <v>6412</v>
      </c>
      <c r="AC1569" s="12"/>
      <c r="AD1569" s="12"/>
      <c r="AE1569" s="12"/>
      <c r="AG1569" s="47"/>
    </row>
    <row r="1570" customFormat="false" ht="15.75" hidden="false" customHeight="false" outlineLevel="0" collapsed="false">
      <c r="A1570" s="12"/>
      <c r="B1570" s="20"/>
      <c r="C1570" s="48" t="s">
        <v>6413</v>
      </c>
      <c r="D1570" s="24"/>
      <c r="E1570" s="49" t="s">
        <v>6414</v>
      </c>
      <c r="F1570" s="49" t="s">
        <v>6415</v>
      </c>
      <c r="G1570" s="17"/>
      <c r="H1570" s="17"/>
      <c r="I1570" s="26" t="s">
        <v>166</v>
      </c>
      <c r="J1570" s="32"/>
      <c r="K1570" s="17"/>
      <c r="L1570" s="38"/>
      <c r="M1570" s="50"/>
      <c r="N1570" s="17"/>
      <c r="O1570" s="17"/>
      <c r="P1570" s="40" t="s">
        <v>168</v>
      </c>
      <c r="Q1570" s="17"/>
      <c r="R1570" s="17"/>
      <c r="S1570" s="17"/>
      <c r="T1570" s="17"/>
      <c r="U1570" s="17"/>
      <c r="V1570" s="27"/>
      <c r="Z1570" s="17"/>
      <c r="AA1570" s="29"/>
      <c r="AB1570" s="50" t="s">
        <v>6416</v>
      </c>
      <c r="AC1570" s="17"/>
      <c r="AD1570" s="17"/>
      <c r="AE1570" s="17"/>
      <c r="AF1570" s="47"/>
      <c r="AG1570" s="47"/>
    </row>
    <row r="1571" customFormat="false" ht="15.75" hidden="false" customHeight="false" outlineLevel="0" collapsed="false">
      <c r="A1571" s="12"/>
      <c r="B1571" s="13"/>
      <c r="C1571" s="14" t="s">
        <v>6417</v>
      </c>
      <c r="D1571" s="24"/>
      <c r="E1571" s="16" t="s">
        <v>6418</v>
      </c>
      <c r="F1571" s="16" t="s">
        <v>6419</v>
      </c>
      <c r="G1571" s="17"/>
      <c r="H1571" s="17"/>
      <c r="I1571" s="26" t="s">
        <v>166</v>
      </c>
      <c r="J1571" s="32"/>
      <c r="K1571" s="17"/>
      <c r="L1571" s="38"/>
      <c r="M1571" s="46"/>
      <c r="N1571" s="17"/>
      <c r="O1571" s="17"/>
      <c r="P1571" s="40" t="s">
        <v>168</v>
      </c>
      <c r="Q1571" s="12"/>
      <c r="R1571" s="12"/>
      <c r="S1571" s="12"/>
      <c r="T1571" s="12"/>
      <c r="U1571" s="12"/>
      <c r="V1571" s="21"/>
      <c r="Z1571" s="12"/>
      <c r="AA1571" s="29"/>
      <c r="AB1571" s="46" t="s">
        <v>5949</v>
      </c>
      <c r="AC1571" s="12"/>
      <c r="AD1571" s="12"/>
      <c r="AE1571" s="12"/>
      <c r="AG1571" s="47"/>
    </row>
    <row r="1572" customFormat="false" ht="15.75" hidden="false" customHeight="false" outlineLevel="0" collapsed="false">
      <c r="A1572" s="12"/>
      <c r="B1572" s="12"/>
      <c r="C1572" s="23" t="s">
        <v>6420</v>
      </c>
      <c r="D1572" s="24"/>
      <c r="E1572" s="25" t="s">
        <v>6421</v>
      </c>
      <c r="F1572" s="17" t="s">
        <v>6422</v>
      </c>
      <c r="G1572" s="17" t="s">
        <v>6423</v>
      </c>
      <c r="H1572" s="17"/>
      <c r="I1572" s="26" t="s">
        <v>82</v>
      </c>
      <c r="J1572" s="32"/>
      <c r="K1572" s="17"/>
      <c r="L1572" s="38"/>
      <c r="M1572" s="27"/>
      <c r="N1572" s="17"/>
      <c r="O1572" s="17"/>
      <c r="P1572" s="40" t="s">
        <v>638</v>
      </c>
      <c r="Q1572" s="12"/>
      <c r="R1572" s="12" t="s">
        <v>6424</v>
      </c>
      <c r="S1572" s="12"/>
      <c r="T1572" s="12" t="s">
        <v>6425</v>
      </c>
      <c r="U1572" s="12"/>
      <c r="V1572" s="21" t="s">
        <v>31</v>
      </c>
      <c r="Z1572" s="12"/>
      <c r="AA1572" s="29"/>
      <c r="AB1572" s="84"/>
      <c r="AC1572" s="12"/>
      <c r="AD1572" s="12"/>
      <c r="AE1572" s="12"/>
    </row>
    <row r="1573" customFormat="false" ht="15.75" hidden="false" customHeight="false" outlineLevel="0" collapsed="false">
      <c r="A1573" s="12"/>
      <c r="B1573" s="20"/>
      <c r="C1573" s="48" t="s">
        <v>6426</v>
      </c>
      <c r="D1573" s="24"/>
      <c r="E1573" s="49" t="s">
        <v>6427</v>
      </c>
      <c r="F1573" s="49" t="s">
        <v>6428</v>
      </c>
      <c r="G1573" s="17"/>
      <c r="H1573" s="17"/>
      <c r="I1573" s="26" t="s">
        <v>166</v>
      </c>
      <c r="J1573" s="32"/>
      <c r="K1573" s="17"/>
      <c r="L1573" s="38"/>
      <c r="M1573" s="50"/>
      <c r="N1573" s="17"/>
      <c r="O1573" s="17"/>
      <c r="P1573" s="40" t="s">
        <v>168</v>
      </c>
      <c r="Q1573" s="20"/>
      <c r="R1573" s="20"/>
      <c r="S1573" s="20"/>
      <c r="T1573" s="20"/>
      <c r="U1573" s="20"/>
      <c r="V1573" s="45"/>
      <c r="Z1573" s="20"/>
      <c r="AA1573" s="22"/>
      <c r="AB1573" s="50" t="s">
        <v>6429</v>
      </c>
      <c r="AC1573" s="20"/>
      <c r="AD1573" s="20"/>
      <c r="AE1573" s="20"/>
      <c r="AF1573" s="47"/>
      <c r="AG1573" s="47"/>
    </row>
    <row r="1574" customFormat="false" ht="15.75" hidden="false" customHeight="false" outlineLevel="0" collapsed="false">
      <c r="A1574" s="12"/>
      <c r="B1574" s="20"/>
      <c r="C1574" s="48" t="s">
        <v>4321</v>
      </c>
      <c r="D1574" s="24"/>
      <c r="E1574" s="49" t="s">
        <v>6430</v>
      </c>
      <c r="F1574" s="49" t="s">
        <v>6431</v>
      </c>
      <c r="G1574" s="17"/>
      <c r="H1574" s="17"/>
      <c r="I1574" s="26" t="s">
        <v>166</v>
      </c>
      <c r="J1574" s="32"/>
      <c r="K1574" s="17"/>
      <c r="L1574" s="38"/>
      <c r="M1574" s="50"/>
      <c r="N1574" s="17"/>
      <c r="O1574" s="17"/>
      <c r="P1574" s="40" t="s">
        <v>168</v>
      </c>
      <c r="Q1574" s="12"/>
      <c r="R1574" s="12"/>
      <c r="S1574" s="12"/>
      <c r="T1574" s="12"/>
      <c r="U1574" s="12"/>
      <c r="V1574" s="21"/>
      <c r="Z1574" s="12"/>
      <c r="AA1574" s="29"/>
      <c r="AB1574" s="50" t="s">
        <v>6432</v>
      </c>
      <c r="AC1574" s="12"/>
      <c r="AD1574" s="12"/>
      <c r="AE1574" s="12"/>
    </row>
    <row r="1575" customFormat="false" ht="15.75" hidden="false" customHeight="false" outlineLevel="0" collapsed="false">
      <c r="A1575" s="12"/>
      <c r="B1575" s="20"/>
      <c r="C1575" s="48" t="s">
        <v>6433</v>
      </c>
      <c r="D1575" s="24"/>
      <c r="E1575" s="49" t="s">
        <v>6434</v>
      </c>
      <c r="F1575" s="49" t="s">
        <v>6435</v>
      </c>
      <c r="G1575" s="17"/>
      <c r="H1575" s="17"/>
      <c r="I1575" s="26" t="s">
        <v>166</v>
      </c>
      <c r="J1575" s="32"/>
      <c r="K1575" s="17"/>
      <c r="L1575" s="38"/>
      <c r="M1575" s="50"/>
      <c r="N1575" s="17"/>
      <c r="O1575" s="17"/>
      <c r="P1575" s="40" t="s">
        <v>168</v>
      </c>
      <c r="Q1575" s="12"/>
      <c r="R1575" s="12"/>
      <c r="S1575" s="12"/>
      <c r="T1575" s="12"/>
      <c r="U1575" s="12"/>
      <c r="V1575" s="21"/>
      <c r="Z1575" s="12"/>
      <c r="AA1575" s="29"/>
      <c r="AB1575" s="50" t="s">
        <v>6436</v>
      </c>
      <c r="AC1575" s="12"/>
      <c r="AD1575" s="12"/>
      <c r="AE1575" s="12"/>
      <c r="AF1575" s="47"/>
      <c r="AG1575" s="47"/>
    </row>
    <row r="1576" customFormat="false" ht="15.75" hidden="false" customHeight="false" outlineLevel="0" collapsed="false">
      <c r="A1576" s="12"/>
      <c r="B1576" s="12"/>
      <c r="C1576" s="23" t="s">
        <v>6437</v>
      </c>
      <c r="D1576" s="24"/>
      <c r="E1576" s="17"/>
      <c r="F1576" s="17"/>
      <c r="G1576" s="17"/>
      <c r="H1576" s="17"/>
      <c r="I1576" s="17"/>
      <c r="J1576" s="17"/>
      <c r="K1576" s="17"/>
      <c r="L1576" s="38"/>
      <c r="M1576" s="27"/>
      <c r="N1576" s="17"/>
      <c r="O1576" s="17"/>
      <c r="P1576" s="40"/>
      <c r="Q1576" s="12"/>
      <c r="R1576" s="12"/>
      <c r="S1576" s="12"/>
      <c r="T1576" s="12"/>
      <c r="U1576" s="12"/>
      <c r="V1576" s="21"/>
      <c r="Z1576" s="12"/>
      <c r="AA1576" s="29"/>
      <c r="AB1576" s="84"/>
      <c r="AC1576" s="12"/>
      <c r="AD1576" s="12"/>
      <c r="AE1576" s="12"/>
    </row>
    <row r="1577" customFormat="false" ht="15.75" hidden="false" customHeight="false" outlineLevel="0" collapsed="false">
      <c r="A1577" s="12"/>
      <c r="B1577" s="20"/>
      <c r="C1577" s="48" t="s">
        <v>6438</v>
      </c>
      <c r="D1577" s="24"/>
      <c r="E1577" s="49" t="s">
        <v>6439</v>
      </c>
      <c r="F1577" s="49" t="s">
        <v>6440</v>
      </c>
      <c r="G1577" s="17"/>
      <c r="H1577" s="17"/>
      <c r="I1577" s="26" t="s">
        <v>166</v>
      </c>
      <c r="J1577" s="32"/>
      <c r="K1577" s="17"/>
      <c r="L1577" s="38"/>
      <c r="M1577" s="50"/>
      <c r="N1577" s="17"/>
      <c r="O1577" s="17"/>
      <c r="P1577" s="40" t="s">
        <v>168</v>
      </c>
      <c r="Q1577" s="12"/>
      <c r="R1577" s="12"/>
      <c r="S1577" s="12"/>
      <c r="T1577" s="12"/>
      <c r="U1577" s="12"/>
      <c r="V1577" s="21"/>
      <c r="Z1577" s="12"/>
      <c r="AA1577" s="29"/>
      <c r="AB1577" s="50" t="s">
        <v>6441</v>
      </c>
      <c r="AC1577" s="12"/>
      <c r="AD1577" s="12"/>
      <c r="AE1577" s="12"/>
      <c r="AG1577" s="47"/>
    </row>
    <row r="1578" customFormat="false" ht="15.75" hidden="false" customHeight="false" outlineLevel="0" collapsed="false">
      <c r="A1578" s="12"/>
      <c r="B1578" s="20"/>
      <c r="C1578" s="48" t="s">
        <v>6442</v>
      </c>
      <c r="D1578" s="24"/>
      <c r="E1578" s="49" t="s">
        <v>6443</v>
      </c>
      <c r="F1578" s="49" t="s">
        <v>6444</v>
      </c>
      <c r="G1578" s="17"/>
      <c r="H1578" s="17"/>
      <c r="I1578" s="26" t="s">
        <v>166</v>
      </c>
      <c r="J1578" s="32"/>
      <c r="K1578" s="17"/>
      <c r="L1578" s="38"/>
      <c r="M1578" s="50"/>
      <c r="N1578" s="17"/>
      <c r="O1578" s="17"/>
      <c r="P1578" s="40" t="s">
        <v>168</v>
      </c>
      <c r="Q1578" s="17"/>
      <c r="R1578" s="17"/>
      <c r="S1578" s="17"/>
      <c r="T1578" s="17"/>
      <c r="U1578" s="17"/>
      <c r="V1578" s="27"/>
      <c r="Z1578" s="17"/>
      <c r="AA1578" s="29"/>
      <c r="AB1578" s="50" t="s">
        <v>6445</v>
      </c>
      <c r="AC1578" s="17"/>
      <c r="AD1578" s="17"/>
      <c r="AE1578" s="17"/>
      <c r="AF1578" s="47"/>
      <c r="AG1578" s="47"/>
    </row>
    <row r="1579" customFormat="false" ht="15.75" hidden="false" customHeight="false" outlineLevel="0" collapsed="false">
      <c r="A1579" s="12"/>
      <c r="B1579" s="13"/>
      <c r="C1579" s="14" t="s">
        <v>6446</v>
      </c>
      <c r="D1579" s="24"/>
      <c r="E1579" s="16" t="s">
        <v>6447</v>
      </c>
      <c r="F1579" s="16" t="s">
        <v>6448</v>
      </c>
      <c r="G1579" s="17"/>
      <c r="H1579" s="17"/>
      <c r="I1579" s="26" t="s">
        <v>166</v>
      </c>
      <c r="J1579" s="32"/>
      <c r="K1579" s="17"/>
      <c r="L1579" s="38"/>
      <c r="M1579" s="78"/>
      <c r="N1579" s="17"/>
      <c r="O1579" s="17"/>
      <c r="P1579" s="40" t="s">
        <v>168</v>
      </c>
      <c r="Q1579" s="12"/>
      <c r="R1579" s="12"/>
      <c r="S1579" s="12"/>
      <c r="T1579" s="12"/>
      <c r="U1579" s="12"/>
      <c r="V1579" s="21"/>
      <c r="Z1579" s="12"/>
      <c r="AA1579" s="29"/>
      <c r="AB1579" s="78" t="s">
        <v>6449</v>
      </c>
      <c r="AC1579" s="12"/>
      <c r="AD1579" s="12"/>
      <c r="AE1579" s="12"/>
      <c r="AG1579" s="47"/>
    </row>
    <row r="1580" customFormat="false" ht="15.75" hidden="false" customHeight="false" outlineLevel="0" collapsed="false">
      <c r="A1580" s="12"/>
      <c r="B1580" s="20"/>
      <c r="C1580" s="48" t="s">
        <v>6450</v>
      </c>
      <c r="D1580" s="24"/>
      <c r="E1580" s="49" t="s">
        <v>6451</v>
      </c>
      <c r="F1580" s="49" t="s">
        <v>6452</v>
      </c>
      <c r="G1580" s="17"/>
      <c r="H1580" s="17"/>
      <c r="I1580" s="26" t="s">
        <v>166</v>
      </c>
      <c r="J1580" s="32"/>
      <c r="K1580" s="17"/>
      <c r="L1580" s="38"/>
      <c r="M1580" s="50"/>
      <c r="N1580" s="17"/>
      <c r="O1580" s="17"/>
      <c r="P1580" s="40" t="s">
        <v>168</v>
      </c>
      <c r="Q1580" s="12"/>
      <c r="R1580" s="12"/>
      <c r="S1580" s="12"/>
      <c r="T1580" s="12"/>
      <c r="U1580" s="12"/>
      <c r="V1580" s="21"/>
      <c r="Z1580" s="12"/>
      <c r="AA1580" s="29"/>
      <c r="AB1580" s="50" t="s">
        <v>6453</v>
      </c>
      <c r="AC1580" s="12"/>
      <c r="AD1580" s="12"/>
      <c r="AE1580" s="12"/>
    </row>
    <row r="1581" customFormat="false" ht="15.75" hidden="false" customHeight="false" outlineLevel="0" collapsed="false">
      <c r="A1581" s="12" t="s">
        <v>31</v>
      </c>
      <c r="B1581" s="12" t="s">
        <v>32</v>
      </c>
      <c r="C1581" s="23" t="s">
        <v>6454</v>
      </c>
      <c r="D1581" s="24" t="s">
        <v>51</v>
      </c>
      <c r="E1581" s="25" t="s">
        <v>6455</v>
      </c>
      <c r="F1581" s="17" t="s">
        <v>6456</v>
      </c>
      <c r="G1581" s="17" t="s">
        <v>145</v>
      </c>
      <c r="H1581" s="17" t="s">
        <v>146</v>
      </c>
      <c r="I1581" s="17" t="s">
        <v>36</v>
      </c>
      <c r="J1581" s="17"/>
      <c r="K1581" s="17"/>
      <c r="L1581" s="38"/>
      <c r="M1581" s="27" t="s">
        <v>147</v>
      </c>
      <c r="N1581" s="17" t="s">
        <v>6457</v>
      </c>
      <c r="O1581" s="17" t="s">
        <v>6458</v>
      </c>
      <c r="P1581" s="28" t="s">
        <v>59</v>
      </c>
      <c r="Q1581" s="12"/>
      <c r="R1581" s="12"/>
      <c r="S1581" s="12"/>
      <c r="T1581" s="12"/>
      <c r="U1581" s="12"/>
      <c r="V1581" s="21"/>
      <c r="Z1581" s="12"/>
      <c r="AA1581" s="29" t="n">
        <v>5</v>
      </c>
      <c r="AB1581" s="12"/>
      <c r="AC1581" s="12"/>
      <c r="AD1581" s="12"/>
      <c r="AE1581" s="12"/>
    </row>
    <row r="1582" customFormat="false" ht="15.75" hidden="false" customHeight="false" outlineLevel="0" collapsed="false">
      <c r="A1582" s="12"/>
      <c r="B1582" s="20"/>
      <c r="C1582" s="48" t="s">
        <v>6459</v>
      </c>
      <c r="D1582" s="24"/>
      <c r="E1582" s="49" t="s">
        <v>6460</v>
      </c>
      <c r="F1582" s="49" t="s">
        <v>6461</v>
      </c>
      <c r="G1582" s="17"/>
      <c r="H1582" s="17"/>
      <c r="I1582" s="26" t="s">
        <v>166</v>
      </c>
      <c r="J1582" s="32"/>
      <c r="K1582" s="17"/>
      <c r="L1582" s="38"/>
      <c r="M1582" s="50"/>
      <c r="N1582" s="17"/>
      <c r="O1582" s="17"/>
      <c r="P1582" s="40" t="s">
        <v>168</v>
      </c>
      <c r="Q1582" s="12"/>
      <c r="R1582" s="12"/>
      <c r="S1582" s="12"/>
      <c r="T1582" s="12"/>
      <c r="U1582" s="12"/>
      <c r="V1582" s="21"/>
      <c r="Z1582" s="12"/>
      <c r="AA1582" s="29"/>
      <c r="AB1582" s="50" t="s">
        <v>5306</v>
      </c>
      <c r="AC1582" s="12"/>
      <c r="AD1582" s="12"/>
      <c r="AE1582" s="12"/>
      <c r="AF1582" s="47"/>
      <c r="AG1582" s="47"/>
    </row>
    <row r="1583" customFormat="false" ht="15.75" hidden="false" customHeight="false" outlineLevel="0" collapsed="false">
      <c r="A1583" s="12"/>
      <c r="B1583" s="12"/>
      <c r="C1583" s="23" t="s">
        <v>6462</v>
      </c>
      <c r="D1583" s="24"/>
      <c r="E1583" s="25" t="s">
        <v>6463</v>
      </c>
      <c r="F1583" s="17" t="s">
        <v>6464</v>
      </c>
      <c r="G1583" s="17" t="s">
        <v>2637</v>
      </c>
      <c r="H1583" s="17"/>
      <c r="I1583" s="26" t="s">
        <v>82</v>
      </c>
      <c r="J1583" s="32"/>
      <c r="K1583" s="17"/>
      <c r="L1583" s="38"/>
      <c r="M1583" s="27"/>
      <c r="N1583" s="17"/>
      <c r="O1583" s="17"/>
      <c r="P1583" s="40" t="s">
        <v>638</v>
      </c>
      <c r="Q1583" s="20"/>
      <c r="R1583" s="20" t="s">
        <v>6465</v>
      </c>
      <c r="S1583" s="20"/>
      <c r="T1583" s="20" t="s">
        <v>6466</v>
      </c>
      <c r="U1583" s="20"/>
      <c r="V1583" s="21" t="s">
        <v>31</v>
      </c>
      <c r="Z1583" s="20"/>
      <c r="AA1583" s="22"/>
      <c r="AB1583" s="84"/>
      <c r="AC1583" s="20"/>
      <c r="AD1583" s="20"/>
      <c r="AE1583" s="20"/>
    </row>
    <row r="1584" customFormat="false" ht="15.75" hidden="false" customHeight="false" outlineLevel="0" collapsed="false">
      <c r="A1584" s="12"/>
      <c r="B1584" s="20"/>
      <c r="C1584" s="48" t="s">
        <v>6467</v>
      </c>
      <c r="D1584" s="24"/>
      <c r="E1584" s="49" t="s">
        <v>6468</v>
      </c>
      <c r="F1584" s="49" t="s">
        <v>6469</v>
      </c>
      <c r="G1584" s="17"/>
      <c r="H1584" s="17"/>
      <c r="I1584" s="26" t="s">
        <v>166</v>
      </c>
      <c r="J1584" s="32"/>
      <c r="K1584" s="17"/>
      <c r="L1584" s="38"/>
      <c r="M1584" s="50"/>
      <c r="N1584" s="17"/>
      <c r="O1584" s="17"/>
      <c r="P1584" s="40" t="s">
        <v>168</v>
      </c>
      <c r="Q1584" s="12"/>
      <c r="R1584" s="12"/>
      <c r="S1584" s="12"/>
      <c r="T1584" s="12"/>
      <c r="U1584" s="12"/>
      <c r="V1584" s="21"/>
      <c r="Z1584" s="12"/>
      <c r="AA1584" s="29"/>
      <c r="AB1584" s="50" t="s">
        <v>6470</v>
      </c>
      <c r="AC1584" s="12"/>
      <c r="AD1584" s="12"/>
      <c r="AE1584" s="12"/>
      <c r="AF1584" s="47"/>
      <c r="AG1584" s="47"/>
    </row>
    <row r="1585" customFormat="false" ht="15.75" hidden="false" customHeight="false" outlineLevel="0" collapsed="false">
      <c r="A1585" s="12"/>
      <c r="B1585" s="20"/>
      <c r="C1585" s="48" t="s">
        <v>6471</v>
      </c>
      <c r="D1585" s="24"/>
      <c r="E1585" s="49" t="s">
        <v>6472</v>
      </c>
      <c r="F1585" s="49" t="s">
        <v>6473</v>
      </c>
      <c r="G1585" s="17"/>
      <c r="H1585" s="17"/>
      <c r="I1585" s="26" t="s">
        <v>166</v>
      </c>
      <c r="J1585" s="32"/>
      <c r="K1585" s="17"/>
      <c r="L1585" s="38"/>
      <c r="M1585" s="46"/>
      <c r="N1585" s="17"/>
      <c r="O1585" s="17"/>
      <c r="P1585" s="40" t="s">
        <v>168</v>
      </c>
      <c r="Q1585" s="12"/>
      <c r="R1585" s="12"/>
      <c r="S1585" s="12"/>
      <c r="T1585" s="12"/>
      <c r="U1585" s="12"/>
      <c r="V1585" s="21"/>
      <c r="Z1585" s="12"/>
      <c r="AA1585" s="29"/>
      <c r="AB1585" s="46" t="s">
        <v>5949</v>
      </c>
      <c r="AC1585" s="12"/>
      <c r="AD1585" s="12"/>
      <c r="AE1585" s="12"/>
      <c r="AG1585" s="47"/>
    </row>
    <row r="1586" customFormat="false" ht="15.75" hidden="false" customHeight="false" outlineLevel="0" collapsed="false">
      <c r="A1586" s="12"/>
      <c r="B1586" s="20"/>
      <c r="C1586" s="48" t="s">
        <v>6474</v>
      </c>
      <c r="D1586" s="24"/>
      <c r="E1586" s="49" t="s">
        <v>6475</v>
      </c>
      <c r="F1586" s="49" t="s">
        <v>6476</v>
      </c>
      <c r="G1586" s="17"/>
      <c r="H1586" s="17"/>
      <c r="I1586" s="26" t="s">
        <v>166</v>
      </c>
      <c r="J1586" s="32"/>
      <c r="K1586" s="17"/>
      <c r="L1586" s="38"/>
      <c r="M1586" s="50"/>
      <c r="N1586" s="17"/>
      <c r="O1586" s="17"/>
      <c r="P1586" s="40" t="s">
        <v>168</v>
      </c>
      <c r="Q1586" s="17"/>
      <c r="R1586" s="17"/>
      <c r="S1586" s="17"/>
      <c r="T1586" s="17"/>
      <c r="U1586" s="17"/>
      <c r="V1586" s="27"/>
      <c r="Z1586" s="17"/>
      <c r="AA1586" s="29"/>
      <c r="AB1586" s="50" t="s">
        <v>6477</v>
      </c>
      <c r="AC1586" s="17"/>
      <c r="AD1586" s="17"/>
      <c r="AE1586" s="17"/>
      <c r="AF1586" s="47"/>
    </row>
    <row r="1587" customFormat="false" ht="15.75" hidden="false" customHeight="false" outlineLevel="0" collapsed="false">
      <c r="A1587" s="12"/>
      <c r="B1587" s="20"/>
      <c r="C1587" s="48" t="s">
        <v>6478</v>
      </c>
      <c r="D1587" s="24"/>
      <c r="E1587" s="49" t="s">
        <v>6479</v>
      </c>
      <c r="F1587" s="49" t="s">
        <v>6480</v>
      </c>
      <c r="G1587" s="17"/>
      <c r="H1587" s="17"/>
      <c r="I1587" s="26" t="s">
        <v>166</v>
      </c>
      <c r="J1587" s="32"/>
      <c r="K1587" s="17"/>
      <c r="L1587" s="38"/>
      <c r="M1587" s="50"/>
      <c r="N1587" s="17"/>
      <c r="O1587" s="17"/>
      <c r="P1587" s="40" t="s">
        <v>168</v>
      </c>
      <c r="Q1587" s="12"/>
      <c r="R1587" s="12"/>
      <c r="S1587" s="12"/>
      <c r="T1587" s="12"/>
      <c r="U1587" s="12"/>
      <c r="V1587" s="21"/>
      <c r="Z1587" s="12"/>
      <c r="AA1587" s="29"/>
      <c r="AB1587" s="50" t="s">
        <v>5306</v>
      </c>
      <c r="AC1587" s="12"/>
      <c r="AD1587" s="12"/>
      <c r="AE1587" s="12"/>
      <c r="AF1587" s="47"/>
      <c r="AG1587" s="47"/>
    </row>
    <row r="1588" customFormat="false" ht="15.75" hidden="false" customHeight="false" outlineLevel="0" collapsed="false">
      <c r="A1588" s="12"/>
      <c r="B1588" s="12"/>
      <c r="C1588" s="23" t="s">
        <v>6481</v>
      </c>
      <c r="D1588" s="24"/>
      <c r="E1588" s="17"/>
      <c r="F1588" s="17"/>
      <c r="G1588" s="17"/>
      <c r="H1588" s="17"/>
      <c r="I1588" s="17"/>
      <c r="J1588" s="17"/>
      <c r="K1588" s="17"/>
      <c r="L1588" s="38"/>
      <c r="M1588" s="27"/>
      <c r="N1588" s="17"/>
      <c r="O1588" s="17"/>
      <c r="P1588" s="28"/>
      <c r="Q1588" s="17"/>
      <c r="R1588" s="17"/>
      <c r="S1588" s="17"/>
      <c r="T1588" s="17"/>
      <c r="U1588" s="17"/>
      <c r="V1588" s="27"/>
      <c r="Z1588" s="17"/>
      <c r="AA1588" s="29"/>
      <c r="AB1588" s="84"/>
      <c r="AC1588" s="17"/>
      <c r="AD1588" s="17"/>
      <c r="AE1588" s="17"/>
    </row>
    <row r="1589" customFormat="false" ht="15.75" hidden="false" customHeight="false" outlineLevel="0" collapsed="false">
      <c r="A1589" s="12"/>
      <c r="B1589" s="12"/>
      <c r="C1589" s="23" t="s">
        <v>6482</v>
      </c>
      <c r="D1589" s="24"/>
      <c r="E1589" s="17"/>
      <c r="F1589" s="17"/>
      <c r="G1589" s="17"/>
      <c r="H1589" s="17"/>
      <c r="I1589" s="17"/>
      <c r="J1589" s="17"/>
      <c r="K1589" s="17"/>
      <c r="L1589" s="38"/>
      <c r="M1589" s="27"/>
      <c r="N1589" s="17"/>
      <c r="O1589" s="17"/>
      <c r="P1589" s="28"/>
      <c r="Q1589" s="17"/>
      <c r="R1589" s="17"/>
      <c r="S1589" s="17"/>
      <c r="T1589" s="17"/>
      <c r="U1589" s="17"/>
      <c r="V1589" s="27"/>
      <c r="Z1589" s="17"/>
      <c r="AA1589" s="29"/>
      <c r="AB1589" s="84"/>
      <c r="AC1589" s="17"/>
      <c r="AD1589" s="17"/>
      <c r="AE1589" s="17"/>
    </row>
    <row r="1590" customFormat="false" ht="15.75" hidden="false" customHeight="false" outlineLevel="0" collapsed="false">
      <c r="A1590" s="12"/>
      <c r="B1590" s="20"/>
      <c r="C1590" s="48" t="s">
        <v>6483</v>
      </c>
      <c r="D1590" s="24"/>
      <c r="E1590" s="49" t="s">
        <v>6484</v>
      </c>
      <c r="F1590" s="49" t="s">
        <v>6485</v>
      </c>
      <c r="G1590" s="17"/>
      <c r="H1590" s="17"/>
      <c r="I1590" s="26" t="s">
        <v>166</v>
      </c>
      <c r="J1590" s="32"/>
      <c r="K1590" s="17"/>
      <c r="L1590" s="38"/>
      <c r="M1590" s="46"/>
      <c r="N1590" s="17"/>
      <c r="O1590" s="17"/>
      <c r="P1590" s="40" t="s">
        <v>168</v>
      </c>
      <c r="Q1590" s="12"/>
      <c r="R1590" s="12"/>
      <c r="S1590" s="12"/>
      <c r="T1590" s="12"/>
      <c r="U1590" s="12"/>
      <c r="V1590" s="21"/>
      <c r="Z1590" s="12"/>
      <c r="AA1590" s="29"/>
      <c r="AB1590" s="46" t="s">
        <v>5949</v>
      </c>
      <c r="AC1590" s="12"/>
      <c r="AD1590" s="12"/>
      <c r="AE1590" s="12"/>
      <c r="AF1590" s="47"/>
      <c r="AG1590" s="47"/>
    </row>
    <row r="1591" customFormat="false" ht="15.75" hidden="false" customHeight="false" outlineLevel="0" collapsed="false">
      <c r="A1591" s="12"/>
      <c r="B1591" s="13"/>
      <c r="C1591" s="14" t="s">
        <v>6486</v>
      </c>
      <c r="D1591" s="24"/>
      <c r="E1591" s="32"/>
      <c r="F1591" s="16" t="s">
        <v>6487</v>
      </c>
      <c r="G1591" s="17"/>
      <c r="H1591" s="17"/>
      <c r="I1591" s="26" t="s">
        <v>166</v>
      </c>
      <c r="J1591" s="32"/>
      <c r="K1591" s="17"/>
      <c r="L1591" s="38"/>
      <c r="M1591" s="78"/>
      <c r="N1591" s="17"/>
      <c r="O1591" s="17"/>
      <c r="P1591" s="40" t="s">
        <v>168</v>
      </c>
      <c r="Q1591" s="12"/>
      <c r="R1591" s="12"/>
      <c r="S1591" s="12"/>
      <c r="T1591" s="12"/>
      <c r="U1591" s="12"/>
      <c r="V1591" s="21"/>
      <c r="Z1591" s="12"/>
      <c r="AA1591" s="29"/>
      <c r="AB1591" s="78" t="s">
        <v>6488</v>
      </c>
      <c r="AC1591" s="12"/>
      <c r="AD1591" s="12"/>
      <c r="AE1591" s="12"/>
      <c r="AG1591" s="47"/>
    </row>
    <row r="1592" customFormat="false" ht="15.75" hidden="false" customHeight="false" outlineLevel="0" collapsed="false">
      <c r="A1592" s="12"/>
      <c r="B1592" s="54"/>
      <c r="C1592" s="112" t="s">
        <v>6489</v>
      </c>
      <c r="D1592" s="15"/>
      <c r="E1592" s="17"/>
      <c r="F1592" s="17"/>
      <c r="G1592" s="17"/>
      <c r="H1592" s="32"/>
      <c r="I1592" s="26" t="s">
        <v>166</v>
      </c>
      <c r="J1592" s="32"/>
      <c r="K1592" s="17"/>
      <c r="L1592" s="38"/>
      <c r="M1592" s="27"/>
      <c r="N1592" s="17"/>
      <c r="O1592" s="17"/>
      <c r="P1592" s="40" t="s">
        <v>3671</v>
      </c>
      <c r="Q1592" s="20"/>
      <c r="R1592" s="20"/>
      <c r="S1592" s="20"/>
      <c r="T1592" s="20"/>
      <c r="U1592" s="20"/>
      <c r="V1592" s="45"/>
      <c r="Z1592" s="20"/>
      <c r="AA1592" s="22"/>
      <c r="AB1592" s="84"/>
      <c r="AC1592" s="20"/>
      <c r="AD1592" s="20"/>
      <c r="AE1592" s="20"/>
    </row>
    <row r="1593" customFormat="false" ht="15.75" hidden="false" customHeight="false" outlineLevel="0" collapsed="false">
      <c r="A1593" s="12"/>
      <c r="B1593" s="20"/>
      <c r="C1593" s="48" t="s">
        <v>6490</v>
      </c>
      <c r="D1593" s="24"/>
      <c r="E1593" s="16" t="s">
        <v>6491</v>
      </c>
      <c r="F1593" s="49" t="s">
        <v>6492</v>
      </c>
      <c r="G1593" s="17"/>
      <c r="H1593" s="17"/>
      <c r="I1593" s="26" t="s">
        <v>166</v>
      </c>
      <c r="J1593" s="32"/>
      <c r="K1593" s="17"/>
      <c r="L1593" s="38"/>
      <c r="M1593" s="50"/>
      <c r="N1593" s="17"/>
      <c r="O1593" s="17"/>
      <c r="P1593" s="40" t="s">
        <v>168</v>
      </c>
      <c r="Q1593" s="12"/>
      <c r="R1593" s="12"/>
      <c r="S1593" s="12"/>
      <c r="T1593" s="12"/>
      <c r="U1593" s="12"/>
      <c r="V1593" s="21"/>
      <c r="Z1593" s="12"/>
      <c r="AA1593" s="29"/>
      <c r="AB1593" s="50" t="s">
        <v>6493</v>
      </c>
      <c r="AC1593" s="12"/>
      <c r="AD1593" s="12"/>
      <c r="AE1593" s="12"/>
      <c r="AF1593" s="47"/>
      <c r="AG1593" s="47"/>
    </row>
    <row r="1594" customFormat="false" ht="15.75" hidden="false" customHeight="false" outlineLevel="0" collapsed="false">
      <c r="A1594" s="12"/>
      <c r="B1594" s="54"/>
      <c r="C1594" s="55" t="s">
        <v>6494</v>
      </c>
      <c r="D1594" s="24"/>
      <c r="E1594" s="115"/>
      <c r="F1594" s="15"/>
      <c r="G1594" s="15"/>
      <c r="H1594" s="15"/>
      <c r="I1594" s="15"/>
      <c r="J1594" s="15"/>
      <c r="K1594" s="17"/>
      <c r="L1594" s="38"/>
      <c r="M1594" s="18"/>
      <c r="N1594" s="17"/>
      <c r="O1594" s="17"/>
      <c r="P1594" s="19"/>
      <c r="Q1594" s="20"/>
      <c r="R1594" s="20"/>
      <c r="S1594" s="20"/>
      <c r="T1594" s="20"/>
      <c r="U1594" s="20"/>
      <c r="V1594" s="21"/>
      <c r="Z1594" s="20"/>
      <c r="AA1594" s="22"/>
      <c r="AB1594" s="84"/>
      <c r="AC1594" s="20"/>
      <c r="AD1594" s="20"/>
      <c r="AE1594" s="20"/>
    </row>
    <row r="1595" customFormat="false" ht="15.75" hidden="false" customHeight="false" outlineLevel="0" collapsed="false">
      <c r="A1595" s="12"/>
      <c r="B1595" s="54"/>
      <c r="C1595" s="55" t="s">
        <v>6495</v>
      </c>
      <c r="D1595" s="24"/>
      <c r="E1595" s="115"/>
      <c r="F1595" s="15"/>
      <c r="G1595" s="15"/>
      <c r="H1595" s="15"/>
      <c r="I1595" s="15"/>
      <c r="J1595" s="15"/>
      <c r="K1595" s="17"/>
      <c r="L1595" s="38"/>
      <c r="M1595" s="18"/>
      <c r="N1595" s="17"/>
      <c r="O1595" s="17"/>
      <c r="P1595" s="19"/>
      <c r="Q1595" s="20"/>
      <c r="R1595" s="20"/>
      <c r="S1595" s="20"/>
      <c r="T1595" s="20"/>
      <c r="U1595" s="20"/>
      <c r="V1595" s="21"/>
      <c r="Z1595" s="20"/>
      <c r="AA1595" s="22"/>
      <c r="AB1595" s="84"/>
      <c r="AC1595" s="20"/>
      <c r="AD1595" s="20"/>
      <c r="AE1595" s="20"/>
    </row>
    <row r="1596" customFormat="false" ht="15.75" hidden="false" customHeight="false" outlineLevel="0" collapsed="false">
      <c r="A1596" s="12"/>
      <c r="B1596" s="20"/>
      <c r="C1596" s="48" t="s">
        <v>6496</v>
      </c>
      <c r="D1596" s="24"/>
      <c r="E1596" s="49" t="s">
        <v>6497</v>
      </c>
      <c r="F1596" s="49" t="s">
        <v>6498</v>
      </c>
      <c r="G1596" s="17"/>
      <c r="H1596" s="17"/>
      <c r="I1596" s="26" t="s">
        <v>166</v>
      </c>
      <c r="J1596" s="32"/>
      <c r="K1596" s="17"/>
      <c r="L1596" s="38"/>
      <c r="M1596" s="50"/>
      <c r="N1596" s="17"/>
      <c r="O1596" s="17"/>
      <c r="P1596" s="40" t="s">
        <v>168</v>
      </c>
      <c r="Q1596" s="12"/>
      <c r="R1596" s="12"/>
      <c r="S1596" s="12"/>
      <c r="T1596" s="12"/>
      <c r="U1596" s="12"/>
      <c r="V1596" s="21"/>
      <c r="Z1596" s="12"/>
      <c r="AA1596" s="29"/>
      <c r="AB1596" s="50" t="s">
        <v>6499</v>
      </c>
      <c r="AC1596" s="12"/>
      <c r="AD1596" s="12"/>
      <c r="AE1596" s="12"/>
      <c r="AF1596" s="47"/>
    </row>
    <row r="1597" customFormat="false" ht="15.75" hidden="false" customHeight="false" outlineLevel="0" collapsed="false">
      <c r="A1597" s="12"/>
      <c r="B1597" s="20"/>
      <c r="C1597" s="48" t="s">
        <v>6500</v>
      </c>
      <c r="D1597" s="24"/>
      <c r="E1597" s="16" t="s">
        <v>6501</v>
      </c>
      <c r="F1597" s="49" t="s">
        <v>6502</v>
      </c>
      <c r="G1597" s="17"/>
      <c r="H1597" s="17"/>
      <c r="I1597" s="26" t="s">
        <v>166</v>
      </c>
      <c r="J1597" s="32"/>
      <c r="K1597" s="17"/>
      <c r="L1597" s="38"/>
      <c r="M1597" s="50"/>
      <c r="N1597" s="17"/>
      <c r="O1597" s="17"/>
      <c r="P1597" s="40" t="s">
        <v>168</v>
      </c>
      <c r="Q1597" s="12"/>
      <c r="R1597" s="12"/>
      <c r="S1597" s="12"/>
      <c r="T1597" s="12"/>
      <c r="U1597" s="12"/>
      <c r="V1597" s="21"/>
      <c r="Z1597" s="12"/>
      <c r="AA1597" s="29"/>
      <c r="AB1597" s="50" t="s">
        <v>6503</v>
      </c>
      <c r="AC1597" s="12"/>
      <c r="AD1597" s="12"/>
      <c r="AE1597" s="12"/>
      <c r="AG1597" s="47"/>
    </row>
    <row r="1598" customFormat="false" ht="15.75" hidden="false" customHeight="false" outlineLevel="0" collapsed="false">
      <c r="A1598" s="12"/>
      <c r="B1598" s="12"/>
      <c r="C1598" s="23" t="s">
        <v>6504</v>
      </c>
      <c r="D1598" s="24"/>
      <c r="E1598" s="25" t="s">
        <v>6505</v>
      </c>
      <c r="F1598" s="17" t="s">
        <v>6506</v>
      </c>
      <c r="G1598" s="17" t="s">
        <v>1100</v>
      </c>
      <c r="H1598" s="17"/>
      <c r="I1598" s="26" t="s">
        <v>82</v>
      </c>
      <c r="J1598" s="32"/>
      <c r="K1598" s="17"/>
      <c r="L1598" s="38"/>
      <c r="M1598" s="27"/>
      <c r="N1598" s="17"/>
      <c r="O1598" s="17"/>
      <c r="P1598" s="40" t="s">
        <v>638</v>
      </c>
      <c r="Q1598" s="20"/>
      <c r="R1598" s="20" t="s">
        <v>6507</v>
      </c>
      <c r="S1598" s="20"/>
      <c r="T1598" s="20" t="s">
        <v>6508</v>
      </c>
      <c r="U1598" s="20"/>
      <c r="V1598" s="21" t="s">
        <v>31</v>
      </c>
      <c r="Z1598" s="20"/>
      <c r="AA1598" s="22"/>
      <c r="AB1598" s="84"/>
      <c r="AC1598" s="20"/>
      <c r="AD1598" s="20"/>
      <c r="AE1598" s="20"/>
    </row>
    <row r="1599" customFormat="false" ht="15.75" hidden="false" customHeight="false" outlineLevel="0" collapsed="false">
      <c r="A1599" s="12"/>
      <c r="B1599" s="20"/>
      <c r="C1599" s="48" t="s">
        <v>6509</v>
      </c>
      <c r="D1599" s="24"/>
      <c r="E1599" s="49" t="s">
        <v>6510</v>
      </c>
      <c r="F1599" s="49" t="s">
        <v>6511</v>
      </c>
      <c r="G1599" s="17"/>
      <c r="H1599" s="17"/>
      <c r="I1599" s="26" t="s">
        <v>166</v>
      </c>
      <c r="J1599" s="32"/>
      <c r="K1599" s="17"/>
      <c r="L1599" s="38"/>
      <c r="M1599" s="50"/>
      <c r="N1599" s="17"/>
      <c r="O1599" s="17"/>
      <c r="P1599" s="40" t="s">
        <v>168</v>
      </c>
      <c r="Q1599" s="20"/>
      <c r="R1599" s="20"/>
      <c r="S1599" s="20"/>
      <c r="T1599" s="20"/>
      <c r="U1599" s="20"/>
      <c r="V1599" s="45"/>
      <c r="Z1599" s="20"/>
      <c r="AA1599" s="22"/>
      <c r="AB1599" s="50" t="s">
        <v>6512</v>
      </c>
      <c r="AC1599" s="20"/>
      <c r="AD1599" s="20"/>
      <c r="AE1599" s="20"/>
      <c r="AG1599" s="47"/>
    </row>
    <row r="1600" customFormat="false" ht="15.75" hidden="false" customHeight="false" outlineLevel="0" collapsed="false">
      <c r="A1600" s="12"/>
      <c r="B1600" s="12"/>
      <c r="C1600" s="23" t="s">
        <v>6513</v>
      </c>
      <c r="D1600" s="24"/>
      <c r="E1600" s="25" t="s">
        <v>6514</v>
      </c>
      <c r="F1600" s="17" t="s">
        <v>6515</v>
      </c>
      <c r="G1600" s="17" t="s">
        <v>2637</v>
      </c>
      <c r="H1600" s="17"/>
      <c r="I1600" s="26" t="s">
        <v>82</v>
      </c>
      <c r="J1600" s="32"/>
      <c r="K1600" s="17"/>
      <c r="L1600" s="38"/>
      <c r="M1600" s="27"/>
      <c r="N1600" s="17"/>
      <c r="O1600" s="17"/>
      <c r="P1600" s="40" t="s">
        <v>638</v>
      </c>
      <c r="Q1600" s="12"/>
      <c r="R1600" s="12" t="s">
        <v>6516</v>
      </c>
      <c r="S1600" s="12"/>
      <c r="T1600" s="12" t="s">
        <v>6517</v>
      </c>
      <c r="U1600" s="12"/>
      <c r="V1600" s="21" t="s">
        <v>31</v>
      </c>
      <c r="Z1600" s="12"/>
      <c r="AA1600" s="29"/>
      <c r="AB1600" s="84"/>
      <c r="AC1600" s="12"/>
      <c r="AD1600" s="12"/>
      <c r="AE1600" s="12"/>
    </row>
    <row r="1601" customFormat="false" ht="15.75" hidden="false" customHeight="false" outlineLevel="0" collapsed="false">
      <c r="A1601" s="12"/>
      <c r="B1601" s="20"/>
      <c r="C1601" s="48" t="s">
        <v>6518</v>
      </c>
      <c r="D1601" s="24"/>
      <c r="E1601" s="49" t="s">
        <v>6519</v>
      </c>
      <c r="F1601" s="49" t="s">
        <v>6520</v>
      </c>
      <c r="G1601" s="17"/>
      <c r="H1601" s="17"/>
      <c r="I1601" s="26" t="s">
        <v>166</v>
      </c>
      <c r="J1601" s="32"/>
      <c r="K1601" s="17"/>
      <c r="L1601" s="38"/>
      <c r="M1601" s="78"/>
      <c r="N1601" s="17"/>
      <c r="O1601" s="17"/>
      <c r="P1601" s="40" t="s">
        <v>168</v>
      </c>
      <c r="Q1601" s="17"/>
      <c r="R1601" s="17"/>
      <c r="S1601" s="17"/>
      <c r="T1601" s="17"/>
      <c r="U1601" s="17"/>
      <c r="V1601" s="27"/>
      <c r="Z1601" s="17"/>
      <c r="AA1601" s="29"/>
      <c r="AB1601" s="78" t="s">
        <v>6521</v>
      </c>
      <c r="AC1601" s="17"/>
      <c r="AD1601" s="17"/>
      <c r="AE1601" s="17"/>
      <c r="AF1601" s="47"/>
      <c r="AG1601" s="47"/>
    </row>
    <row r="1602" customFormat="false" ht="15.75" hidden="false" customHeight="false" outlineLevel="0" collapsed="false">
      <c r="A1602" s="12"/>
      <c r="B1602" s="20"/>
      <c r="C1602" s="48" t="s">
        <v>6522</v>
      </c>
      <c r="D1602" s="24"/>
      <c r="E1602" s="49" t="s">
        <v>6523</v>
      </c>
      <c r="F1602" s="49" t="s">
        <v>6524</v>
      </c>
      <c r="G1602" s="17"/>
      <c r="H1602" s="17"/>
      <c r="I1602" s="26" t="s">
        <v>166</v>
      </c>
      <c r="J1602" s="32"/>
      <c r="K1602" s="17"/>
      <c r="L1602" s="38"/>
      <c r="M1602" s="50"/>
      <c r="N1602" s="17"/>
      <c r="O1602" s="17"/>
      <c r="P1602" s="40" t="s">
        <v>168</v>
      </c>
      <c r="Q1602" s="13"/>
      <c r="R1602" s="13"/>
      <c r="S1602" s="13"/>
      <c r="T1602" s="13"/>
      <c r="U1602" s="13"/>
      <c r="V1602" s="116"/>
      <c r="Z1602" s="13"/>
      <c r="AA1602" s="117"/>
      <c r="AB1602" s="50" t="s">
        <v>6525</v>
      </c>
      <c r="AC1602" s="13"/>
      <c r="AD1602" s="13"/>
      <c r="AE1602" s="13"/>
    </row>
    <row r="1603" customFormat="false" ht="15.75" hidden="false" customHeight="false" outlineLevel="0" collapsed="false">
      <c r="A1603" s="12"/>
      <c r="B1603" s="20"/>
      <c r="C1603" s="48" t="s">
        <v>4093</v>
      </c>
      <c r="D1603" s="24"/>
      <c r="E1603" s="49" t="s">
        <v>6526</v>
      </c>
      <c r="F1603" s="49" t="s">
        <v>6527</v>
      </c>
      <c r="G1603" s="17"/>
      <c r="H1603" s="17"/>
      <c r="I1603" s="26" t="s">
        <v>166</v>
      </c>
      <c r="J1603" s="32"/>
      <c r="K1603" s="17"/>
      <c r="L1603" s="38"/>
      <c r="M1603" s="78"/>
      <c r="N1603" s="17"/>
      <c r="O1603" s="17"/>
      <c r="P1603" s="40" t="s">
        <v>168</v>
      </c>
      <c r="Q1603" s="12"/>
      <c r="R1603" s="12"/>
      <c r="S1603" s="12"/>
      <c r="T1603" s="12"/>
      <c r="U1603" s="12"/>
      <c r="V1603" s="21"/>
      <c r="Z1603" s="12"/>
      <c r="AA1603" s="29"/>
      <c r="AB1603" s="78" t="s">
        <v>6528</v>
      </c>
      <c r="AC1603" s="12"/>
      <c r="AD1603" s="12"/>
      <c r="AE1603" s="12"/>
      <c r="AF1603" s="47"/>
      <c r="AG1603" s="47"/>
    </row>
    <row r="1604" customFormat="false" ht="15.75" hidden="false" customHeight="false" outlineLevel="0" collapsed="false">
      <c r="A1604" s="12"/>
      <c r="B1604" s="54"/>
      <c r="C1604" s="112" t="s">
        <v>6529</v>
      </c>
      <c r="D1604" s="15"/>
      <c r="E1604" s="17"/>
      <c r="F1604" s="17"/>
      <c r="G1604" s="17"/>
      <c r="H1604" s="32"/>
      <c r="I1604" s="26" t="s">
        <v>886</v>
      </c>
      <c r="J1604" s="32"/>
      <c r="K1604" s="17"/>
      <c r="L1604" s="38"/>
      <c r="M1604" s="27"/>
      <c r="N1604" s="17"/>
      <c r="O1604" s="17"/>
      <c r="P1604" s="40" t="s">
        <v>3671</v>
      </c>
      <c r="Q1604" s="17"/>
      <c r="R1604" s="17"/>
      <c r="S1604" s="17"/>
      <c r="T1604" s="17"/>
      <c r="U1604" s="17"/>
      <c r="V1604" s="27"/>
      <c r="Z1604" s="17"/>
      <c r="AA1604" s="29"/>
      <c r="AB1604" s="84"/>
      <c r="AC1604" s="17"/>
      <c r="AD1604" s="17"/>
      <c r="AE1604" s="17"/>
    </row>
    <row r="1605" customFormat="false" ht="15.75" hidden="false" customHeight="false" outlineLevel="0" collapsed="false">
      <c r="A1605" s="12"/>
      <c r="B1605" s="54"/>
      <c r="C1605" s="55" t="s">
        <v>4064</v>
      </c>
      <c r="D1605" s="15"/>
      <c r="E1605" s="16" t="s">
        <v>6530</v>
      </c>
      <c r="F1605" s="15" t="s">
        <v>6531</v>
      </c>
      <c r="G1605" s="15"/>
      <c r="H1605" s="15"/>
      <c r="I1605" s="26" t="s">
        <v>209</v>
      </c>
      <c r="J1605" s="32"/>
      <c r="K1605" s="15" t="n">
        <v>2011</v>
      </c>
      <c r="L1605" s="38"/>
      <c r="M1605" s="70"/>
      <c r="N1605" s="17"/>
      <c r="O1605" s="17"/>
      <c r="P1605" s="19" t="s">
        <v>39</v>
      </c>
      <c r="Q1605" s="17"/>
      <c r="R1605" s="17" t="s">
        <v>6532</v>
      </c>
      <c r="S1605" s="17"/>
      <c r="T1605" s="17" t="s">
        <v>6533</v>
      </c>
      <c r="U1605" s="17"/>
      <c r="V1605" s="21" t="s">
        <v>31</v>
      </c>
      <c r="Z1605" s="17"/>
      <c r="AA1605" s="29"/>
      <c r="AB1605" s="84"/>
      <c r="AC1605" s="17"/>
      <c r="AD1605" s="17"/>
      <c r="AE1605" s="17"/>
    </row>
    <row r="1606" customFormat="false" ht="15.75" hidden="false" customHeight="false" outlineLevel="0" collapsed="false">
      <c r="A1606" s="12"/>
      <c r="B1606" s="20"/>
      <c r="C1606" s="48" t="s">
        <v>6534</v>
      </c>
      <c r="D1606" s="24"/>
      <c r="E1606" s="49" t="s">
        <v>6535</v>
      </c>
      <c r="F1606" s="49" t="s">
        <v>6536</v>
      </c>
      <c r="G1606" s="17"/>
      <c r="H1606" s="17"/>
      <c r="I1606" s="26" t="s">
        <v>166</v>
      </c>
      <c r="J1606" s="32"/>
      <c r="K1606" s="17"/>
      <c r="L1606" s="38"/>
      <c r="M1606" s="50"/>
      <c r="N1606" s="17"/>
      <c r="O1606" s="17"/>
      <c r="P1606" s="40" t="s">
        <v>168</v>
      </c>
      <c r="Q1606" s="12"/>
      <c r="R1606" s="12"/>
      <c r="S1606" s="12"/>
      <c r="T1606" s="12"/>
      <c r="U1606" s="12"/>
      <c r="V1606" s="21"/>
      <c r="Z1606" s="12"/>
      <c r="AA1606" s="29"/>
      <c r="AB1606" s="50" t="s">
        <v>6537</v>
      </c>
      <c r="AC1606" s="12"/>
      <c r="AD1606" s="12"/>
      <c r="AE1606" s="12"/>
      <c r="AF1606" s="47"/>
      <c r="AG1606" s="47"/>
    </row>
    <row r="1607" customFormat="false" ht="15.75" hidden="false" customHeight="false" outlineLevel="0" collapsed="false">
      <c r="A1607" s="12"/>
      <c r="B1607" s="20"/>
      <c r="C1607" s="48" t="s">
        <v>6538</v>
      </c>
      <c r="D1607" s="24"/>
      <c r="E1607" s="49" t="s">
        <v>6539</v>
      </c>
      <c r="F1607" s="49" t="s">
        <v>6540</v>
      </c>
      <c r="G1607" s="17"/>
      <c r="H1607" s="17"/>
      <c r="I1607" s="26" t="s">
        <v>166</v>
      </c>
      <c r="J1607" s="32"/>
      <c r="K1607" s="17"/>
      <c r="L1607" s="38"/>
      <c r="M1607" s="78"/>
      <c r="N1607" s="17"/>
      <c r="O1607" s="17"/>
      <c r="P1607" s="40" t="s">
        <v>168</v>
      </c>
      <c r="Q1607" s="20"/>
      <c r="R1607" s="20"/>
      <c r="S1607" s="20"/>
      <c r="T1607" s="20"/>
      <c r="U1607" s="20"/>
      <c r="V1607" s="45"/>
      <c r="Z1607" s="20"/>
      <c r="AA1607" s="22"/>
      <c r="AB1607" s="78" t="s">
        <v>6541</v>
      </c>
      <c r="AC1607" s="20"/>
      <c r="AD1607" s="20"/>
      <c r="AE1607" s="20"/>
      <c r="AG1607" s="47"/>
    </row>
    <row r="1608" customFormat="false" ht="15.75" hidden="false" customHeight="false" outlineLevel="0" collapsed="false">
      <c r="A1608" s="12"/>
      <c r="B1608" s="20"/>
      <c r="C1608" s="48" t="s">
        <v>6542</v>
      </c>
      <c r="D1608" s="24"/>
      <c r="E1608" s="49" t="s">
        <v>6543</v>
      </c>
      <c r="F1608" s="49" t="s">
        <v>6544</v>
      </c>
      <c r="G1608" s="17"/>
      <c r="H1608" s="17"/>
      <c r="I1608" s="26" t="s">
        <v>166</v>
      </c>
      <c r="J1608" s="32"/>
      <c r="K1608" s="17"/>
      <c r="L1608" s="38"/>
      <c r="M1608" s="50"/>
      <c r="N1608" s="17"/>
      <c r="O1608" s="17"/>
      <c r="P1608" s="40" t="s">
        <v>168</v>
      </c>
      <c r="Q1608" s="20"/>
      <c r="R1608" s="20"/>
      <c r="S1608" s="20"/>
      <c r="T1608" s="20"/>
      <c r="U1608" s="20"/>
      <c r="V1608" s="45"/>
      <c r="Z1608" s="20"/>
      <c r="AA1608" s="22"/>
      <c r="AB1608" s="50" t="s">
        <v>6545</v>
      </c>
      <c r="AC1608" s="20"/>
      <c r="AD1608" s="20"/>
      <c r="AE1608" s="20"/>
      <c r="AG1608" s="47"/>
    </row>
    <row r="1609" customFormat="false" ht="15.75" hidden="false" customHeight="false" outlineLevel="0" collapsed="false">
      <c r="A1609" s="12"/>
      <c r="B1609" s="20"/>
      <c r="C1609" s="48" t="s">
        <v>6546</v>
      </c>
      <c r="D1609" s="24"/>
      <c r="E1609" s="49" t="s">
        <v>1803</v>
      </c>
      <c r="F1609" s="49" t="s">
        <v>6547</v>
      </c>
      <c r="G1609" s="17"/>
      <c r="H1609" s="17"/>
      <c r="I1609" s="26" t="s">
        <v>166</v>
      </c>
      <c r="J1609" s="32"/>
      <c r="K1609" s="17"/>
      <c r="L1609" s="38"/>
      <c r="M1609" s="50"/>
      <c r="N1609" s="17"/>
      <c r="O1609" s="17"/>
      <c r="P1609" s="40" t="s">
        <v>168</v>
      </c>
      <c r="Q1609" s="12"/>
      <c r="R1609" s="12"/>
      <c r="S1609" s="12"/>
      <c r="T1609" s="12"/>
      <c r="U1609" s="12"/>
      <c r="V1609" s="21"/>
      <c r="Z1609" s="12"/>
      <c r="AA1609" s="29"/>
      <c r="AB1609" s="50" t="s">
        <v>6548</v>
      </c>
      <c r="AC1609" s="12"/>
      <c r="AD1609" s="12"/>
      <c r="AE1609" s="12"/>
      <c r="AF1609" s="47"/>
      <c r="AG1609" s="47"/>
    </row>
    <row r="1610" customFormat="false" ht="15.75" hidden="false" customHeight="false" outlineLevel="0" collapsed="false">
      <c r="A1610" s="12"/>
      <c r="B1610" s="20"/>
      <c r="C1610" s="48" t="s">
        <v>6549</v>
      </c>
      <c r="D1610" s="24"/>
      <c r="E1610" s="49" t="s">
        <v>6550</v>
      </c>
      <c r="F1610" s="49" t="s">
        <v>6551</v>
      </c>
      <c r="G1610" s="17"/>
      <c r="H1610" s="17"/>
      <c r="I1610" s="26" t="s">
        <v>166</v>
      </c>
      <c r="J1610" s="32"/>
      <c r="K1610" s="17"/>
      <c r="L1610" s="38"/>
      <c r="M1610" s="50"/>
      <c r="N1610" s="17"/>
      <c r="O1610" s="17"/>
      <c r="P1610" s="40" t="s">
        <v>168</v>
      </c>
      <c r="Q1610" s="12"/>
      <c r="R1610" s="12"/>
      <c r="S1610" s="12"/>
      <c r="T1610" s="12"/>
      <c r="U1610" s="12"/>
      <c r="V1610" s="21"/>
      <c r="Z1610" s="12"/>
      <c r="AA1610" s="29"/>
      <c r="AB1610" s="50" t="s">
        <v>6552</v>
      </c>
      <c r="AC1610" s="12"/>
      <c r="AD1610" s="12"/>
      <c r="AE1610" s="12"/>
      <c r="AG1610" s="47"/>
    </row>
    <row r="1611" customFormat="false" ht="15.75" hidden="false" customHeight="false" outlineLevel="0" collapsed="false">
      <c r="A1611" s="12"/>
      <c r="B1611" s="20"/>
      <c r="C1611" s="48" t="s">
        <v>6553</v>
      </c>
      <c r="D1611" s="24"/>
      <c r="E1611" s="49" t="s">
        <v>6554</v>
      </c>
      <c r="F1611" s="49" t="s">
        <v>6555</v>
      </c>
      <c r="G1611" s="17"/>
      <c r="H1611" s="17"/>
      <c r="I1611" s="26" t="s">
        <v>166</v>
      </c>
      <c r="J1611" s="32"/>
      <c r="K1611" s="17"/>
      <c r="L1611" s="38"/>
      <c r="M1611" s="50"/>
      <c r="N1611" s="17"/>
      <c r="O1611" s="17"/>
      <c r="P1611" s="40" t="s">
        <v>168</v>
      </c>
      <c r="Q1611" s="20"/>
      <c r="R1611" s="20"/>
      <c r="S1611" s="20"/>
      <c r="T1611" s="20"/>
      <c r="U1611" s="20"/>
      <c r="V1611" s="45"/>
      <c r="Z1611" s="20"/>
      <c r="AA1611" s="22"/>
      <c r="AB1611" s="50" t="s">
        <v>6556</v>
      </c>
      <c r="AC1611" s="20"/>
      <c r="AD1611" s="20"/>
      <c r="AE1611" s="20"/>
      <c r="AF1611" s="47"/>
      <c r="AG1611" s="47"/>
    </row>
    <row r="1612" customFormat="false" ht="15.75" hidden="false" customHeight="false" outlineLevel="0" collapsed="false">
      <c r="A1612" s="12"/>
      <c r="B1612" s="12"/>
      <c r="C1612" s="23" t="s">
        <v>6557</v>
      </c>
      <c r="D1612" s="24"/>
      <c r="E1612" s="17"/>
      <c r="F1612" s="17"/>
      <c r="G1612" s="17"/>
      <c r="H1612" s="17"/>
      <c r="I1612" s="17"/>
      <c r="J1612" s="32"/>
      <c r="K1612" s="17"/>
      <c r="L1612" s="38"/>
      <c r="M1612" s="27"/>
      <c r="N1612" s="17"/>
      <c r="O1612" s="17"/>
      <c r="P1612" s="40"/>
      <c r="Q1612" s="12"/>
      <c r="R1612" s="12"/>
      <c r="S1612" s="12"/>
      <c r="T1612" s="12"/>
      <c r="U1612" s="12"/>
      <c r="V1612" s="21"/>
      <c r="Z1612" s="12"/>
      <c r="AA1612" s="29"/>
      <c r="AB1612" s="84"/>
      <c r="AC1612" s="12"/>
      <c r="AD1612" s="12"/>
      <c r="AE1612" s="12"/>
    </row>
    <row r="1613" customFormat="false" ht="15.75" hidden="false" customHeight="false" outlineLevel="0" collapsed="false">
      <c r="A1613" s="12"/>
      <c r="B1613" s="20"/>
      <c r="C1613" s="48" t="s">
        <v>6558</v>
      </c>
      <c r="D1613" s="24"/>
      <c r="E1613" s="49" t="s">
        <v>6559</v>
      </c>
      <c r="F1613" s="49" t="s">
        <v>6560</v>
      </c>
      <c r="G1613" s="17"/>
      <c r="H1613" s="17"/>
      <c r="I1613" s="26" t="s">
        <v>166</v>
      </c>
      <c r="J1613" s="32"/>
      <c r="K1613" s="17"/>
      <c r="L1613" s="38"/>
      <c r="M1613" s="50"/>
      <c r="N1613" s="17"/>
      <c r="O1613" s="17"/>
      <c r="P1613" s="40" t="s">
        <v>168</v>
      </c>
      <c r="Q1613" s="12"/>
      <c r="R1613" s="12"/>
      <c r="S1613" s="12"/>
      <c r="T1613" s="12"/>
      <c r="U1613" s="12"/>
      <c r="V1613" s="21"/>
      <c r="Z1613" s="12"/>
      <c r="AA1613" s="29"/>
      <c r="AB1613" s="50" t="s">
        <v>6561</v>
      </c>
      <c r="AC1613" s="12"/>
      <c r="AD1613" s="12"/>
      <c r="AE1613" s="12"/>
    </row>
    <row r="1614" customFormat="false" ht="15.75" hidden="false" customHeight="false" outlineLevel="0" collapsed="false">
      <c r="A1614" s="12"/>
      <c r="B1614" s="20"/>
      <c r="C1614" s="48" t="s">
        <v>6562</v>
      </c>
      <c r="D1614" s="24"/>
      <c r="E1614" s="49" t="s">
        <v>6563</v>
      </c>
      <c r="F1614" s="49" t="s">
        <v>6564</v>
      </c>
      <c r="G1614" s="17"/>
      <c r="H1614" s="17"/>
      <c r="I1614" s="26" t="s">
        <v>166</v>
      </c>
      <c r="J1614" s="32"/>
      <c r="K1614" s="17"/>
      <c r="L1614" s="38"/>
      <c r="M1614" s="50"/>
      <c r="N1614" s="17"/>
      <c r="O1614" s="17"/>
      <c r="P1614" s="40" t="s">
        <v>168</v>
      </c>
      <c r="Q1614" s="12"/>
      <c r="R1614" s="12"/>
      <c r="S1614" s="12"/>
      <c r="T1614" s="12"/>
      <c r="U1614" s="12"/>
      <c r="V1614" s="21"/>
      <c r="Z1614" s="12"/>
      <c r="AA1614" s="29"/>
      <c r="AB1614" s="50" t="s">
        <v>6565</v>
      </c>
      <c r="AC1614" s="12"/>
      <c r="AD1614" s="12"/>
      <c r="AE1614" s="12"/>
      <c r="AF1614" s="47"/>
      <c r="AG1614" s="47"/>
    </row>
    <row r="1615" customFormat="false" ht="15.75" hidden="false" customHeight="false" outlineLevel="0" collapsed="false">
      <c r="A1615" s="12"/>
      <c r="B1615" s="20"/>
      <c r="C1615" s="48" t="s">
        <v>6566</v>
      </c>
      <c r="D1615" s="24"/>
      <c r="E1615" s="49" t="s">
        <v>6567</v>
      </c>
      <c r="F1615" s="49" t="s">
        <v>6568</v>
      </c>
      <c r="G1615" s="17"/>
      <c r="H1615" s="17"/>
      <c r="I1615" s="26" t="s">
        <v>166</v>
      </c>
      <c r="J1615" s="32"/>
      <c r="K1615" s="17"/>
      <c r="L1615" s="38"/>
      <c r="M1615" s="50"/>
      <c r="N1615" s="17"/>
      <c r="O1615" s="17"/>
      <c r="P1615" s="40" t="s">
        <v>168</v>
      </c>
      <c r="Q1615" s="12"/>
      <c r="R1615" s="12"/>
      <c r="S1615" s="12"/>
      <c r="T1615" s="12"/>
      <c r="U1615" s="12"/>
      <c r="V1615" s="21"/>
      <c r="Z1615" s="12"/>
      <c r="AA1615" s="29"/>
      <c r="AB1615" s="50" t="s">
        <v>6569</v>
      </c>
      <c r="AC1615" s="12"/>
      <c r="AD1615" s="12"/>
      <c r="AE1615" s="12"/>
      <c r="AG1615" s="47"/>
    </row>
    <row r="1616" customFormat="false" ht="15.75" hidden="false" customHeight="false" outlineLevel="0" collapsed="false">
      <c r="A1616" s="12"/>
      <c r="B1616" s="12"/>
      <c r="C1616" s="23" t="s">
        <v>6570</v>
      </c>
      <c r="D1616" s="24"/>
      <c r="E1616" s="25" t="s">
        <v>6571</v>
      </c>
      <c r="F1616" s="17" t="s">
        <v>6572</v>
      </c>
      <c r="G1616" s="17" t="s">
        <v>4858</v>
      </c>
      <c r="H1616" s="17"/>
      <c r="I1616" s="26" t="s">
        <v>82</v>
      </c>
      <c r="J1616" s="32"/>
      <c r="K1616" s="17"/>
      <c r="L1616" s="38"/>
      <c r="M1616" s="27"/>
      <c r="N1616" s="17"/>
      <c r="O1616" s="17"/>
      <c r="P1616" s="40" t="s">
        <v>638</v>
      </c>
      <c r="Q1616" s="20"/>
      <c r="R1616" s="20" t="s">
        <v>6573</v>
      </c>
      <c r="S1616" s="20"/>
      <c r="T1616" s="20"/>
      <c r="U1616" s="20"/>
      <c r="V1616" s="45"/>
      <c r="Z1616" s="20"/>
      <c r="AA1616" s="22"/>
      <c r="AB1616" s="84"/>
      <c r="AC1616" s="20"/>
      <c r="AD1616" s="20"/>
      <c r="AE1616" s="20"/>
    </row>
    <row r="1617" customFormat="false" ht="15.75" hidden="false" customHeight="false" outlineLevel="0" collapsed="false">
      <c r="A1617" s="12"/>
      <c r="B1617" s="20"/>
      <c r="C1617" s="48" t="s">
        <v>6574</v>
      </c>
      <c r="D1617" s="24"/>
      <c r="E1617" s="49" t="s">
        <v>6575</v>
      </c>
      <c r="F1617" s="49" t="s">
        <v>6576</v>
      </c>
      <c r="G1617" s="17"/>
      <c r="H1617" s="17"/>
      <c r="I1617" s="26" t="s">
        <v>166</v>
      </c>
      <c r="J1617" s="32"/>
      <c r="K1617" s="17"/>
      <c r="L1617" s="38"/>
      <c r="M1617" s="46"/>
      <c r="N1617" s="17"/>
      <c r="O1617" s="17"/>
      <c r="P1617" s="40" t="s">
        <v>168</v>
      </c>
      <c r="Q1617" s="17"/>
      <c r="R1617" s="17"/>
      <c r="S1617" s="17"/>
      <c r="T1617" s="17"/>
      <c r="U1617" s="17"/>
      <c r="V1617" s="27"/>
      <c r="Z1617" s="17"/>
      <c r="AA1617" s="29"/>
      <c r="AB1617" s="46" t="s">
        <v>5949</v>
      </c>
      <c r="AC1617" s="17"/>
      <c r="AD1617" s="17"/>
      <c r="AE1617" s="17"/>
      <c r="AG1617" s="47"/>
    </row>
    <row r="1618" customFormat="false" ht="15.75" hidden="false" customHeight="false" outlineLevel="0" collapsed="false">
      <c r="A1618" s="12"/>
      <c r="B1618" s="20"/>
      <c r="C1618" s="48" t="s">
        <v>6577</v>
      </c>
      <c r="D1618" s="24"/>
      <c r="E1618" s="49" t="s">
        <v>6578</v>
      </c>
      <c r="F1618" s="49" t="s">
        <v>6579</v>
      </c>
      <c r="G1618" s="17"/>
      <c r="H1618" s="17"/>
      <c r="I1618" s="26" t="s">
        <v>166</v>
      </c>
      <c r="J1618" s="32"/>
      <c r="K1618" s="17"/>
      <c r="L1618" s="38"/>
      <c r="M1618" s="50"/>
      <c r="N1618" s="17"/>
      <c r="O1618" s="17"/>
      <c r="P1618" s="40" t="s">
        <v>168</v>
      </c>
      <c r="Q1618" s="12"/>
      <c r="R1618" s="12"/>
      <c r="S1618" s="12"/>
      <c r="T1618" s="12"/>
      <c r="U1618" s="12"/>
      <c r="V1618" s="21"/>
      <c r="Z1618" s="12"/>
      <c r="AA1618" s="29"/>
      <c r="AB1618" s="50" t="s">
        <v>6580</v>
      </c>
      <c r="AC1618" s="12"/>
      <c r="AD1618" s="12"/>
      <c r="AE1618" s="12"/>
      <c r="AG1618" s="47"/>
    </row>
    <row r="1619" customFormat="false" ht="15.75" hidden="false" customHeight="false" outlineLevel="0" collapsed="false">
      <c r="A1619" s="12"/>
      <c r="B1619" s="20"/>
      <c r="C1619" s="48" t="s">
        <v>6581</v>
      </c>
      <c r="D1619" s="24"/>
      <c r="E1619" s="49" t="s">
        <v>6582</v>
      </c>
      <c r="F1619" s="49" t="s">
        <v>6583</v>
      </c>
      <c r="G1619" s="17"/>
      <c r="H1619" s="17"/>
      <c r="I1619" s="26" t="s">
        <v>166</v>
      </c>
      <c r="J1619" s="32"/>
      <c r="K1619" s="17"/>
      <c r="L1619" s="38"/>
      <c r="M1619" s="50"/>
      <c r="N1619" s="17"/>
      <c r="O1619" s="17"/>
      <c r="P1619" s="40" t="s">
        <v>168</v>
      </c>
      <c r="Q1619" s="20"/>
      <c r="R1619" s="20"/>
      <c r="S1619" s="20"/>
      <c r="T1619" s="20"/>
      <c r="U1619" s="20"/>
      <c r="V1619" s="45"/>
      <c r="Z1619" s="20"/>
      <c r="AA1619" s="22"/>
      <c r="AB1619" s="50" t="s">
        <v>6584</v>
      </c>
      <c r="AC1619" s="20"/>
      <c r="AD1619" s="20"/>
      <c r="AE1619" s="20"/>
      <c r="AG1619" s="47"/>
    </row>
    <row r="1620" customFormat="false" ht="15.75" hidden="false" customHeight="false" outlineLevel="0" collapsed="false">
      <c r="A1620" s="12"/>
      <c r="B1620" s="20"/>
      <c r="C1620" s="48" t="s">
        <v>6585</v>
      </c>
      <c r="D1620" s="24"/>
      <c r="E1620" s="49" t="s">
        <v>6586</v>
      </c>
      <c r="F1620" s="49" t="s">
        <v>6587</v>
      </c>
      <c r="G1620" s="17"/>
      <c r="H1620" s="17"/>
      <c r="I1620" s="26" t="s">
        <v>166</v>
      </c>
      <c r="J1620" s="32"/>
      <c r="K1620" s="17"/>
      <c r="L1620" s="38"/>
      <c r="M1620" s="46"/>
      <c r="N1620" s="17"/>
      <c r="O1620" s="17"/>
      <c r="P1620" s="40" t="s">
        <v>168</v>
      </c>
      <c r="Q1620" s="12"/>
      <c r="R1620" s="12"/>
      <c r="S1620" s="12"/>
      <c r="T1620" s="12"/>
      <c r="U1620" s="12"/>
      <c r="V1620" s="21"/>
      <c r="Z1620" s="12"/>
      <c r="AA1620" s="29"/>
      <c r="AB1620" s="46" t="s">
        <v>5949</v>
      </c>
      <c r="AC1620" s="12"/>
      <c r="AD1620" s="12"/>
      <c r="AE1620" s="12"/>
      <c r="AF1620" s="47"/>
      <c r="AG1620" s="47"/>
    </row>
    <row r="1621" customFormat="false" ht="15.75" hidden="false" customHeight="false" outlineLevel="0" collapsed="false">
      <c r="A1621" s="12"/>
      <c r="B1621" s="20"/>
      <c r="C1621" s="48" t="s">
        <v>6588</v>
      </c>
      <c r="D1621" s="24"/>
      <c r="E1621" s="49" t="s">
        <v>6589</v>
      </c>
      <c r="F1621" s="49" t="s">
        <v>6590</v>
      </c>
      <c r="G1621" s="17"/>
      <c r="H1621" s="17"/>
      <c r="I1621" s="26" t="s">
        <v>166</v>
      </c>
      <c r="J1621" s="32"/>
      <c r="K1621" s="17"/>
      <c r="L1621" s="38"/>
      <c r="M1621" s="50"/>
      <c r="N1621" s="17"/>
      <c r="O1621" s="17"/>
      <c r="P1621" s="40" t="s">
        <v>168</v>
      </c>
      <c r="Q1621" s="12"/>
      <c r="R1621" s="12"/>
      <c r="S1621" s="12"/>
      <c r="T1621" s="12"/>
      <c r="U1621" s="12"/>
      <c r="V1621" s="21"/>
      <c r="Z1621" s="12"/>
      <c r="AA1621" s="29"/>
      <c r="AB1621" s="50" t="s">
        <v>6591</v>
      </c>
      <c r="AC1621" s="12"/>
      <c r="AD1621" s="12"/>
      <c r="AE1621" s="12"/>
      <c r="AG1621" s="47"/>
    </row>
    <row r="1622" customFormat="false" ht="15.75" hidden="false" customHeight="false" outlineLevel="0" collapsed="false">
      <c r="A1622" s="12"/>
      <c r="B1622" s="13"/>
      <c r="C1622" s="14" t="s">
        <v>6592</v>
      </c>
      <c r="D1622" s="24"/>
      <c r="E1622" s="16" t="s">
        <v>6593</v>
      </c>
      <c r="F1622" s="16" t="s">
        <v>6594</v>
      </c>
      <c r="G1622" s="17"/>
      <c r="H1622" s="17"/>
      <c r="I1622" s="26" t="s">
        <v>166</v>
      </c>
      <c r="J1622" s="32"/>
      <c r="K1622" s="17"/>
      <c r="L1622" s="38"/>
      <c r="M1622" s="46"/>
      <c r="N1622" s="17"/>
      <c r="O1622" s="17"/>
      <c r="P1622" s="40" t="s">
        <v>168</v>
      </c>
      <c r="Q1622" s="20"/>
      <c r="R1622" s="20"/>
      <c r="S1622" s="20"/>
      <c r="T1622" s="20"/>
      <c r="U1622" s="20"/>
      <c r="V1622" s="45"/>
      <c r="Z1622" s="20"/>
      <c r="AA1622" s="22"/>
      <c r="AB1622" s="46" t="s">
        <v>5949</v>
      </c>
      <c r="AC1622" s="20"/>
      <c r="AD1622" s="20"/>
      <c r="AE1622" s="20"/>
      <c r="AG1622" s="47"/>
    </row>
    <row r="1623" customFormat="false" ht="15.75" hidden="false" customHeight="false" outlineLevel="0" collapsed="false">
      <c r="A1623" s="12"/>
      <c r="B1623" s="13"/>
      <c r="C1623" s="14" t="s">
        <v>6595</v>
      </c>
      <c r="D1623" s="24"/>
      <c r="E1623" s="16" t="s">
        <v>6596</v>
      </c>
      <c r="F1623" s="16" t="s">
        <v>6597</v>
      </c>
      <c r="G1623" s="17"/>
      <c r="H1623" s="17"/>
      <c r="I1623" s="26" t="s">
        <v>166</v>
      </c>
      <c r="J1623" s="32"/>
      <c r="K1623" s="17"/>
      <c r="L1623" s="38"/>
      <c r="M1623" s="46"/>
      <c r="N1623" s="17"/>
      <c r="O1623" s="17"/>
      <c r="P1623" s="40" t="s">
        <v>168</v>
      </c>
      <c r="Q1623" s="12"/>
      <c r="R1623" s="12"/>
      <c r="S1623" s="12"/>
      <c r="T1623" s="12"/>
      <c r="U1623" s="12"/>
      <c r="V1623" s="21"/>
      <c r="Z1623" s="12"/>
      <c r="AA1623" s="29"/>
      <c r="AB1623" s="46" t="s">
        <v>5949</v>
      </c>
      <c r="AC1623" s="12"/>
      <c r="AD1623" s="12"/>
      <c r="AE1623" s="12"/>
      <c r="AF1623" s="47"/>
      <c r="AG1623" s="47"/>
    </row>
    <row r="1624" customFormat="false" ht="15.75" hidden="false" customHeight="false" outlineLevel="0" collapsed="false">
      <c r="A1624" s="12"/>
      <c r="B1624" s="13"/>
      <c r="C1624" s="14" t="s">
        <v>6598</v>
      </c>
      <c r="D1624" s="24"/>
      <c r="E1624" s="16" t="s">
        <v>6599</v>
      </c>
      <c r="F1624" s="16" t="s">
        <v>6600</v>
      </c>
      <c r="G1624" s="17"/>
      <c r="H1624" s="17"/>
      <c r="I1624" s="26" t="s">
        <v>166</v>
      </c>
      <c r="J1624" s="32"/>
      <c r="K1624" s="17"/>
      <c r="L1624" s="38"/>
      <c r="M1624" s="46"/>
      <c r="N1624" s="17"/>
      <c r="O1624" s="17"/>
      <c r="P1624" s="40" t="s">
        <v>168</v>
      </c>
      <c r="Q1624" s="20"/>
      <c r="R1624" s="20"/>
      <c r="S1624" s="20"/>
      <c r="T1624" s="20"/>
      <c r="U1624" s="20"/>
      <c r="V1624" s="45"/>
      <c r="Z1624" s="20"/>
      <c r="AA1624" s="22"/>
      <c r="AB1624" s="46" t="s">
        <v>5949</v>
      </c>
      <c r="AC1624" s="20"/>
      <c r="AD1624" s="20"/>
      <c r="AE1624" s="20"/>
      <c r="AG1624" s="47"/>
    </row>
    <row r="1625" customFormat="false" ht="15.75" hidden="false" customHeight="false" outlineLevel="0" collapsed="false">
      <c r="A1625" s="12"/>
      <c r="B1625" s="20"/>
      <c r="C1625" s="48" t="s">
        <v>6601</v>
      </c>
      <c r="D1625" s="24"/>
      <c r="E1625" s="49" t="s">
        <v>6602</v>
      </c>
      <c r="F1625" s="49" t="s">
        <v>6603</v>
      </c>
      <c r="G1625" s="17"/>
      <c r="H1625" s="17"/>
      <c r="I1625" s="26" t="s">
        <v>166</v>
      </c>
      <c r="J1625" s="32"/>
      <c r="K1625" s="17"/>
      <c r="L1625" s="38"/>
      <c r="M1625" s="50"/>
      <c r="N1625" s="17"/>
      <c r="O1625" s="17"/>
      <c r="P1625" s="40" t="s">
        <v>168</v>
      </c>
      <c r="Q1625" s="12"/>
      <c r="R1625" s="12"/>
      <c r="S1625" s="12"/>
      <c r="T1625" s="12"/>
      <c r="U1625" s="12"/>
      <c r="V1625" s="21"/>
      <c r="Z1625" s="12"/>
      <c r="AA1625" s="29"/>
      <c r="AB1625" s="50" t="s">
        <v>6002</v>
      </c>
      <c r="AC1625" s="12"/>
      <c r="AD1625" s="12"/>
      <c r="AE1625" s="12"/>
      <c r="AF1625" s="47"/>
      <c r="AG1625" s="47"/>
    </row>
    <row r="1626" customFormat="false" ht="15.75" hidden="false" customHeight="false" outlineLevel="0" collapsed="false">
      <c r="A1626" s="12"/>
      <c r="B1626" s="54"/>
      <c r="C1626" s="112" t="s">
        <v>6604</v>
      </c>
      <c r="D1626" s="15"/>
      <c r="E1626" s="17"/>
      <c r="F1626" s="17"/>
      <c r="G1626" s="17"/>
      <c r="H1626" s="32"/>
      <c r="I1626" s="17" t="s">
        <v>36</v>
      </c>
      <c r="J1626" s="32"/>
      <c r="K1626" s="17"/>
      <c r="L1626" s="38"/>
      <c r="M1626" s="27"/>
      <c r="N1626" s="17"/>
      <c r="O1626" s="17"/>
      <c r="P1626" s="40" t="s">
        <v>3671</v>
      </c>
      <c r="Q1626" s="12"/>
      <c r="R1626" s="12"/>
      <c r="S1626" s="12"/>
      <c r="T1626" s="12"/>
      <c r="U1626" s="12"/>
      <c r="V1626" s="21"/>
      <c r="Z1626" s="12"/>
      <c r="AA1626" s="29"/>
      <c r="AB1626" s="84"/>
      <c r="AC1626" s="12"/>
      <c r="AD1626" s="12"/>
      <c r="AE1626" s="12"/>
    </row>
    <row r="1627" customFormat="false" ht="15.75" hidden="false" customHeight="false" outlineLevel="0" collapsed="false">
      <c r="A1627" s="12"/>
      <c r="B1627" s="13"/>
      <c r="C1627" s="14" t="s">
        <v>6605</v>
      </c>
      <c r="D1627" s="24"/>
      <c r="E1627" s="16" t="s">
        <v>6606</v>
      </c>
      <c r="F1627" s="16" t="s">
        <v>6607</v>
      </c>
      <c r="G1627" s="17"/>
      <c r="H1627" s="17"/>
      <c r="I1627" s="26" t="s">
        <v>166</v>
      </c>
      <c r="J1627" s="32"/>
      <c r="K1627" s="17"/>
      <c r="L1627" s="38"/>
      <c r="M1627" s="46"/>
      <c r="N1627" s="17"/>
      <c r="O1627" s="17"/>
      <c r="P1627" s="40" t="s">
        <v>168</v>
      </c>
      <c r="Q1627" s="20"/>
      <c r="R1627" s="20"/>
      <c r="S1627" s="20"/>
      <c r="T1627" s="20"/>
      <c r="U1627" s="20"/>
      <c r="V1627" s="45"/>
      <c r="Z1627" s="20"/>
      <c r="AA1627" s="22"/>
      <c r="AB1627" s="46" t="s">
        <v>5949</v>
      </c>
      <c r="AC1627" s="20"/>
      <c r="AD1627" s="20"/>
      <c r="AE1627" s="20"/>
      <c r="AF1627" s="47"/>
      <c r="AG1627" s="47"/>
    </row>
    <row r="1628" customFormat="false" ht="15.75" hidden="false" customHeight="false" outlineLevel="0" collapsed="false">
      <c r="A1628" s="12"/>
      <c r="B1628" s="20"/>
      <c r="C1628" s="48" t="s">
        <v>6608</v>
      </c>
      <c r="D1628" s="24"/>
      <c r="E1628" s="49" t="s">
        <v>6609</v>
      </c>
      <c r="F1628" s="49" t="s">
        <v>6610</v>
      </c>
      <c r="G1628" s="17"/>
      <c r="H1628" s="17"/>
      <c r="I1628" s="26" t="s">
        <v>166</v>
      </c>
      <c r="J1628" s="32"/>
      <c r="K1628" s="17"/>
      <c r="L1628" s="38"/>
      <c r="M1628" s="50"/>
      <c r="N1628" s="17"/>
      <c r="O1628" s="17"/>
      <c r="P1628" s="40" t="s">
        <v>168</v>
      </c>
      <c r="Q1628" s="12"/>
      <c r="R1628" s="12"/>
      <c r="S1628" s="12"/>
      <c r="T1628" s="12"/>
      <c r="U1628" s="12"/>
      <c r="V1628" s="21"/>
      <c r="Z1628" s="12"/>
      <c r="AA1628" s="29"/>
      <c r="AB1628" s="50" t="s">
        <v>6611</v>
      </c>
      <c r="AC1628" s="12"/>
      <c r="AD1628" s="12"/>
      <c r="AE1628" s="12"/>
      <c r="AF1628" s="47"/>
      <c r="AG1628" s="47"/>
    </row>
    <row r="1629" customFormat="false" ht="15.75" hidden="false" customHeight="false" outlineLevel="0" collapsed="false">
      <c r="A1629" s="12"/>
      <c r="B1629" s="12"/>
      <c r="C1629" s="23" t="s">
        <v>6612</v>
      </c>
      <c r="D1629" s="24"/>
      <c r="E1629" s="25" t="s">
        <v>6613</v>
      </c>
      <c r="F1629" s="17" t="s">
        <v>6614</v>
      </c>
      <c r="G1629" s="17" t="s">
        <v>4858</v>
      </c>
      <c r="H1629" s="17"/>
      <c r="I1629" s="26" t="s">
        <v>82</v>
      </c>
      <c r="J1629" s="32"/>
      <c r="K1629" s="17"/>
      <c r="L1629" s="38"/>
      <c r="M1629" s="27"/>
      <c r="N1629" s="17"/>
      <c r="O1629" s="17"/>
      <c r="P1629" s="40" t="s">
        <v>638</v>
      </c>
      <c r="Q1629" s="20"/>
      <c r="R1629" s="20" t="s">
        <v>6615</v>
      </c>
      <c r="S1629" s="20"/>
      <c r="T1629" s="20" t="s">
        <v>6616</v>
      </c>
      <c r="U1629" s="20"/>
      <c r="V1629" s="21" t="s">
        <v>31</v>
      </c>
      <c r="Z1629" s="20"/>
      <c r="AA1629" s="22"/>
      <c r="AB1629" s="84"/>
      <c r="AC1629" s="20"/>
      <c r="AD1629" s="20"/>
      <c r="AE1629" s="20"/>
    </row>
    <row r="1630" customFormat="false" ht="15.75" hidden="false" customHeight="false" outlineLevel="0" collapsed="false">
      <c r="A1630" s="12"/>
      <c r="B1630" s="20"/>
      <c r="C1630" s="48" t="s">
        <v>6617</v>
      </c>
      <c r="D1630" s="24"/>
      <c r="E1630" s="49" t="s">
        <v>6617</v>
      </c>
      <c r="F1630" s="49" t="s">
        <v>6618</v>
      </c>
      <c r="G1630" s="17"/>
      <c r="H1630" s="17"/>
      <c r="I1630" s="26" t="s">
        <v>166</v>
      </c>
      <c r="J1630" s="32"/>
      <c r="K1630" s="17"/>
      <c r="L1630" s="38"/>
      <c r="M1630" s="50"/>
      <c r="N1630" s="17"/>
      <c r="O1630" s="17"/>
      <c r="P1630" s="40" t="s">
        <v>168</v>
      </c>
      <c r="Q1630" s="12"/>
      <c r="R1630" s="12"/>
      <c r="S1630" s="12"/>
      <c r="T1630" s="12"/>
      <c r="U1630" s="12"/>
      <c r="V1630" s="21"/>
      <c r="Z1630" s="12"/>
      <c r="AA1630" s="29"/>
      <c r="AB1630" s="50" t="s">
        <v>6619</v>
      </c>
      <c r="AC1630" s="12"/>
      <c r="AD1630" s="12"/>
      <c r="AE1630" s="12"/>
      <c r="AG1630" s="47"/>
    </row>
    <row r="1631" customFormat="false" ht="15.75" hidden="false" customHeight="false" outlineLevel="0" collapsed="false">
      <c r="A1631" s="12"/>
      <c r="B1631" s="13"/>
      <c r="C1631" s="14" t="s">
        <v>6620</v>
      </c>
      <c r="D1631" s="24"/>
      <c r="E1631" s="16" t="s">
        <v>6621</v>
      </c>
      <c r="F1631" s="16" t="s">
        <v>6622</v>
      </c>
      <c r="G1631" s="17"/>
      <c r="H1631" s="17"/>
      <c r="I1631" s="26" t="s">
        <v>166</v>
      </c>
      <c r="J1631" s="32"/>
      <c r="K1631" s="17"/>
      <c r="L1631" s="38"/>
      <c r="M1631" s="46"/>
      <c r="N1631" s="17"/>
      <c r="O1631" s="17"/>
      <c r="P1631" s="40" t="s">
        <v>168</v>
      </c>
      <c r="Q1631" s="12"/>
      <c r="R1631" s="12"/>
      <c r="S1631" s="12"/>
      <c r="T1631" s="12"/>
      <c r="U1631" s="12"/>
      <c r="V1631" s="21"/>
      <c r="Z1631" s="12"/>
      <c r="AA1631" s="29"/>
      <c r="AB1631" s="46" t="s">
        <v>5949</v>
      </c>
      <c r="AC1631" s="12"/>
      <c r="AD1631" s="12"/>
      <c r="AE1631" s="12"/>
      <c r="AG1631" s="47"/>
    </row>
    <row r="1632" customFormat="false" ht="15.75" hidden="false" customHeight="false" outlineLevel="0" collapsed="false">
      <c r="A1632" s="12"/>
      <c r="B1632" s="20"/>
      <c r="C1632" s="48" t="s">
        <v>6623</v>
      </c>
      <c r="D1632" s="24"/>
      <c r="E1632" s="49" t="s">
        <v>6624</v>
      </c>
      <c r="F1632" s="49" t="s">
        <v>6625</v>
      </c>
      <c r="G1632" s="17"/>
      <c r="H1632" s="17"/>
      <c r="I1632" s="26" t="s">
        <v>166</v>
      </c>
      <c r="J1632" s="32"/>
      <c r="K1632" s="17"/>
      <c r="L1632" s="38"/>
      <c r="M1632" s="50"/>
      <c r="N1632" s="17"/>
      <c r="O1632" s="17"/>
      <c r="P1632" s="40" t="s">
        <v>168</v>
      </c>
      <c r="Q1632" s="12"/>
      <c r="R1632" s="12"/>
      <c r="S1632" s="12"/>
      <c r="T1632" s="12"/>
      <c r="U1632" s="12"/>
      <c r="V1632" s="21"/>
      <c r="Z1632" s="12"/>
      <c r="AA1632" s="29"/>
      <c r="AB1632" s="50" t="s">
        <v>6626</v>
      </c>
      <c r="AC1632" s="12"/>
      <c r="AD1632" s="12"/>
      <c r="AE1632" s="12"/>
      <c r="AG1632" s="47"/>
    </row>
    <row r="1633" customFormat="false" ht="15.75" hidden="false" customHeight="false" outlineLevel="0" collapsed="false">
      <c r="A1633" s="12"/>
      <c r="B1633" s="12"/>
      <c r="C1633" s="23" t="s">
        <v>6627</v>
      </c>
      <c r="D1633" s="24"/>
      <c r="E1633" s="25" t="s">
        <v>6628</v>
      </c>
      <c r="F1633" s="17" t="s">
        <v>6629</v>
      </c>
      <c r="G1633" s="17" t="s">
        <v>1100</v>
      </c>
      <c r="H1633" s="17"/>
      <c r="I1633" s="26" t="s">
        <v>82</v>
      </c>
      <c r="J1633" s="32"/>
      <c r="K1633" s="17"/>
      <c r="L1633" s="38"/>
      <c r="M1633" s="27"/>
      <c r="N1633" s="17"/>
      <c r="O1633" s="17"/>
      <c r="P1633" s="40" t="s">
        <v>638</v>
      </c>
      <c r="Q1633" s="12"/>
      <c r="R1633" s="12" t="s">
        <v>6630</v>
      </c>
      <c r="S1633" s="12"/>
      <c r="T1633" s="12" t="s">
        <v>6631</v>
      </c>
      <c r="U1633" s="12"/>
      <c r="V1633" s="21" t="s">
        <v>31</v>
      </c>
      <c r="Z1633" s="12"/>
      <c r="AA1633" s="29"/>
      <c r="AB1633" s="84"/>
      <c r="AC1633" s="12"/>
      <c r="AD1633" s="12"/>
      <c r="AE1633" s="12"/>
    </row>
    <row r="1634" customFormat="false" ht="15.75" hidden="false" customHeight="false" outlineLevel="0" collapsed="false">
      <c r="A1634" s="12"/>
      <c r="B1634" s="20"/>
      <c r="C1634" s="48" t="s">
        <v>6632</v>
      </c>
      <c r="D1634" s="24"/>
      <c r="E1634" s="49" t="s">
        <v>6633</v>
      </c>
      <c r="F1634" s="49" t="s">
        <v>6634</v>
      </c>
      <c r="G1634" s="17"/>
      <c r="H1634" s="17"/>
      <c r="I1634" s="26" t="s">
        <v>166</v>
      </c>
      <c r="J1634" s="32"/>
      <c r="K1634" s="17"/>
      <c r="L1634" s="38"/>
      <c r="M1634" s="50"/>
      <c r="N1634" s="17"/>
      <c r="O1634" s="17"/>
      <c r="P1634" s="40" t="s">
        <v>168</v>
      </c>
      <c r="Q1634" s="12"/>
      <c r="R1634" s="12"/>
      <c r="S1634" s="12"/>
      <c r="T1634" s="12"/>
      <c r="U1634" s="12"/>
      <c r="V1634" s="21"/>
      <c r="Z1634" s="12"/>
      <c r="AA1634" s="29"/>
      <c r="AB1634" s="50" t="s">
        <v>6635</v>
      </c>
      <c r="AC1634" s="12"/>
      <c r="AD1634" s="12"/>
      <c r="AE1634" s="12"/>
      <c r="AG1634" s="47"/>
    </row>
    <row r="1635" customFormat="false" ht="15.75" hidden="false" customHeight="false" outlineLevel="0" collapsed="false">
      <c r="A1635" s="12"/>
      <c r="B1635" s="20"/>
      <c r="C1635" s="48" t="s">
        <v>6636</v>
      </c>
      <c r="D1635" s="24"/>
      <c r="E1635" s="49" t="s">
        <v>6637</v>
      </c>
      <c r="F1635" s="49" t="s">
        <v>6638</v>
      </c>
      <c r="G1635" s="17"/>
      <c r="H1635" s="17"/>
      <c r="I1635" s="26" t="s">
        <v>166</v>
      </c>
      <c r="J1635" s="32"/>
      <c r="K1635" s="17"/>
      <c r="L1635" s="38"/>
      <c r="M1635" s="46"/>
      <c r="N1635" s="17"/>
      <c r="O1635" s="17"/>
      <c r="P1635" s="40" t="s">
        <v>168</v>
      </c>
      <c r="Q1635" s="12"/>
      <c r="R1635" s="12"/>
      <c r="S1635" s="12"/>
      <c r="T1635" s="12"/>
      <c r="U1635" s="12"/>
      <c r="V1635" s="21"/>
      <c r="Z1635" s="12"/>
      <c r="AA1635" s="29"/>
      <c r="AB1635" s="46" t="s">
        <v>5949</v>
      </c>
      <c r="AC1635" s="12"/>
      <c r="AD1635" s="12"/>
      <c r="AE1635" s="12"/>
      <c r="AF1635" s="47"/>
      <c r="AG1635" s="47"/>
    </row>
    <row r="1636" customFormat="false" ht="15.75" hidden="false" customHeight="false" outlineLevel="0" collapsed="false">
      <c r="A1636" s="12"/>
      <c r="B1636" s="12"/>
      <c r="C1636" s="64" t="s">
        <v>6639</v>
      </c>
      <c r="D1636" s="24"/>
      <c r="E1636" s="25" t="s">
        <v>6640</v>
      </c>
      <c r="F1636" s="17" t="s">
        <v>6641</v>
      </c>
      <c r="G1636" s="17" t="s">
        <v>1600</v>
      </c>
      <c r="H1636" s="17"/>
      <c r="I1636" s="26" t="s">
        <v>82</v>
      </c>
      <c r="J1636" s="32"/>
      <c r="K1636" s="17"/>
      <c r="L1636" s="38"/>
      <c r="M1636" s="27"/>
      <c r="N1636" s="17"/>
      <c r="O1636" s="17"/>
      <c r="P1636" s="40" t="s">
        <v>638</v>
      </c>
      <c r="Q1636" s="20"/>
      <c r="R1636" s="20" t="s">
        <v>6642</v>
      </c>
      <c r="S1636" s="20"/>
      <c r="T1636" s="20" t="s">
        <v>6643</v>
      </c>
      <c r="U1636" s="20"/>
      <c r="V1636" s="21" t="s">
        <v>31</v>
      </c>
      <c r="Z1636" s="20"/>
      <c r="AA1636" s="22"/>
      <c r="AB1636" s="84"/>
      <c r="AC1636" s="20"/>
      <c r="AD1636" s="20"/>
      <c r="AE1636" s="20"/>
    </row>
    <row r="1637" customFormat="false" ht="15.75" hidden="false" customHeight="false" outlineLevel="0" collapsed="false">
      <c r="A1637" s="12"/>
      <c r="B1637" s="12"/>
      <c r="C1637" s="23" t="s">
        <v>6644</v>
      </c>
      <c r="D1637" s="24"/>
      <c r="E1637" s="25" t="s">
        <v>6645</v>
      </c>
      <c r="F1637" s="17" t="s">
        <v>6646</v>
      </c>
      <c r="G1637" s="17" t="s">
        <v>1600</v>
      </c>
      <c r="H1637" s="17"/>
      <c r="I1637" s="26" t="s">
        <v>82</v>
      </c>
      <c r="J1637" s="32"/>
      <c r="K1637" s="17"/>
      <c r="L1637" s="38"/>
      <c r="M1637" s="27"/>
      <c r="N1637" s="17"/>
      <c r="O1637" s="17"/>
      <c r="P1637" s="40" t="s">
        <v>638</v>
      </c>
      <c r="Q1637" s="12"/>
      <c r="R1637" s="12"/>
      <c r="S1637" s="12"/>
      <c r="T1637" s="12"/>
      <c r="U1637" s="12"/>
      <c r="V1637" s="21"/>
      <c r="Z1637" s="12"/>
      <c r="AA1637" s="29"/>
      <c r="AB1637" s="84"/>
      <c r="AC1637" s="12"/>
      <c r="AD1637" s="12"/>
      <c r="AE1637" s="12"/>
    </row>
    <row r="1638" customFormat="false" ht="15.75" hidden="false" customHeight="false" outlineLevel="0" collapsed="false">
      <c r="A1638" s="12"/>
      <c r="B1638" s="20"/>
      <c r="C1638" s="48" t="s">
        <v>6647</v>
      </c>
      <c r="D1638" s="24"/>
      <c r="E1638" s="49" t="s">
        <v>6648</v>
      </c>
      <c r="F1638" s="49" t="s">
        <v>6649</v>
      </c>
      <c r="G1638" s="17"/>
      <c r="H1638" s="17"/>
      <c r="I1638" s="26" t="s">
        <v>166</v>
      </c>
      <c r="J1638" s="32"/>
      <c r="K1638" s="17"/>
      <c r="L1638" s="38"/>
      <c r="M1638" s="50"/>
      <c r="N1638" s="17"/>
      <c r="O1638" s="17"/>
      <c r="P1638" s="40" t="s">
        <v>168</v>
      </c>
      <c r="Q1638" s="17"/>
      <c r="R1638" s="17"/>
      <c r="S1638" s="17"/>
      <c r="T1638" s="17"/>
      <c r="U1638" s="17"/>
      <c r="V1638" s="27"/>
      <c r="Z1638" s="17"/>
      <c r="AA1638" s="29"/>
      <c r="AB1638" s="50" t="s">
        <v>6650</v>
      </c>
      <c r="AC1638" s="17"/>
      <c r="AD1638" s="17"/>
      <c r="AE1638" s="17"/>
      <c r="AG1638" s="47"/>
    </row>
    <row r="1639" customFormat="false" ht="15.75" hidden="false" customHeight="false" outlineLevel="0" collapsed="false">
      <c r="A1639" s="12"/>
      <c r="B1639" s="20"/>
      <c r="C1639" s="48" t="s">
        <v>6651</v>
      </c>
      <c r="D1639" s="24"/>
      <c r="E1639" s="49" t="s">
        <v>6652</v>
      </c>
      <c r="F1639" s="49" t="s">
        <v>6653</v>
      </c>
      <c r="G1639" s="17"/>
      <c r="H1639" s="17"/>
      <c r="I1639" s="26" t="s">
        <v>166</v>
      </c>
      <c r="J1639" s="32"/>
      <c r="K1639" s="17"/>
      <c r="L1639" s="38"/>
      <c r="M1639" s="46"/>
      <c r="N1639" s="17"/>
      <c r="O1639" s="17"/>
      <c r="P1639" s="40" t="s">
        <v>168</v>
      </c>
      <c r="Q1639" s="12"/>
      <c r="R1639" s="12"/>
      <c r="S1639" s="12"/>
      <c r="T1639" s="12"/>
      <c r="U1639" s="12"/>
      <c r="V1639" s="21"/>
      <c r="Z1639" s="12"/>
      <c r="AA1639" s="29"/>
      <c r="AB1639" s="46" t="s">
        <v>5949</v>
      </c>
      <c r="AC1639" s="12"/>
      <c r="AD1639" s="12"/>
      <c r="AE1639" s="12"/>
      <c r="AG1639" s="47"/>
    </row>
    <row r="1640" customFormat="false" ht="15.75" hidden="false" customHeight="false" outlineLevel="0" collapsed="false">
      <c r="A1640" s="12"/>
      <c r="B1640" s="13"/>
      <c r="C1640" s="14" t="s">
        <v>6654</v>
      </c>
      <c r="D1640" s="24"/>
      <c r="E1640" s="16" t="s">
        <v>6655</v>
      </c>
      <c r="F1640" s="16" t="s">
        <v>6656</v>
      </c>
      <c r="G1640" s="17"/>
      <c r="H1640" s="17"/>
      <c r="I1640" s="26" t="s">
        <v>166</v>
      </c>
      <c r="J1640" s="32"/>
      <c r="K1640" s="17"/>
      <c r="L1640" s="38"/>
      <c r="M1640" s="78"/>
      <c r="N1640" s="17"/>
      <c r="O1640" s="17"/>
      <c r="P1640" s="40" t="s">
        <v>168</v>
      </c>
      <c r="Q1640" s="12"/>
      <c r="R1640" s="12"/>
      <c r="S1640" s="12"/>
      <c r="T1640" s="12"/>
      <c r="U1640" s="12"/>
      <c r="V1640" s="21"/>
      <c r="Z1640" s="12"/>
      <c r="AA1640" s="29"/>
      <c r="AB1640" s="78" t="s">
        <v>6657</v>
      </c>
      <c r="AC1640" s="12"/>
      <c r="AD1640" s="12"/>
      <c r="AE1640" s="12"/>
      <c r="AF1640" s="47"/>
      <c r="AG1640" s="47"/>
    </row>
    <row r="1641" customFormat="false" ht="15.75" hidden="false" customHeight="false" outlineLevel="0" collapsed="false">
      <c r="A1641" s="12"/>
      <c r="B1641" s="20"/>
      <c r="C1641" s="48" t="s">
        <v>6658</v>
      </c>
      <c r="D1641" s="24"/>
      <c r="E1641" s="49" t="s">
        <v>6659</v>
      </c>
      <c r="F1641" s="49" t="s">
        <v>6660</v>
      </c>
      <c r="G1641" s="17"/>
      <c r="H1641" s="17"/>
      <c r="I1641" s="26" t="s">
        <v>166</v>
      </c>
      <c r="J1641" s="32"/>
      <c r="K1641" s="17"/>
      <c r="L1641" s="38"/>
      <c r="M1641" s="78"/>
      <c r="N1641" s="17"/>
      <c r="O1641" s="17"/>
      <c r="P1641" s="40" t="s">
        <v>168</v>
      </c>
      <c r="Q1641" s="17"/>
      <c r="R1641" s="17"/>
      <c r="S1641" s="17"/>
      <c r="T1641" s="17"/>
      <c r="U1641" s="17"/>
      <c r="V1641" s="27"/>
      <c r="Z1641" s="17"/>
      <c r="AA1641" s="29"/>
      <c r="AB1641" s="78" t="s">
        <v>6661</v>
      </c>
      <c r="AC1641" s="17"/>
      <c r="AD1641" s="17"/>
      <c r="AE1641" s="17"/>
      <c r="AF1641" s="47"/>
      <c r="AG1641" s="47"/>
    </row>
    <row r="1642" customFormat="false" ht="15.75" hidden="false" customHeight="false" outlineLevel="0" collapsed="false">
      <c r="A1642" s="12"/>
      <c r="B1642" s="20"/>
      <c r="C1642" s="48" t="s">
        <v>6662</v>
      </c>
      <c r="D1642" s="24"/>
      <c r="E1642" s="49" t="s">
        <v>6663</v>
      </c>
      <c r="F1642" s="49" t="s">
        <v>6664</v>
      </c>
      <c r="G1642" s="17"/>
      <c r="H1642" s="17"/>
      <c r="I1642" s="26" t="s">
        <v>166</v>
      </c>
      <c r="J1642" s="32"/>
      <c r="K1642" s="17"/>
      <c r="L1642" s="38"/>
      <c r="M1642" s="50"/>
      <c r="N1642" s="17"/>
      <c r="O1642" s="17"/>
      <c r="P1642" s="40" t="s">
        <v>168</v>
      </c>
      <c r="Q1642" s="12"/>
      <c r="R1642" s="12"/>
      <c r="S1642" s="12"/>
      <c r="T1642" s="12"/>
      <c r="U1642" s="12"/>
      <c r="V1642" s="21"/>
      <c r="Z1642" s="12"/>
      <c r="AA1642" s="29"/>
      <c r="AB1642" s="50" t="s">
        <v>6665</v>
      </c>
      <c r="AC1642" s="12"/>
      <c r="AD1642" s="12"/>
      <c r="AE1642" s="12"/>
      <c r="AF1642" s="47"/>
      <c r="AG1642" s="47"/>
    </row>
    <row r="1643" customFormat="false" ht="15.75" hidden="false" customHeight="false" outlineLevel="0" collapsed="false">
      <c r="A1643" s="12"/>
      <c r="B1643" s="20"/>
      <c r="C1643" s="48" t="s">
        <v>6666</v>
      </c>
      <c r="D1643" s="24"/>
      <c r="E1643" s="49" t="s">
        <v>6667</v>
      </c>
      <c r="F1643" s="49" t="s">
        <v>6668</v>
      </c>
      <c r="G1643" s="17"/>
      <c r="H1643" s="17"/>
      <c r="I1643" s="26" t="s">
        <v>166</v>
      </c>
      <c r="J1643" s="32"/>
      <c r="K1643" s="17"/>
      <c r="L1643" s="38"/>
      <c r="M1643" s="50"/>
      <c r="N1643" s="17"/>
      <c r="O1643" s="17"/>
      <c r="P1643" s="40" t="s">
        <v>168</v>
      </c>
      <c r="Q1643" s="12"/>
      <c r="R1643" s="12"/>
      <c r="S1643" s="12"/>
      <c r="T1643" s="12"/>
      <c r="U1643" s="12"/>
      <c r="V1643" s="21"/>
      <c r="Z1643" s="12"/>
      <c r="AA1643" s="29"/>
      <c r="AB1643" s="50" t="s">
        <v>6669</v>
      </c>
      <c r="AC1643" s="12"/>
      <c r="AD1643" s="12"/>
      <c r="AE1643" s="12"/>
      <c r="AF1643" s="47"/>
      <c r="AG1643" s="47"/>
    </row>
    <row r="1644" customFormat="false" ht="15.75" hidden="false" customHeight="false" outlineLevel="0" collapsed="false">
      <c r="A1644" s="12"/>
      <c r="B1644" s="20"/>
      <c r="C1644" s="48" t="s">
        <v>6670</v>
      </c>
      <c r="D1644" s="24"/>
      <c r="E1644" s="49" t="s">
        <v>6671</v>
      </c>
      <c r="F1644" s="49" t="s">
        <v>6672</v>
      </c>
      <c r="G1644" s="17"/>
      <c r="H1644" s="17"/>
      <c r="I1644" s="26" t="s">
        <v>166</v>
      </c>
      <c r="J1644" s="32"/>
      <c r="K1644" s="17"/>
      <c r="L1644" s="38"/>
      <c r="M1644" s="50"/>
      <c r="N1644" s="17"/>
      <c r="O1644" s="17"/>
      <c r="P1644" s="40" t="s">
        <v>168</v>
      </c>
      <c r="Q1644" s="12"/>
      <c r="R1644" s="12"/>
      <c r="S1644" s="12"/>
      <c r="T1644" s="12"/>
      <c r="U1644" s="12"/>
      <c r="V1644" s="21"/>
      <c r="Z1644" s="12"/>
      <c r="AA1644" s="29"/>
      <c r="AB1644" s="50" t="s">
        <v>5306</v>
      </c>
      <c r="AC1644" s="12"/>
      <c r="AD1644" s="12"/>
      <c r="AE1644" s="12"/>
      <c r="AG1644" s="47"/>
    </row>
    <row r="1645" customFormat="false" ht="15.75" hidden="false" customHeight="false" outlineLevel="0" collapsed="false">
      <c r="A1645" s="12"/>
      <c r="B1645" s="20"/>
      <c r="C1645" s="48" t="s">
        <v>6673</v>
      </c>
      <c r="D1645" s="24"/>
      <c r="E1645" s="49" t="s">
        <v>6674</v>
      </c>
      <c r="F1645" s="49" t="s">
        <v>6675</v>
      </c>
      <c r="G1645" s="17"/>
      <c r="H1645" s="17"/>
      <c r="I1645" s="26" t="s">
        <v>166</v>
      </c>
      <c r="J1645" s="32"/>
      <c r="K1645" s="17"/>
      <c r="L1645" s="38"/>
      <c r="M1645" s="46"/>
      <c r="N1645" s="17"/>
      <c r="O1645" s="17"/>
      <c r="P1645" s="40" t="s">
        <v>168</v>
      </c>
      <c r="Q1645" s="12"/>
      <c r="R1645" s="12"/>
      <c r="S1645" s="12"/>
      <c r="T1645" s="12"/>
      <c r="U1645" s="12"/>
      <c r="V1645" s="21"/>
      <c r="Z1645" s="12"/>
      <c r="AA1645" s="29"/>
      <c r="AB1645" s="46" t="s">
        <v>5949</v>
      </c>
      <c r="AC1645" s="12"/>
      <c r="AD1645" s="12"/>
      <c r="AE1645" s="12"/>
      <c r="AG1645" s="47"/>
    </row>
    <row r="1646" customFormat="false" ht="15.75" hidden="false" customHeight="false" outlineLevel="0" collapsed="false">
      <c r="A1646" s="12"/>
      <c r="B1646" s="12"/>
      <c r="C1646" s="23" t="s">
        <v>6676</v>
      </c>
      <c r="D1646" s="24"/>
      <c r="E1646" s="25" t="s">
        <v>6677</v>
      </c>
      <c r="F1646" s="17" t="s">
        <v>6678</v>
      </c>
      <c r="G1646" s="17" t="s">
        <v>478</v>
      </c>
      <c r="H1646" s="17"/>
      <c r="I1646" s="26" t="s">
        <v>82</v>
      </c>
      <c r="J1646" s="32"/>
      <c r="K1646" s="17"/>
      <c r="L1646" s="38"/>
      <c r="M1646" s="27"/>
      <c r="N1646" s="17"/>
      <c r="O1646" s="17"/>
      <c r="P1646" s="40" t="s">
        <v>638</v>
      </c>
      <c r="Q1646" s="12"/>
      <c r="R1646" s="12" t="s">
        <v>6679</v>
      </c>
      <c r="S1646" s="12"/>
      <c r="T1646" s="12" t="s">
        <v>6680</v>
      </c>
      <c r="U1646" s="12"/>
      <c r="V1646" s="21" t="s">
        <v>31</v>
      </c>
      <c r="Z1646" s="12"/>
      <c r="AA1646" s="29"/>
      <c r="AB1646" s="84"/>
      <c r="AC1646" s="12"/>
      <c r="AD1646" s="12"/>
      <c r="AE1646" s="12"/>
    </row>
    <row r="1647" customFormat="false" ht="15.75" hidden="false" customHeight="false" outlineLevel="0" collapsed="false">
      <c r="A1647" s="12"/>
      <c r="B1647" s="20"/>
      <c r="C1647" s="48" t="s">
        <v>6681</v>
      </c>
      <c r="D1647" s="24"/>
      <c r="E1647" s="49" t="s">
        <v>6682</v>
      </c>
      <c r="F1647" s="49" t="s">
        <v>6683</v>
      </c>
      <c r="G1647" s="17"/>
      <c r="H1647" s="17"/>
      <c r="I1647" s="26" t="s">
        <v>166</v>
      </c>
      <c r="J1647" s="32"/>
      <c r="K1647" s="17"/>
      <c r="L1647" s="38"/>
      <c r="M1647" s="46"/>
      <c r="N1647" s="17"/>
      <c r="O1647" s="17"/>
      <c r="P1647" s="40" t="s">
        <v>168</v>
      </c>
      <c r="Q1647" s="12"/>
      <c r="R1647" s="12"/>
      <c r="S1647" s="12"/>
      <c r="T1647" s="12"/>
      <c r="U1647" s="12"/>
      <c r="V1647" s="21"/>
      <c r="Z1647" s="12"/>
      <c r="AA1647" s="29"/>
      <c r="AB1647" s="46" t="s">
        <v>5949</v>
      </c>
      <c r="AC1647" s="12"/>
      <c r="AD1647" s="12"/>
      <c r="AE1647" s="12"/>
      <c r="AG1647" s="47"/>
    </row>
    <row r="1648" customFormat="false" ht="15.75" hidden="false" customHeight="false" outlineLevel="0" collapsed="false">
      <c r="A1648" s="12"/>
      <c r="B1648" s="20"/>
      <c r="C1648" s="48" t="s">
        <v>6684</v>
      </c>
      <c r="D1648" s="24"/>
      <c r="E1648" s="49" t="s">
        <v>6685</v>
      </c>
      <c r="F1648" s="49" t="s">
        <v>6686</v>
      </c>
      <c r="G1648" s="17"/>
      <c r="H1648" s="17"/>
      <c r="I1648" s="26" t="s">
        <v>166</v>
      </c>
      <c r="J1648" s="32"/>
      <c r="K1648" s="17"/>
      <c r="L1648" s="38"/>
      <c r="M1648" s="50"/>
      <c r="N1648" s="17"/>
      <c r="O1648" s="17"/>
      <c r="P1648" s="40" t="s">
        <v>168</v>
      </c>
      <c r="Q1648" s="12"/>
      <c r="R1648" s="12"/>
      <c r="S1648" s="12"/>
      <c r="T1648" s="12"/>
      <c r="U1648" s="12"/>
      <c r="V1648" s="21"/>
      <c r="Z1648" s="12"/>
      <c r="AA1648" s="29"/>
      <c r="AB1648" s="50" t="s">
        <v>6687</v>
      </c>
      <c r="AC1648" s="12"/>
      <c r="AD1648" s="12"/>
      <c r="AE1648" s="12"/>
      <c r="AF1648" s="47"/>
      <c r="AG1648" s="47"/>
    </row>
    <row r="1649" customFormat="false" ht="15.75" hidden="false" customHeight="false" outlineLevel="0" collapsed="false">
      <c r="A1649" s="12"/>
      <c r="B1649" s="20"/>
      <c r="C1649" s="48" t="s">
        <v>6688</v>
      </c>
      <c r="D1649" s="24"/>
      <c r="E1649" s="49" t="s">
        <v>6689</v>
      </c>
      <c r="F1649" s="49" t="s">
        <v>6690</v>
      </c>
      <c r="G1649" s="17"/>
      <c r="H1649" s="17"/>
      <c r="I1649" s="26" t="s">
        <v>166</v>
      </c>
      <c r="J1649" s="32"/>
      <c r="K1649" s="17"/>
      <c r="L1649" s="38"/>
      <c r="M1649" s="50"/>
      <c r="N1649" s="17"/>
      <c r="O1649" s="17"/>
      <c r="P1649" s="40" t="s">
        <v>168</v>
      </c>
      <c r="Q1649" s="12"/>
      <c r="R1649" s="12"/>
      <c r="S1649" s="12"/>
      <c r="T1649" s="12"/>
      <c r="U1649" s="12"/>
      <c r="V1649" s="21"/>
      <c r="Z1649" s="12"/>
      <c r="AA1649" s="29"/>
      <c r="AB1649" s="50" t="s">
        <v>6650</v>
      </c>
      <c r="AC1649" s="12"/>
      <c r="AD1649" s="12"/>
      <c r="AE1649" s="12"/>
      <c r="AF1649" s="47"/>
    </row>
    <row r="1650" customFormat="false" ht="15.75" hidden="false" customHeight="false" outlineLevel="0" collapsed="false">
      <c r="A1650" s="12"/>
      <c r="B1650" s="20"/>
      <c r="C1650" s="48" t="s">
        <v>6691</v>
      </c>
      <c r="D1650" s="24"/>
      <c r="E1650" s="49" t="s">
        <v>6692</v>
      </c>
      <c r="F1650" s="49" t="s">
        <v>6693</v>
      </c>
      <c r="G1650" s="17"/>
      <c r="H1650" s="17"/>
      <c r="I1650" s="26" t="s">
        <v>166</v>
      </c>
      <c r="J1650" s="32"/>
      <c r="K1650" s="17"/>
      <c r="L1650" s="38"/>
      <c r="M1650" s="46"/>
      <c r="N1650" s="17"/>
      <c r="O1650" s="17"/>
      <c r="P1650" s="40" t="s">
        <v>168</v>
      </c>
      <c r="Q1650" s="12"/>
      <c r="R1650" s="12"/>
      <c r="S1650" s="12"/>
      <c r="T1650" s="12"/>
      <c r="U1650" s="12"/>
      <c r="V1650" s="21"/>
      <c r="Z1650" s="12"/>
      <c r="AA1650" s="29"/>
      <c r="AB1650" s="46" t="s">
        <v>5949</v>
      </c>
      <c r="AC1650" s="12"/>
      <c r="AD1650" s="12"/>
      <c r="AE1650" s="12"/>
      <c r="AF1650" s="47"/>
      <c r="AG1650" s="47"/>
    </row>
    <row r="1651" customFormat="false" ht="15.75" hidden="false" customHeight="false" outlineLevel="0" collapsed="false">
      <c r="A1651" s="12"/>
      <c r="B1651" s="12"/>
      <c r="C1651" s="64" t="s">
        <v>6694</v>
      </c>
      <c r="D1651" s="24"/>
      <c r="E1651" s="25" t="s">
        <v>6695</v>
      </c>
      <c r="F1651" s="17" t="s">
        <v>6696</v>
      </c>
      <c r="G1651" s="17" t="s">
        <v>478</v>
      </c>
      <c r="H1651" s="17"/>
      <c r="I1651" s="26" t="s">
        <v>82</v>
      </c>
      <c r="J1651" s="32"/>
      <c r="K1651" s="17"/>
      <c r="L1651" s="38"/>
      <c r="M1651" s="27"/>
      <c r="N1651" s="17"/>
      <c r="O1651" s="17"/>
      <c r="P1651" s="40" t="s">
        <v>638</v>
      </c>
      <c r="Q1651" s="12"/>
      <c r="R1651" s="12" t="s">
        <v>6697</v>
      </c>
      <c r="S1651" s="12"/>
      <c r="T1651" s="12" t="s">
        <v>6698</v>
      </c>
      <c r="U1651" s="12"/>
      <c r="V1651" s="21" t="s">
        <v>31</v>
      </c>
      <c r="Z1651" s="12"/>
      <c r="AA1651" s="29"/>
      <c r="AB1651" s="84"/>
      <c r="AC1651" s="12"/>
      <c r="AD1651" s="12"/>
      <c r="AE1651" s="12"/>
    </row>
    <row r="1652" customFormat="false" ht="15.75" hidden="false" customHeight="false" outlineLevel="0" collapsed="false">
      <c r="A1652" s="12"/>
      <c r="B1652" s="12"/>
      <c r="C1652" s="23" t="s">
        <v>6699</v>
      </c>
      <c r="D1652" s="24"/>
      <c r="E1652" s="25" t="s">
        <v>6700</v>
      </c>
      <c r="F1652" s="17" t="s">
        <v>6701</v>
      </c>
      <c r="G1652" s="17" t="s">
        <v>2629</v>
      </c>
      <c r="H1652" s="17"/>
      <c r="I1652" s="26" t="s">
        <v>82</v>
      </c>
      <c r="J1652" s="32"/>
      <c r="K1652" s="17"/>
      <c r="L1652" s="38"/>
      <c r="M1652" s="27"/>
      <c r="N1652" s="17"/>
      <c r="O1652" s="17"/>
      <c r="P1652" s="40" t="s">
        <v>638</v>
      </c>
      <c r="Q1652" s="12"/>
      <c r="R1652" s="12" t="s">
        <v>6702</v>
      </c>
      <c r="S1652" s="12"/>
      <c r="T1652" s="12" t="s">
        <v>6703</v>
      </c>
      <c r="U1652" s="12"/>
      <c r="V1652" s="21" t="s">
        <v>31</v>
      </c>
      <c r="Z1652" s="12"/>
      <c r="AA1652" s="29"/>
      <c r="AB1652" s="84"/>
      <c r="AC1652" s="12"/>
      <c r="AD1652" s="12"/>
      <c r="AE1652" s="12"/>
    </row>
    <row r="1653" customFormat="false" ht="15.75" hidden="false" customHeight="false" outlineLevel="0" collapsed="false">
      <c r="A1653" s="12"/>
      <c r="B1653" s="12"/>
      <c r="C1653" s="23" t="s">
        <v>6704</v>
      </c>
      <c r="D1653" s="24"/>
      <c r="E1653" s="17"/>
      <c r="F1653" s="17" t="s">
        <v>6705</v>
      </c>
      <c r="G1653" s="17" t="s">
        <v>6706</v>
      </c>
      <c r="H1653" s="17"/>
      <c r="I1653" s="26" t="s">
        <v>82</v>
      </c>
      <c r="J1653" s="32"/>
      <c r="K1653" s="17"/>
      <c r="L1653" s="38"/>
      <c r="M1653" s="27"/>
      <c r="N1653" s="17"/>
      <c r="O1653" s="17"/>
      <c r="P1653" s="40" t="s">
        <v>638</v>
      </c>
      <c r="Q1653" s="20"/>
      <c r="R1653" s="20" t="s">
        <v>6704</v>
      </c>
      <c r="S1653" s="20"/>
      <c r="T1653" s="20"/>
      <c r="U1653" s="20"/>
      <c r="V1653" s="45"/>
      <c r="Z1653" s="20"/>
      <c r="AA1653" s="22"/>
      <c r="AB1653" s="84"/>
      <c r="AC1653" s="20"/>
      <c r="AD1653" s="20"/>
      <c r="AE1653" s="20"/>
    </row>
    <row r="1654" customFormat="false" ht="15.75" hidden="false" customHeight="false" outlineLevel="0" collapsed="false">
      <c r="A1654" s="12" t="s">
        <v>31</v>
      </c>
      <c r="B1654" s="12" t="s">
        <v>32</v>
      </c>
      <c r="C1654" s="23" t="s">
        <v>6707</v>
      </c>
      <c r="D1654" s="24" t="s">
        <v>51</v>
      </c>
      <c r="E1654" s="25" t="s">
        <v>6708</v>
      </c>
      <c r="F1654" s="17" t="s">
        <v>6709</v>
      </c>
      <c r="G1654" s="17" t="s">
        <v>71</v>
      </c>
      <c r="H1654" s="17" t="s">
        <v>72</v>
      </c>
      <c r="I1654" s="17" t="s">
        <v>36</v>
      </c>
      <c r="J1654" s="17"/>
      <c r="K1654" s="17"/>
      <c r="L1654" s="38"/>
      <c r="M1654" s="27" t="s">
        <v>147</v>
      </c>
      <c r="N1654" s="17" t="s">
        <v>6710</v>
      </c>
      <c r="O1654" s="17" t="s">
        <v>6711</v>
      </c>
      <c r="P1654" s="28" t="s">
        <v>59</v>
      </c>
      <c r="Q1654" s="20"/>
      <c r="R1654" s="20"/>
      <c r="S1654" s="20"/>
      <c r="T1654" s="20"/>
      <c r="U1654" s="20"/>
      <c r="V1654" s="45"/>
      <c r="Z1654" s="20"/>
      <c r="AA1654" s="22" t="n">
        <v>5</v>
      </c>
      <c r="AB1654" s="20"/>
      <c r="AC1654" s="20"/>
      <c r="AD1654" s="20"/>
      <c r="AE1654" s="20"/>
    </row>
    <row r="1655" customFormat="false" ht="15.75" hidden="false" customHeight="false" outlineLevel="0" collapsed="false">
      <c r="A1655" s="12"/>
      <c r="B1655" s="12"/>
      <c r="C1655" s="23" t="s">
        <v>6712</v>
      </c>
      <c r="D1655" s="24"/>
      <c r="E1655" s="17"/>
      <c r="F1655" s="17"/>
      <c r="G1655" s="17"/>
      <c r="H1655" s="17"/>
      <c r="I1655" s="17"/>
      <c r="J1655" s="47"/>
      <c r="K1655" s="17"/>
      <c r="L1655" s="38"/>
      <c r="M1655" s="27"/>
      <c r="N1655" s="39"/>
      <c r="O1655" s="17"/>
      <c r="P1655" s="40"/>
      <c r="Q1655" s="12"/>
      <c r="R1655" s="12"/>
      <c r="S1655" s="12"/>
      <c r="T1655" s="12"/>
      <c r="U1655" s="12"/>
      <c r="V1655" s="21"/>
      <c r="Z1655" s="12"/>
      <c r="AA1655" s="29"/>
      <c r="AB1655" s="84"/>
      <c r="AC1655" s="12"/>
      <c r="AD1655" s="12"/>
      <c r="AE1655" s="12"/>
    </row>
    <row r="1656" customFormat="false" ht="15.75" hidden="false" customHeight="false" outlineLevel="0" collapsed="false">
      <c r="A1656" s="12"/>
      <c r="B1656" s="20"/>
      <c r="C1656" s="48" t="s">
        <v>6713</v>
      </c>
      <c r="D1656" s="24"/>
      <c r="E1656" s="49" t="s">
        <v>6714</v>
      </c>
      <c r="F1656" s="49" t="s">
        <v>6715</v>
      </c>
      <c r="G1656" s="17"/>
      <c r="H1656" s="17"/>
      <c r="I1656" s="26" t="s">
        <v>166</v>
      </c>
      <c r="J1656" s="32"/>
      <c r="K1656" s="17"/>
      <c r="L1656" s="38"/>
      <c r="M1656" s="50"/>
      <c r="N1656" s="17"/>
      <c r="O1656" s="17"/>
      <c r="P1656" s="40" t="s">
        <v>168</v>
      </c>
      <c r="Q1656" s="12"/>
      <c r="R1656" s="12"/>
      <c r="S1656" s="12"/>
      <c r="T1656" s="12"/>
      <c r="U1656" s="12"/>
      <c r="V1656" s="21"/>
      <c r="Z1656" s="12"/>
      <c r="AA1656" s="29"/>
      <c r="AB1656" s="50" t="s">
        <v>6716</v>
      </c>
      <c r="AC1656" s="12"/>
      <c r="AD1656" s="12"/>
      <c r="AE1656" s="12"/>
      <c r="AF1656" s="47"/>
      <c r="AG1656" s="47"/>
    </row>
    <row r="1657" customFormat="false" ht="15.75" hidden="false" customHeight="false" outlineLevel="0" collapsed="false">
      <c r="A1657" s="12" t="str">
        <f aca="false">IF((AA1657&gt;=4), "Y", "N")</f>
        <v>Y</v>
      </c>
      <c r="B1657" s="20" t="s">
        <v>49</v>
      </c>
      <c r="C1657" s="48" t="s">
        <v>6717</v>
      </c>
      <c r="D1657" s="24"/>
      <c r="E1657" s="49" t="s">
        <v>6718</v>
      </c>
      <c r="F1657" s="49" t="s">
        <v>6719</v>
      </c>
      <c r="G1657" s="17"/>
      <c r="H1657" s="17"/>
      <c r="I1657" s="26" t="s">
        <v>166</v>
      </c>
      <c r="J1657" s="32" t="s">
        <v>6720</v>
      </c>
      <c r="K1657" s="17"/>
      <c r="L1657" s="38"/>
      <c r="M1657" s="50" t="s">
        <v>100</v>
      </c>
      <c r="N1657" s="17"/>
      <c r="O1657" s="17"/>
      <c r="P1657" s="40" t="s">
        <v>168</v>
      </c>
      <c r="Q1657" s="12"/>
      <c r="R1657" s="12"/>
      <c r="S1657" s="12"/>
      <c r="T1657" s="12"/>
      <c r="U1657" s="12"/>
      <c r="V1657" s="21"/>
      <c r="Z1657" s="12"/>
      <c r="AA1657" s="29" t="n">
        <v>5</v>
      </c>
      <c r="AB1657" s="12"/>
      <c r="AC1657" s="59" t="s">
        <v>6721</v>
      </c>
      <c r="AD1657" s="12"/>
      <c r="AE1657" s="12"/>
      <c r="AF1657" s="47"/>
      <c r="AG1657" s="47"/>
    </row>
    <row r="1658" customFormat="false" ht="15.75" hidden="false" customHeight="false" outlineLevel="0" collapsed="false">
      <c r="A1658" s="12"/>
      <c r="B1658" s="13"/>
      <c r="C1658" s="31" t="s">
        <v>6722</v>
      </c>
      <c r="D1658" s="16"/>
      <c r="E1658" s="118" t="s">
        <v>6723</v>
      </c>
      <c r="F1658" s="17"/>
      <c r="G1658" s="17"/>
      <c r="H1658" s="32"/>
      <c r="I1658" s="26" t="s">
        <v>561</v>
      </c>
      <c r="J1658" s="32"/>
      <c r="K1658" s="17"/>
      <c r="L1658" s="38"/>
      <c r="M1658" s="27"/>
      <c r="N1658" s="17"/>
      <c r="O1658" s="17"/>
      <c r="P1658" s="40" t="s">
        <v>3671</v>
      </c>
      <c r="Q1658" s="12"/>
      <c r="R1658" s="12"/>
      <c r="S1658" s="12"/>
      <c r="T1658" s="12"/>
      <c r="U1658" s="12"/>
      <c r="V1658" s="21"/>
      <c r="Z1658" s="12"/>
      <c r="AA1658" s="29"/>
      <c r="AB1658" s="84"/>
      <c r="AC1658" s="12"/>
      <c r="AD1658" s="12"/>
      <c r="AE1658" s="12"/>
    </row>
    <row r="1659" customFormat="false" ht="15.75" hidden="false" customHeight="false" outlineLevel="0" collapsed="false">
      <c r="A1659" s="12"/>
      <c r="B1659" s="20"/>
      <c r="C1659" s="48" t="s">
        <v>6724</v>
      </c>
      <c r="D1659" s="24"/>
      <c r="E1659" s="49" t="s">
        <v>6725</v>
      </c>
      <c r="F1659" s="49" t="s">
        <v>6726</v>
      </c>
      <c r="G1659" s="17"/>
      <c r="H1659" s="17"/>
      <c r="I1659" s="26" t="s">
        <v>166</v>
      </c>
      <c r="J1659" s="32"/>
      <c r="K1659" s="17"/>
      <c r="L1659" s="38"/>
      <c r="M1659" s="50"/>
      <c r="N1659" s="17"/>
      <c r="O1659" s="17"/>
      <c r="P1659" s="40" t="s">
        <v>168</v>
      </c>
      <c r="Q1659" s="12"/>
      <c r="R1659" s="12"/>
      <c r="S1659" s="12"/>
      <c r="T1659" s="12"/>
      <c r="U1659" s="12"/>
      <c r="V1659" s="21"/>
      <c r="Z1659" s="12"/>
      <c r="AA1659" s="29"/>
      <c r="AB1659" s="50" t="s">
        <v>6727</v>
      </c>
      <c r="AC1659" s="12"/>
      <c r="AD1659" s="12"/>
      <c r="AE1659" s="12"/>
      <c r="AG1659" s="47"/>
    </row>
    <row r="1660" customFormat="false" ht="15.75" hidden="false" customHeight="false" outlineLevel="0" collapsed="false">
      <c r="A1660" s="12"/>
      <c r="B1660" s="12"/>
      <c r="C1660" s="23" t="s">
        <v>6728</v>
      </c>
      <c r="D1660" s="24"/>
      <c r="E1660" s="25" t="s">
        <v>6729</v>
      </c>
      <c r="F1660" s="17" t="s">
        <v>6730</v>
      </c>
      <c r="G1660" s="17" t="s">
        <v>2629</v>
      </c>
      <c r="H1660" s="17"/>
      <c r="I1660" s="26" t="s">
        <v>82</v>
      </c>
      <c r="J1660" s="32"/>
      <c r="K1660" s="17"/>
      <c r="L1660" s="38"/>
      <c r="M1660" s="27"/>
      <c r="N1660" s="17"/>
      <c r="O1660" s="17"/>
      <c r="P1660" s="40" t="s">
        <v>638</v>
      </c>
      <c r="Q1660" s="20"/>
      <c r="R1660" s="20" t="s">
        <v>6731</v>
      </c>
      <c r="S1660" s="20"/>
      <c r="T1660" s="20" t="s">
        <v>6732</v>
      </c>
      <c r="U1660" s="20"/>
      <c r="V1660" s="21" t="s">
        <v>31</v>
      </c>
      <c r="Z1660" s="20"/>
      <c r="AA1660" s="22"/>
      <c r="AB1660" s="84"/>
      <c r="AC1660" s="20"/>
      <c r="AD1660" s="20"/>
      <c r="AE1660" s="20"/>
    </row>
    <row r="1661" customFormat="false" ht="15.75" hidden="false" customHeight="false" outlineLevel="0" collapsed="false">
      <c r="A1661" s="12"/>
      <c r="B1661" s="20"/>
      <c r="C1661" s="48" t="s">
        <v>6733</v>
      </c>
      <c r="D1661" s="24"/>
      <c r="E1661" s="49" t="s">
        <v>6734</v>
      </c>
      <c r="F1661" s="49" t="s">
        <v>6735</v>
      </c>
      <c r="G1661" s="17"/>
      <c r="H1661" s="17"/>
      <c r="I1661" s="26" t="s">
        <v>166</v>
      </c>
      <c r="J1661" s="32"/>
      <c r="K1661" s="17"/>
      <c r="L1661" s="38"/>
      <c r="M1661" s="50"/>
      <c r="N1661" s="17"/>
      <c r="O1661" s="17"/>
      <c r="P1661" s="40" t="s">
        <v>168</v>
      </c>
      <c r="Q1661" s="12"/>
      <c r="R1661" s="12"/>
      <c r="S1661" s="12"/>
      <c r="T1661" s="12"/>
      <c r="U1661" s="12"/>
      <c r="V1661" s="21"/>
      <c r="Z1661" s="12"/>
      <c r="AA1661" s="29"/>
      <c r="AB1661" s="50" t="s">
        <v>6736</v>
      </c>
      <c r="AC1661" s="12"/>
      <c r="AD1661" s="12"/>
      <c r="AE1661" s="12"/>
      <c r="AG1661" s="47"/>
    </row>
    <row r="1662" customFormat="false" ht="15.75" hidden="false" customHeight="false" outlineLevel="0" collapsed="false">
      <c r="A1662" s="12"/>
      <c r="B1662" s="12"/>
      <c r="C1662" s="23" t="s">
        <v>6737</v>
      </c>
      <c r="D1662" s="24"/>
      <c r="E1662" s="25" t="s">
        <v>6738</v>
      </c>
      <c r="F1662" s="17" t="s">
        <v>6739</v>
      </c>
      <c r="G1662" s="17" t="s">
        <v>1100</v>
      </c>
      <c r="H1662" s="17"/>
      <c r="I1662" s="26" t="s">
        <v>82</v>
      </c>
      <c r="J1662" s="32"/>
      <c r="K1662" s="17"/>
      <c r="L1662" s="38"/>
      <c r="M1662" s="27"/>
      <c r="N1662" s="17"/>
      <c r="O1662" s="17"/>
      <c r="P1662" s="40" t="s">
        <v>638</v>
      </c>
      <c r="Q1662" s="12"/>
      <c r="R1662" s="12" t="s">
        <v>6740</v>
      </c>
      <c r="S1662" s="12"/>
      <c r="T1662" s="12" t="s">
        <v>6741</v>
      </c>
      <c r="U1662" s="12"/>
      <c r="V1662" s="21" t="s">
        <v>31</v>
      </c>
      <c r="Z1662" s="12"/>
      <c r="AA1662" s="29"/>
      <c r="AB1662" s="84"/>
      <c r="AC1662" s="12"/>
      <c r="AD1662" s="12"/>
      <c r="AE1662" s="12"/>
    </row>
    <row r="1663" customFormat="false" ht="15.75" hidden="false" customHeight="false" outlineLevel="0" collapsed="false">
      <c r="A1663" s="12"/>
      <c r="B1663" s="13"/>
      <c r="C1663" s="31" t="s">
        <v>6742</v>
      </c>
      <c r="D1663" s="16"/>
      <c r="E1663" s="32"/>
      <c r="F1663" s="32"/>
      <c r="G1663" s="32"/>
      <c r="H1663" s="17"/>
      <c r="I1663" s="17"/>
      <c r="J1663" s="47"/>
      <c r="K1663" s="33"/>
      <c r="L1663" s="38"/>
      <c r="M1663" s="27"/>
      <c r="N1663" s="44"/>
      <c r="O1663" s="17"/>
      <c r="P1663" s="19"/>
      <c r="Q1663" s="12"/>
      <c r="R1663" s="12"/>
      <c r="S1663" s="12"/>
      <c r="T1663" s="12"/>
      <c r="U1663" s="12"/>
      <c r="V1663" s="21"/>
      <c r="Z1663" s="12"/>
      <c r="AA1663" s="22"/>
      <c r="AB1663" s="84"/>
      <c r="AC1663" s="12"/>
      <c r="AD1663" s="12"/>
      <c r="AE1663" s="12"/>
    </row>
    <row r="1664" customFormat="false" ht="15.75" hidden="false" customHeight="false" outlineLevel="0" collapsed="false">
      <c r="A1664" s="12"/>
      <c r="B1664" s="12"/>
      <c r="C1664" s="23" t="s">
        <v>6743</v>
      </c>
      <c r="D1664" s="24"/>
      <c r="E1664" s="25" t="s">
        <v>6744</v>
      </c>
      <c r="F1664" s="17" t="s">
        <v>6745</v>
      </c>
      <c r="G1664" s="17" t="s">
        <v>1100</v>
      </c>
      <c r="H1664" s="17"/>
      <c r="I1664" s="26" t="s">
        <v>82</v>
      </c>
      <c r="J1664" s="32"/>
      <c r="K1664" s="17"/>
      <c r="L1664" s="38"/>
      <c r="M1664" s="27"/>
      <c r="N1664" s="17"/>
      <c r="O1664" s="17"/>
      <c r="P1664" s="40" t="s">
        <v>638</v>
      </c>
      <c r="Q1664" s="12"/>
      <c r="R1664" s="12" t="s">
        <v>6746</v>
      </c>
      <c r="S1664" s="12"/>
      <c r="T1664" s="12" t="s">
        <v>6747</v>
      </c>
      <c r="U1664" s="12"/>
      <c r="V1664" s="21" t="s">
        <v>31</v>
      </c>
      <c r="Z1664" s="12"/>
      <c r="AA1664" s="29"/>
      <c r="AB1664" s="84"/>
      <c r="AC1664" s="12"/>
      <c r="AD1664" s="12"/>
      <c r="AE1664" s="12"/>
    </row>
    <row r="1665" customFormat="false" ht="15.75" hidden="false" customHeight="false" outlineLevel="0" collapsed="false">
      <c r="A1665" s="12"/>
      <c r="B1665" s="13"/>
      <c r="C1665" s="14" t="s">
        <v>6748</v>
      </c>
      <c r="D1665" s="24"/>
      <c r="E1665" s="16" t="s">
        <v>6749</v>
      </c>
      <c r="F1665" s="16" t="s">
        <v>6750</v>
      </c>
      <c r="G1665" s="17"/>
      <c r="H1665" s="17"/>
      <c r="I1665" s="26" t="s">
        <v>166</v>
      </c>
      <c r="J1665" s="32"/>
      <c r="K1665" s="17"/>
      <c r="L1665" s="38"/>
      <c r="M1665" s="78"/>
      <c r="N1665" s="17"/>
      <c r="O1665" s="17"/>
      <c r="P1665" s="40" t="s">
        <v>168</v>
      </c>
      <c r="Q1665" s="12"/>
      <c r="R1665" s="12"/>
      <c r="S1665" s="12"/>
      <c r="T1665" s="12"/>
      <c r="U1665" s="12"/>
      <c r="V1665" s="21"/>
      <c r="Z1665" s="12"/>
      <c r="AA1665" s="29"/>
      <c r="AB1665" s="78" t="s">
        <v>6751</v>
      </c>
      <c r="AC1665" s="12"/>
      <c r="AD1665" s="12"/>
      <c r="AE1665" s="12"/>
      <c r="AF1665" s="47"/>
      <c r="AG1665" s="47"/>
    </row>
    <row r="1666" customFormat="false" ht="15.75" hidden="false" customHeight="false" outlineLevel="0" collapsed="false">
      <c r="A1666" s="12"/>
      <c r="B1666" s="20"/>
      <c r="C1666" s="48" t="s">
        <v>6752</v>
      </c>
      <c r="D1666" s="24"/>
      <c r="E1666" s="49" t="s">
        <v>6753</v>
      </c>
      <c r="F1666" s="49" t="s">
        <v>6754</v>
      </c>
      <c r="G1666" s="17"/>
      <c r="H1666" s="17"/>
      <c r="I1666" s="26" t="s">
        <v>166</v>
      </c>
      <c r="J1666" s="32"/>
      <c r="K1666" s="17"/>
      <c r="L1666" s="38"/>
      <c r="M1666" s="46"/>
      <c r="N1666" s="17"/>
      <c r="O1666" s="17"/>
      <c r="P1666" s="40" t="s">
        <v>168</v>
      </c>
      <c r="Q1666" s="17"/>
      <c r="R1666" s="17"/>
      <c r="S1666" s="17"/>
      <c r="T1666" s="17"/>
      <c r="U1666" s="17"/>
      <c r="V1666" s="27"/>
      <c r="Z1666" s="17"/>
      <c r="AA1666" s="29"/>
      <c r="AB1666" s="46" t="s">
        <v>5949</v>
      </c>
      <c r="AC1666" s="17"/>
      <c r="AD1666" s="17"/>
      <c r="AE1666" s="17"/>
      <c r="AF1666" s="47"/>
      <c r="AG1666" s="47"/>
    </row>
    <row r="1667" customFormat="false" ht="15.75" hidden="false" customHeight="false" outlineLevel="0" collapsed="false">
      <c r="A1667" s="12"/>
      <c r="B1667" s="13"/>
      <c r="C1667" s="14" t="s">
        <v>6755</v>
      </c>
      <c r="D1667" s="24"/>
      <c r="E1667" s="16" t="s">
        <v>6756</v>
      </c>
      <c r="F1667" s="16" t="s">
        <v>6757</v>
      </c>
      <c r="G1667" s="17"/>
      <c r="H1667" s="17"/>
      <c r="I1667" s="26" t="s">
        <v>166</v>
      </c>
      <c r="J1667" s="32"/>
      <c r="K1667" s="17"/>
      <c r="L1667" s="38"/>
      <c r="M1667" s="78"/>
      <c r="N1667" s="17"/>
      <c r="O1667" s="17"/>
      <c r="P1667" s="40" t="s">
        <v>168</v>
      </c>
      <c r="Q1667" s="12"/>
      <c r="R1667" s="12"/>
      <c r="S1667" s="12"/>
      <c r="T1667" s="12"/>
      <c r="U1667" s="12"/>
      <c r="V1667" s="21"/>
      <c r="Z1667" s="12"/>
      <c r="AA1667" s="29"/>
      <c r="AB1667" s="78" t="s">
        <v>6758</v>
      </c>
      <c r="AC1667" s="12"/>
      <c r="AD1667" s="12"/>
      <c r="AE1667" s="12"/>
      <c r="AG1667" s="47"/>
    </row>
    <row r="1668" customFormat="false" ht="15.75" hidden="false" customHeight="false" outlineLevel="0" collapsed="false">
      <c r="A1668" s="12"/>
      <c r="B1668" s="12"/>
      <c r="C1668" s="23" t="s">
        <v>6759</v>
      </c>
      <c r="D1668" s="24"/>
      <c r="E1668" s="17"/>
      <c r="F1668" s="17"/>
      <c r="G1668" s="17"/>
      <c r="H1668" s="17"/>
      <c r="I1668" s="17"/>
      <c r="J1668" s="17"/>
      <c r="K1668" s="17"/>
      <c r="L1668" s="38"/>
      <c r="M1668" s="27"/>
      <c r="N1668" s="39"/>
      <c r="O1668" s="17"/>
      <c r="P1668" s="40"/>
      <c r="Q1668" s="20"/>
      <c r="R1668" s="20"/>
      <c r="S1668" s="20"/>
      <c r="T1668" s="20"/>
      <c r="U1668" s="20"/>
      <c r="V1668" s="45"/>
      <c r="Z1668" s="20"/>
      <c r="AA1668" s="22"/>
      <c r="AB1668" s="84"/>
      <c r="AC1668" s="20"/>
      <c r="AD1668" s="20"/>
      <c r="AE1668" s="20"/>
    </row>
    <row r="1669" customFormat="false" ht="15.75" hidden="false" customHeight="false" outlineLevel="0" collapsed="false">
      <c r="A1669" s="12"/>
      <c r="B1669" s="20"/>
      <c r="C1669" s="48" t="s">
        <v>6760</v>
      </c>
      <c r="D1669" s="24"/>
      <c r="E1669" s="49" t="s">
        <v>6761</v>
      </c>
      <c r="F1669" s="49" t="s">
        <v>6762</v>
      </c>
      <c r="G1669" s="17"/>
      <c r="H1669" s="17"/>
      <c r="I1669" s="26" t="s">
        <v>166</v>
      </c>
      <c r="J1669" s="32"/>
      <c r="K1669" s="17"/>
      <c r="L1669" s="38"/>
      <c r="M1669" s="50"/>
      <c r="N1669" s="17"/>
      <c r="O1669" s="17"/>
      <c r="P1669" s="40" t="s">
        <v>168</v>
      </c>
      <c r="Q1669" s="12"/>
      <c r="R1669" s="12"/>
      <c r="S1669" s="12"/>
      <c r="T1669" s="12"/>
      <c r="U1669" s="12"/>
      <c r="V1669" s="21"/>
      <c r="Z1669" s="12"/>
      <c r="AA1669" s="29"/>
      <c r="AB1669" s="50" t="s">
        <v>5306</v>
      </c>
      <c r="AC1669" s="12"/>
      <c r="AD1669" s="12"/>
      <c r="AE1669" s="12"/>
      <c r="AF1669" s="47"/>
      <c r="AG1669" s="47"/>
    </row>
    <row r="1670" customFormat="false" ht="15.75" hidden="false" customHeight="false" outlineLevel="0" collapsed="false">
      <c r="A1670" s="12"/>
      <c r="B1670" s="20"/>
      <c r="C1670" s="48" t="s">
        <v>6763</v>
      </c>
      <c r="D1670" s="24"/>
      <c r="E1670" s="49" t="s">
        <v>6764</v>
      </c>
      <c r="F1670" s="49" t="s">
        <v>6765</v>
      </c>
      <c r="G1670" s="17"/>
      <c r="H1670" s="17"/>
      <c r="I1670" s="26" t="s">
        <v>166</v>
      </c>
      <c r="J1670" s="32"/>
      <c r="K1670" s="17"/>
      <c r="L1670" s="38"/>
      <c r="M1670" s="50"/>
      <c r="N1670" s="17"/>
      <c r="O1670" s="17"/>
      <c r="P1670" s="40" t="s">
        <v>168</v>
      </c>
      <c r="Q1670" s="20"/>
      <c r="R1670" s="20"/>
      <c r="S1670" s="20"/>
      <c r="T1670" s="20"/>
      <c r="U1670" s="20"/>
      <c r="V1670" s="45"/>
      <c r="Z1670" s="20"/>
      <c r="AA1670" s="22"/>
      <c r="AB1670" s="50" t="s">
        <v>6766</v>
      </c>
      <c r="AC1670" s="20"/>
      <c r="AD1670" s="20"/>
      <c r="AE1670" s="20"/>
      <c r="AF1670" s="47"/>
      <c r="AG1670" s="47"/>
    </row>
    <row r="1671" customFormat="false" ht="15.75" hidden="false" customHeight="false" outlineLevel="0" collapsed="false">
      <c r="A1671" s="12"/>
      <c r="B1671" s="20"/>
      <c r="C1671" s="48" t="s">
        <v>6767</v>
      </c>
      <c r="D1671" s="24"/>
      <c r="E1671" s="16" t="s">
        <v>6768</v>
      </c>
      <c r="F1671" s="49" t="s">
        <v>6769</v>
      </c>
      <c r="G1671" s="17"/>
      <c r="H1671" s="17"/>
      <c r="I1671" s="26" t="s">
        <v>166</v>
      </c>
      <c r="J1671" s="32"/>
      <c r="K1671" s="17"/>
      <c r="L1671" s="38"/>
      <c r="M1671" s="50"/>
      <c r="N1671" s="17"/>
      <c r="O1671" s="17"/>
      <c r="P1671" s="40" t="s">
        <v>168</v>
      </c>
      <c r="Q1671" s="12"/>
      <c r="R1671" s="12"/>
      <c r="S1671" s="12"/>
      <c r="T1671" s="12"/>
      <c r="U1671" s="12"/>
      <c r="V1671" s="21"/>
      <c r="Z1671" s="12"/>
      <c r="AA1671" s="29"/>
      <c r="AB1671" s="50" t="s">
        <v>6770</v>
      </c>
      <c r="AC1671" s="12"/>
      <c r="AD1671" s="12"/>
      <c r="AE1671" s="12"/>
      <c r="AF1671" s="47"/>
      <c r="AG1671" s="47"/>
    </row>
    <row r="1672" customFormat="false" ht="15.75" hidden="false" customHeight="false" outlineLevel="0" collapsed="false">
      <c r="A1672" s="12"/>
      <c r="B1672" s="13"/>
      <c r="C1672" s="14" t="s">
        <v>6771</v>
      </c>
      <c r="D1672" s="24"/>
      <c r="E1672" s="16" t="s">
        <v>6772</v>
      </c>
      <c r="F1672" s="16" t="s">
        <v>6773</v>
      </c>
      <c r="G1672" s="17"/>
      <c r="H1672" s="17"/>
      <c r="I1672" s="26" t="s">
        <v>166</v>
      </c>
      <c r="J1672" s="32"/>
      <c r="K1672" s="17"/>
      <c r="L1672" s="38"/>
      <c r="M1672" s="78"/>
      <c r="N1672" s="17"/>
      <c r="O1672" s="17"/>
      <c r="P1672" s="40" t="s">
        <v>168</v>
      </c>
      <c r="Q1672" s="12"/>
      <c r="R1672" s="12"/>
      <c r="S1672" s="12"/>
      <c r="T1672" s="12"/>
      <c r="U1672" s="12"/>
      <c r="V1672" s="21"/>
      <c r="Z1672" s="12"/>
      <c r="AA1672" s="29"/>
      <c r="AB1672" s="78" t="s">
        <v>6774</v>
      </c>
      <c r="AC1672" s="12"/>
      <c r="AD1672" s="12"/>
      <c r="AE1672" s="12"/>
      <c r="AG1672" s="47"/>
    </row>
    <row r="1673" customFormat="false" ht="15.75" hidden="false" customHeight="false" outlineLevel="0" collapsed="false">
      <c r="A1673" s="12" t="s">
        <v>193</v>
      </c>
      <c r="B1673" s="12" t="s">
        <v>32</v>
      </c>
      <c r="C1673" s="23" t="s">
        <v>6775</v>
      </c>
      <c r="D1673" s="24" t="s">
        <v>51</v>
      </c>
      <c r="E1673" s="25" t="s">
        <v>6776</v>
      </c>
      <c r="F1673" s="17" t="s">
        <v>6777</v>
      </c>
      <c r="G1673" s="17"/>
      <c r="H1673" s="17"/>
      <c r="I1673" s="17" t="s">
        <v>36</v>
      </c>
      <c r="J1673" s="17"/>
      <c r="K1673" s="17"/>
      <c r="L1673" s="38"/>
      <c r="M1673" s="27"/>
      <c r="N1673" s="17"/>
      <c r="O1673" s="17"/>
      <c r="P1673" s="28" t="s">
        <v>59</v>
      </c>
      <c r="Q1673" s="12"/>
      <c r="R1673" s="12"/>
      <c r="S1673" s="12"/>
      <c r="T1673" s="12"/>
      <c r="U1673" s="12"/>
      <c r="V1673" s="21"/>
      <c r="Z1673" s="12"/>
      <c r="AA1673" s="29" t="n">
        <v>2</v>
      </c>
      <c r="AB1673" s="12" t="s">
        <v>6778</v>
      </c>
      <c r="AC1673" s="12"/>
      <c r="AD1673" s="12"/>
      <c r="AE1673" s="12"/>
    </row>
    <row r="1674" customFormat="false" ht="15.75" hidden="false" customHeight="false" outlineLevel="0" collapsed="false">
      <c r="A1674" s="12"/>
      <c r="B1674" s="12"/>
      <c r="C1674" s="23" t="s">
        <v>6779</v>
      </c>
      <c r="D1674" s="24"/>
      <c r="E1674" s="25" t="s">
        <v>6780</v>
      </c>
      <c r="F1674" s="17" t="s">
        <v>6781</v>
      </c>
      <c r="G1674" s="17" t="s">
        <v>5104</v>
      </c>
      <c r="H1674" s="17"/>
      <c r="I1674" s="26" t="s">
        <v>82</v>
      </c>
      <c r="J1674" s="32"/>
      <c r="K1674" s="17"/>
      <c r="L1674" s="38"/>
      <c r="M1674" s="27"/>
      <c r="N1674" s="17"/>
      <c r="O1674" s="17"/>
      <c r="P1674" s="40" t="s">
        <v>638</v>
      </c>
      <c r="Q1674" s="20"/>
      <c r="R1674" s="20" t="s">
        <v>6782</v>
      </c>
      <c r="S1674" s="20"/>
      <c r="T1674" s="20" t="s">
        <v>6783</v>
      </c>
      <c r="U1674" s="20"/>
      <c r="V1674" s="21" t="s">
        <v>31</v>
      </c>
      <c r="Z1674" s="20"/>
      <c r="AA1674" s="22"/>
      <c r="AB1674" s="20"/>
      <c r="AC1674" s="20"/>
      <c r="AD1674" s="20"/>
      <c r="AE1674" s="20"/>
    </row>
    <row r="1675" customFormat="false" ht="15.75" hidden="false" customHeight="false" outlineLevel="0" collapsed="false">
      <c r="A1675" s="12"/>
      <c r="B1675" s="20"/>
      <c r="C1675" s="48" t="s">
        <v>6784</v>
      </c>
      <c r="D1675" s="24"/>
      <c r="E1675" s="49" t="s">
        <v>6785</v>
      </c>
      <c r="F1675" s="49" t="s">
        <v>6786</v>
      </c>
      <c r="G1675" s="17"/>
      <c r="H1675" s="17"/>
      <c r="I1675" s="26" t="s">
        <v>166</v>
      </c>
      <c r="J1675" s="32"/>
      <c r="K1675" s="17"/>
      <c r="L1675" s="38"/>
      <c r="M1675" s="50"/>
      <c r="N1675" s="17"/>
      <c r="O1675" s="17"/>
      <c r="P1675" s="40" t="s">
        <v>168</v>
      </c>
      <c r="Q1675" s="12"/>
      <c r="R1675" s="12"/>
      <c r="S1675" s="12"/>
      <c r="T1675" s="12"/>
      <c r="U1675" s="12"/>
      <c r="V1675" s="21"/>
      <c r="Z1675" s="12"/>
      <c r="AA1675" s="29"/>
      <c r="AB1675" s="50" t="s">
        <v>5306</v>
      </c>
      <c r="AC1675" s="12"/>
      <c r="AD1675" s="12"/>
      <c r="AE1675" s="12"/>
      <c r="AF1675" s="47"/>
      <c r="AG1675" s="47"/>
    </row>
    <row r="1676" customFormat="false" ht="15.75" hidden="false" customHeight="false" outlineLevel="0" collapsed="false">
      <c r="A1676" s="12"/>
      <c r="B1676" s="20"/>
      <c r="C1676" s="48" t="s">
        <v>6787</v>
      </c>
      <c r="D1676" s="24"/>
      <c r="E1676" s="49" t="s">
        <v>6788</v>
      </c>
      <c r="F1676" s="49" t="s">
        <v>6789</v>
      </c>
      <c r="G1676" s="17"/>
      <c r="H1676" s="17"/>
      <c r="I1676" s="26" t="s">
        <v>166</v>
      </c>
      <c r="J1676" s="32"/>
      <c r="K1676" s="17"/>
      <c r="L1676" s="38"/>
      <c r="M1676" s="46"/>
      <c r="N1676" s="17"/>
      <c r="O1676" s="17"/>
      <c r="P1676" s="40" t="s">
        <v>168</v>
      </c>
      <c r="Q1676" s="12"/>
      <c r="R1676" s="12"/>
      <c r="S1676" s="12"/>
      <c r="T1676" s="12"/>
      <c r="U1676" s="12"/>
      <c r="V1676" s="21"/>
      <c r="Z1676" s="12"/>
      <c r="AA1676" s="29"/>
      <c r="AB1676" s="46" t="s">
        <v>5949</v>
      </c>
      <c r="AC1676" s="12"/>
      <c r="AD1676" s="12"/>
      <c r="AE1676" s="12"/>
      <c r="AF1676" s="47"/>
      <c r="AG1676" s="47"/>
    </row>
    <row r="1677" customFormat="false" ht="15.75" hidden="false" customHeight="false" outlineLevel="0" collapsed="false">
      <c r="A1677" s="12"/>
      <c r="B1677" s="12"/>
      <c r="C1677" s="23" t="s">
        <v>6790</v>
      </c>
      <c r="D1677" s="24"/>
      <c r="E1677" s="25" t="s">
        <v>6791</v>
      </c>
      <c r="F1677" s="17" t="s">
        <v>6792</v>
      </c>
      <c r="G1677" s="17" t="s">
        <v>1100</v>
      </c>
      <c r="H1677" s="17"/>
      <c r="I1677" s="26" t="s">
        <v>82</v>
      </c>
      <c r="J1677" s="32"/>
      <c r="K1677" s="17"/>
      <c r="L1677" s="38"/>
      <c r="M1677" s="27"/>
      <c r="N1677" s="17"/>
      <c r="O1677" s="17"/>
      <c r="P1677" s="40" t="s">
        <v>638</v>
      </c>
      <c r="Q1677" s="12"/>
      <c r="R1677" s="12" t="s">
        <v>6793</v>
      </c>
      <c r="S1677" s="12"/>
      <c r="T1677" s="12" t="s">
        <v>6794</v>
      </c>
      <c r="U1677" s="12"/>
      <c r="V1677" s="21" t="s">
        <v>31</v>
      </c>
      <c r="Z1677" s="12"/>
      <c r="AA1677" s="29"/>
      <c r="AB1677" s="84"/>
      <c r="AC1677" s="12"/>
      <c r="AD1677" s="12"/>
      <c r="AE1677" s="12"/>
    </row>
    <row r="1678" customFormat="false" ht="15.75" hidden="false" customHeight="false" outlineLevel="0" collapsed="false">
      <c r="A1678" s="12"/>
      <c r="B1678" s="12"/>
      <c r="C1678" s="23" t="s">
        <v>6795</v>
      </c>
      <c r="D1678" s="24"/>
      <c r="E1678" s="25" t="s">
        <v>6796</v>
      </c>
      <c r="F1678" s="17" t="s">
        <v>6797</v>
      </c>
      <c r="G1678" s="17" t="s">
        <v>4858</v>
      </c>
      <c r="H1678" s="17"/>
      <c r="I1678" s="26" t="s">
        <v>82</v>
      </c>
      <c r="J1678" s="32"/>
      <c r="K1678" s="17"/>
      <c r="L1678" s="38"/>
      <c r="M1678" s="27"/>
      <c r="N1678" s="17"/>
      <c r="O1678" s="17"/>
      <c r="P1678" s="40" t="s">
        <v>638</v>
      </c>
      <c r="Q1678" s="12"/>
      <c r="R1678" s="12" t="s">
        <v>6798</v>
      </c>
      <c r="S1678" s="12"/>
      <c r="T1678" s="12" t="s">
        <v>6799</v>
      </c>
      <c r="U1678" s="12"/>
      <c r="V1678" s="21" t="s">
        <v>31</v>
      </c>
      <c r="Z1678" s="12"/>
      <c r="AA1678" s="29"/>
      <c r="AB1678" s="84"/>
      <c r="AC1678" s="12"/>
      <c r="AD1678" s="12"/>
      <c r="AE1678" s="12"/>
    </row>
    <row r="1679" customFormat="false" ht="15.75" hidden="false" customHeight="false" outlineLevel="0" collapsed="false">
      <c r="A1679" s="12"/>
      <c r="B1679" s="20"/>
      <c r="C1679" s="48" t="s">
        <v>6800</v>
      </c>
      <c r="D1679" s="24"/>
      <c r="E1679" s="49"/>
      <c r="F1679" s="49"/>
      <c r="G1679" s="17"/>
      <c r="H1679" s="17"/>
      <c r="I1679" s="17"/>
      <c r="J1679" s="32"/>
      <c r="K1679" s="17"/>
      <c r="L1679" s="38"/>
      <c r="M1679" s="50"/>
      <c r="N1679" s="17"/>
      <c r="O1679" s="17"/>
      <c r="P1679" s="40"/>
      <c r="Q1679" s="12"/>
      <c r="R1679" s="12"/>
      <c r="S1679" s="12"/>
      <c r="T1679" s="12"/>
      <c r="U1679" s="12"/>
      <c r="V1679" s="21"/>
      <c r="Z1679" s="12"/>
      <c r="AA1679" s="29"/>
      <c r="AB1679" s="111"/>
      <c r="AC1679" s="12"/>
      <c r="AD1679" s="12"/>
      <c r="AE1679" s="12"/>
    </row>
    <row r="1680" customFormat="false" ht="15.75" hidden="false" customHeight="false" outlineLevel="0" collapsed="false">
      <c r="A1680" s="12"/>
      <c r="B1680" s="20"/>
      <c r="C1680" s="48" t="s">
        <v>6801</v>
      </c>
      <c r="D1680" s="24"/>
      <c r="E1680" s="49" t="s">
        <v>6802</v>
      </c>
      <c r="F1680" s="49" t="s">
        <v>6803</v>
      </c>
      <c r="G1680" s="17"/>
      <c r="H1680" s="17"/>
      <c r="I1680" s="26" t="s">
        <v>166</v>
      </c>
      <c r="J1680" s="32"/>
      <c r="K1680" s="17"/>
      <c r="L1680" s="38"/>
      <c r="M1680" s="50"/>
      <c r="N1680" s="17"/>
      <c r="O1680" s="17"/>
      <c r="P1680" s="40" t="s">
        <v>168</v>
      </c>
      <c r="Q1680" s="12"/>
      <c r="R1680" s="12"/>
      <c r="S1680" s="12"/>
      <c r="T1680" s="12"/>
      <c r="U1680" s="12"/>
      <c r="V1680" s="21"/>
      <c r="Z1680" s="12"/>
      <c r="AA1680" s="29"/>
      <c r="AB1680" s="50" t="s">
        <v>6804</v>
      </c>
      <c r="AC1680" s="12"/>
      <c r="AD1680" s="12"/>
      <c r="AE1680" s="12"/>
      <c r="AG1680" s="47"/>
    </row>
    <row r="1681" customFormat="false" ht="15.75" hidden="false" customHeight="false" outlineLevel="0" collapsed="false">
      <c r="A1681" s="12"/>
      <c r="B1681" s="20"/>
      <c r="C1681" s="48" t="s">
        <v>6805</v>
      </c>
      <c r="D1681" s="24"/>
      <c r="E1681" s="49" t="s">
        <v>6806</v>
      </c>
      <c r="F1681" s="49" t="s">
        <v>6807</v>
      </c>
      <c r="G1681" s="17"/>
      <c r="H1681" s="17"/>
      <c r="I1681" s="26" t="s">
        <v>166</v>
      </c>
      <c r="J1681" s="32"/>
      <c r="K1681" s="17"/>
      <c r="L1681" s="38"/>
      <c r="M1681" s="46"/>
      <c r="N1681" s="17"/>
      <c r="O1681" s="17"/>
      <c r="P1681" s="40" t="s">
        <v>168</v>
      </c>
      <c r="Q1681" s="12"/>
      <c r="R1681" s="12"/>
      <c r="S1681" s="12"/>
      <c r="T1681" s="12"/>
      <c r="U1681" s="12"/>
      <c r="V1681" s="21"/>
      <c r="Z1681" s="12"/>
      <c r="AA1681" s="29"/>
      <c r="AB1681" s="46" t="s">
        <v>5949</v>
      </c>
      <c r="AC1681" s="12"/>
      <c r="AD1681" s="12"/>
      <c r="AE1681" s="12"/>
      <c r="AG1681" s="47"/>
    </row>
    <row r="1682" customFormat="false" ht="15.75" hidden="false" customHeight="false" outlineLevel="0" collapsed="false">
      <c r="A1682" s="12"/>
      <c r="B1682" s="20"/>
      <c r="C1682" s="48" t="s">
        <v>6808</v>
      </c>
      <c r="D1682" s="24"/>
      <c r="E1682" s="49" t="s">
        <v>6809</v>
      </c>
      <c r="F1682" s="49" t="s">
        <v>6810</v>
      </c>
      <c r="G1682" s="17"/>
      <c r="H1682" s="17"/>
      <c r="I1682" s="26" t="s">
        <v>166</v>
      </c>
      <c r="J1682" s="32"/>
      <c r="K1682" s="17"/>
      <c r="L1682" s="38"/>
      <c r="M1682" s="50"/>
      <c r="N1682" s="17"/>
      <c r="O1682" s="17"/>
      <c r="P1682" s="40" t="s">
        <v>168</v>
      </c>
      <c r="Q1682" s="20"/>
      <c r="R1682" s="20"/>
      <c r="S1682" s="20"/>
      <c r="T1682" s="20"/>
      <c r="U1682" s="20"/>
      <c r="V1682" s="45"/>
      <c r="Z1682" s="20"/>
      <c r="AA1682" s="22"/>
      <c r="AB1682" s="50" t="s">
        <v>6811</v>
      </c>
      <c r="AC1682" s="20"/>
      <c r="AD1682" s="20"/>
      <c r="AE1682" s="20"/>
      <c r="AG1682" s="47"/>
    </row>
    <row r="1683" customFormat="false" ht="15.75" hidden="false" customHeight="false" outlineLevel="0" collapsed="false">
      <c r="A1683" s="12"/>
      <c r="B1683" s="12"/>
      <c r="C1683" s="23" t="s">
        <v>6812</v>
      </c>
      <c r="D1683" s="24"/>
      <c r="E1683" s="25" t="s">
        <v>6813</v>
      </c>
      <c r="F1683" s="17" t="s">
        <v>6814</v>
      </c>
      <c r="G1683" s="17" t="s">
        <v>1600</v>
      </c>
      <c r="H1683" s="17"/>
      <c r="I1683" s="26" t="s">
        <v>82</v>
      </c>
      <c r="J1683" s="32"/>
      <c r="K1683" s="17"/>
      <c r="L1683" s="38"/>
      <c r="M1683" s="27"/>
      <c r="N1683" s="17"/>
      <c r="O1683" s="17"/>
      <c r="P1683" s="40" t="s">
        <v>638</v>
      </c>
      <c r="Q1683" s="12"/>
      <c r="R1683" s="12" t="s">
        <v>6815</v>
      </c>
      <c r="S1683" s="12"/>
      <c r="T1683" s="12" t="s">
        <v>6816</v>
      </c>
      <c r="U1683" s="12"/>
      <c r="V1683" s="21" t="s">
        <v>31</v>
      </c>
      <c r="Z1683" s="12"/>
      <c r="AA1683" s="29"/>
      <c r="AB1683" s="84"/>
      <c r="AC1683" s="12"/>
      <c r="AD1683" s="12"/>
      <c r="AE1683" s="12"/>
    </row>
    <row r="1684" customFormat="false" ht="15.75" hidden="false" customHeight="false" outlineLevel="0" collapsed="false">
      <c r="A1684" s="12"/>
      <c r="B1684" s="20"/>
      <c r="C1684" s="48" t="s">
        <v>6817</v>
      </c>
      <c r="D1684" s="24"/>
      <c r="E1684" s="49" t="s">
        <v>6818</v>
      </c>
      <c r="F1684" s="49" t="s">
        <v>6819</v>
      </c>
      <c r="G1684" s="17"/>
      <c r="H1684" s="17"/>
      <c r="I1684" s="26" t="s">
        <v>166</v>
      </c>
      <c r="J1684" s="32"/>
      <c r="K1684" s="17"/>
      <c r="L1684" s="38"/>
      <c r="M1684" s="50"/>
      <c r="N1684" s="17"/>
      <c r="O1684" s="17"/>
      <c r="P1684" s="40" t="s">
        <v>168</v>
      </c>
      <c r="Q1684" s="12"/>
      <c r="R1684" s="12"/>
      <c r="S1684" s="12"/>
      <c r="T1684" s="12"/>
      <c r="U1684" s="12"/>
      <c r="V1684" s="21"/>
      <c r="Z1684" s="12"/>
      <c r="AA1684" s="29"/>
      <c r="AB1684" s="50" t="s">
        <v>6820</v>
      </c>
      <c r="AC1684" s="12"/>
      <c r="AD1684" s="12"/>
      <c r="AE1684" s="12"/>
      <c r="AG1684" s="47"/>
    </row>
    <row r="1685" customFormat="false" ht="15.75" hidden="false" customHeight="false" outlineLevel="0" collapsed="false">
      <c r="A1685" s="12"/>
      <c r="B1685" s="20"/>
      <c r="C1685" s="48" t="s">
        <v>6821</v>
      </c>
      <c r="D1685" s="24"/>
      <c r="E1685" s="49" t="s">
        <v>6822</v>
      </c>
      <c r="F1685" s="49" t="s">
        <v>6823</v>
      </c>
      <c r="G1685" s="17"/>
      <c r="H1685" s="17"/>
      <c r="I1685" s="26" t="s">
        <v>166</v>
      </c>
      <c r="J1685" s="32"/>
      <c r="K1685" s="17"/>
      <c r="L1685" s="38"/>
      <c r="M1685" s="50"/>
      <c r="N1685" s="17"/>
      <c r="O1685" s="17"/>
      <c r="P1685" s="40" t="s">
        <v>168</v>
      </c>
      <c r="Q1685" s="12"/>
      <c r="R1685" s="12"/>
      <c r="S1685" s="12"/>
      <c r="T1685" s="12"/>
      <c r="U1685" s="12"/>
      <c r="V1685" s="21"/>
      <c r="Z1685" s="12"/>
      <c r="AA1685" s="29"/>
      <c r="AB1685" s="50" t="s">
        <v>6824</v>
      </c>
      <c r="AC1685" s="12"/>
      <c r="AD1685" s="12"/>
      <c r="AE1685" s="12"/>
      <c r="AG1685" s="47"/>
    </row>
    <row r="1686" customFormat="false" ht="15.75" hidden="false" customHeight="false" outlineLevel="0" collapsed="false">
      <c r="A1686" s="12"/>
      <c r="B1686" s="20"/>
      <c r="C1686" s="48" t="s">
        <v>6825</v>
      </c>
      <c r="D1686" s="24"/>
      <c r="E1686" s="49" t="s">
        <v>6826</v>
      </c>
      <c r="F1686" s="49" t="s">
        <v>6827</v>
      </c>
      <c r="G1686" s="17"/>
      <c r="H1686" s="17"/>
      <c r="I1686" s="26" t="s">
        <v>166</v>
      </c>
      <c r="J1686" s="32"/>
      <c r="K1686" s="17"/>
      <c r="L1686" s="38"/>
      <c r="M1686" s="46"/>
      <c r="N1686" s="17"/>
      <c r="O1686" s="17"/>
      <c r="P1686" s="40" t="s">
        <v>168</v>
      </c>
      <c r="Q1686" s="12"/>
      <c r="R1686" s="12"/>
      <c r="S1686" s="12"/>
      <c r="T1686" s="12"/>
      <c r="U1686" s="12"/>
      <c r="V1686" s="21"/>
      <c r="Z1686" s="12"/>
      <c r="AA1686" s="29"/>
      <c r="AB1686" s="46" t="s">
        <v>5949</v>
      </c>
      <c r="AC1686" s="12"/>
      <c r="AD1686" s="12"/>
      <c r="AE1686" s="12"/>
      <c r="AF1686" s="47"/>
      <c r="AG1686" s="47"/>
    </row>
    <row r="1687" customFormat="false" ht="15.75" hidden="false" customHeight="false" outlineLevel="0" collapsed="false">
      <c r="A1687" s="12"/>
      <c r="B1687" s="20"/>
      <c r="C1687" s="48" t="s">
        <v>6828</v>
      </c>
      <c r="D1687" s="24"/>
      <c r="E1687" s="49" t="s">
        <v>6829</v>
      </c>
      <c r="F1687" s="49" t="s">
        <v>6830</v>
      </c>
      <c r="G1687" s="17"/>
      <c r="H1687" s="17"/>
      <c r="I1687" s="26" t="s">
        <v>166</v>
      </c>
      <c r="J1687" s="32"/>
      <c r="K1687" s="17"/>
      <c r="L1687" s="38"/>
      <c r="M1687" s="50"/>
      <c r="N1687" s="17"/>
      <c r="O1687" s="17"/>
      <c r="P1687" s="40" t="s">
        <v>168</v>
      </c>
      <c r="Q1687" s="12"/>
      <c r="R1687" s="12"/>
      <c r="S1687" s="12"/>
      <c r="T1687" s="12"/>
      <c r="U1687" s="12"/>
      <c r="V1687" s="21"/>
      <c r="Z1687" s="12"/>
      <c r="AA1687" s="29"/>
      <c r="AB1687" s="50" t="s">
        <v>5306</v>
      </c>
      <c r="AC1687" s="12"/>
      <c r="AD1687" s="12"/>
      <c r="AE1687" s="12"/>
      <c r="AF1687" s="47"/>
      <c r="AG1687" s="47"/>
    </row>
    <row r="1688" customFormat="false" ht="15.75" hidden="false" customHeight="false" outlineLevel="0" collapsed="false">
      <c r="A1688" s="12"/>
      <c r="B1688" s="20"/>
      <c r="C1688" s="48" t="s">
        <v>6831</v>
      </c>
      <c r="D1688" s="24"/>
      <c r="E1688" s="49" t="s">
        <v>6832</v>
      </c>
      <c r="F1688" s="49" t="s">
        <v>6833</v>
      </c>
      <c r="G1688" s="17"/>
      <c r="H1688" s="17"/>
      <c r="I1688" s="26" t="s">
        <v>166</v>
      </c>
      <c r="J1688" s="32"/>
      <c r="K1688" s="17"/>
      <c r="L1688" s="38"/>
      <c r="M1688" s="50"/>
      <c r="N1688" s="17"/>
      <c r="O1688" s="17"/>
      <c r="P1688" s="40" t="s">
        <v>168</v>
      </c>
      <c r="Q1688" s="12"/>
      <c r="R1688" s="12"/>
      <c r="S1688" s="12"/>
      <c r="T1688" s="12"/>
      <c r="U1688" s="12"/>
      <c r="V1688" s="21"/>
      <c r="Z1688" s="12"/>
      <c r="AA1688" s="29"/>
      <c r="AB1688" s="50" t="s">
        <v>5306</v>
      </c>
      <c r="AC1688" s="12"/>
      <c r="AD1688" s="12"/>
      <c r="AE1688" s="12"/>
      <c r="AG1688" s="47"/>
    </row>
    <row r="1689" customFormat="false" ht="15.75" hidden="false" customHeight="false" outlineLevel="0" collapsed="false">
      <c r="A1689" s="12"/>
      <c r="B1689" s="13"/>
      <c r="C1689" s="14" t="s">
        <v>6834</v>
      </c>
      <c r="D1689" s="24"/>
      <c r="E1689" s="16" t="s">
        <v>6835</v>
      </c>
      <c r="F1689" s="16" t="s">
        <v>6836</v>
      </c>
      <c r="G1689" s="17"/>
      <c r="H1689" s="17"/>
      <c r="I1689" s="26" t="s">
        <v>166</v>
      </c>
      <c r="J1689" s="32"/>
      <c r="K1689" s="17"/>
      <c r="L1689" s="38"/>
      <c r="M1689" s="46"/>
      <c r="N1689" s="17"/>
      <c r="O1689" s="17"/>
      <c r="P1689" s="40" t="s">
        <v>168</v>
      </c>
      <c r="Q1689" s="12"/>
      <c r="R1689" s="12"/>
      <c r="S1689" s="12"/>
      <c r="T1689" s="12"/>
      <c r="U1689" s="12"/>
      <c r="V1689" s="21"/>
      <c r="Z1689" s="12"/>
      <c r="AA1689" s="29"/>
      <c r="AB1689" s="46" t="s">
        <v>5949</v>
      </c>
      <c r="AC1689" s="12"/>
      <c r="AD1689" s="12"/>
      <c r="AE1689" s="12"/>
    </row>
    <row r="1690" customFormat="false" ht="15.75" hidden="false" customHeight="false" outlineLevel="0" collapsed="false">
      <c r="A1690" s="12"/>
      <c r="B1690" s="20"/>
      <c r="C1690" s="48" t="s">
        <v>6837</v>
      </c>
      <c r="D1690" s="24"/>
      <c r="E1690" s="49" t="s">
        <v>6838</v>
      </c>
      <c r="F1690" s="49" t="s">
        <v>6839</v>
      </c>
      <c r="G1690" s="17"/>
      <c r="H1690" s="17"/>
      <c r="I1690" s="26" t="s">
        <v>166</v>
      </c>
      <c r="J1690" s="32"/>
      <c r="K1690" s="17"/>
      <c r="L1690" s="38"/>
      <c r="M1690" s="50"/>
      <c r="N1690" s="17"/>
      <c r="O1690" s="17"/>
      <c r="P1690" s="40" t="s">
        <v>168</v>
      </c>
      <c r="Q1690" s="12"/>
      <c r="R1690" s="12"/>
      <c r="S1690" s="12"/>
      <c r="T1690" s="12"/>
      <c r="U1690" s="12"/>
      <c r="V1690" s="21"/>
      <c r="Z1690" s="12"/>
      <c r="AA1690" s="29"/>
      <c r="AB1690" s="50" t="s">
        <v>6840</v>
      </c>
      <c r="AC1690" s="12"/>
      <c r="AD1690" s="12"/>
      <c r="AE1690" s="12"/>
      <c r="AG1690" s="47"/>
    </row>
    <row r="1691" customFormat="false" ht="15.75" hidden="false" customHeight="false" outlineLevel="0" collapsed="false">
      <c r="A1691" s="12"/>
      <c r="B1691" s="20"/>
      <c r="C1691" s="48" t="s">
        <v>6841</v>
      </c>
      <c r="D1691" s="24"/>
      <c r="E1691" s="49" t="s">
        <v>6842</v>
      </c>
      <c r="F1691" s="49" t="s">
        <v>6843</v>
      </c>
      <c r="G1691" s="17"/>
      <c r="H1691" s="17"/>
      <c r="I1691" s="26" t="s">
        <v>166</v>
      </c>
      <c r="J1691" s="32"/>
      <c r="K1691" s="17"/>
      <c r="L1691" s="38"/>
      <c r="M1691" s="50"/>
      <c r="N1691" s="17"/>
      <c r="O1691" s="17"/>
      <c r="P1691" s="40" t="s">
        <v>168</v>
      </c>
      <c r="Q1691" s="12"/>
      <c r="R1691" s="12"/>
      <c r="S1691" s="12"/>
      <c r="T1691" s="12"/>
      <c r="U1691" s="12"/>
      <c r="V1691" s="21"/>
      <c r="Z1691" s="12"/>
      <c r="AA1691" s="29"/>
      <c r="AB1691" s="50" t="s">
        <v>6844</v>
      </c>
      <c r="AC1691" s="12"/>
      <c r="AD1691" s="12"/>
      <c r="AE1691" s="12"/>
      <c r="AF1691" s="47"/>
      <c r="AG1691" s="47"/>
    </row>
    <row r="1692" customFormat="false" ht="15.75" hidden="false" customHeight="false" outlineLevel="0" collapsed="false">
      <c r="A1692" s="12"/>
      <c r="B1692" s="20"/>
      <c r="C1692" s="48" t="s">
        <v>6845</v>
      </c>
      <c r="D1692" s="24"/>
      <c r="E1692" s="49" t="s">
        <v>6846</v>
      </c>
      <c r="F1692" s="49" t="s">
        <v>6847</v>
      </c>
      <c r="G1692" s="17"/>
      <c r="H1692" s="17"/>
      <c r="I1692" s="26" t="s">
        <v>166</v>
      </c>
      <c r="J1692" s="32"/>
      <c r="K1692" s="17"/>
      <c r="L1692" s="38"/>
      <c r="M1692" s="50"/>
      <c r="N1692" s="17"/>
      <c r="O1692" s="17"/>
      <c r="P1692" s="40" t="s">
        <v>168</v>
      </c>
      <c r="Q1692" s="12"/>
      <c r="R1692" s="12"/>
      <c r="S1692" s="12"/>
      <c r="T1692" s="12"/>
      <c r="U1692" s="12"/>
      <c r="V1692" s="21"/>
      <c r="Z1692" s="12"/>
      <c r="AA1692" s="29"/>
      <c r="AB1692" s="50" t="s">
        <v>6848</v>
      </c>
      <c r="AC1692" s="12"/>
      <c r="AD1692" s="12"/>
      <c r="AE1692" s="12"/>
      <c r="AF1692" s="47"/>
      <c r="AG1692" s="47"/>
    </row>
    <row r="1693" customFormat="false" ht="15.75" hidden="false" customHeight="false" outlineLevel="0" collapsed="false">
      <c r="A1693" s="12"/>
      <c r="B1693" s="54"/>
      <c r="C1693" s="112" t="s">
        <v>6849</v>
      </c>
      <c r="D1693" s="15"/>
      <c r="E1693" s="17"/>
      <c r="F1693" s="17"/>
      <c r="G1693" s="17"/>
      <c r="H1693" s="32"/>
      <c r="I1693" s="26" t="s">
        <v>886</v>
      </c>
      <c r="J1693" s="32"/>
      <c r="K1693" s="17"/>
      <c r="L1693" s="38"/>
      <c r="M1693" s="27"/>
      <c r="N1693" s="17"/>
      <c r="O1693" s="17"/>
      <c r="P1693" s="40" t="s">
        <v>3671</v>
      </c>
      <c r="Q1693" s="12"/>
      <c r="R1693" s="12"/>
      <c r="S1693" s="12"/>
      <c r="T1693" s="12"/>
      <c r="U1693" s="12"/>
      <c r="V1693" s="21"/>
      <c r="Z1693" s="12"/>
      <c r="AA1693" s="29"/>
      <c r="AB1693" s="84"/>
      <c r="AC1693" s="12"/>
      <c r="AD1693" s="12"/>
      <c r="AE1693" s="12"/>
    </row>
    <row r="1694" customFormat="false" ht="15.75" hidden="false" customHeight="false" outlineLevel="0" collapsed="false">
      <c r="A1694" s="12"/>
      <c r="B1694" s="12"/>
      <c r="C1694" s="23" t="s">
        <v>6850</v>
      </c>
      <c r="D1694" s="24"/>
      <c r="E1694" s="25" t="s">
        <v>6851</v>
      </c>
      <c r="F1694" s="17" t="s">
        <v>6852</v>
      </c>
      <c r="G1694" s="17" t="s">
        <v>1600</v>
      </c>
      <c r="H1694" s="17"/>
      <c r="I1694" s="26" t="s">
        <v>82</v>
      </c>
      <c r="J1694" s="32"/>
      <c r="K1694" s="17"/>
      <c r="L1694" s="38"/>
      <c r="M1694" s="27"/>
      <c r="N1694" s="17"/>
      <c r="O1694" s="17"/>
      <c r="P1694" s="40" t="s">
        <v>638</v>
      </c>
      <c r="Q1694" s="12"/>
      <c r="R1694" s="12" t="s">
        <v>6853</v>
      </c>
      <c r="S1694" s="12"/>
      <c r="T1694" s="12" t="s">
        <v>6854</v>
      </c>
      <c r="U1694" s="12"/>
      <c r="V1694" s="21" t="s">
        <v>31</v>
      </c>
      <c r="Z1694" s="12"/>
      <c r="AA1694" s="29"/>
      <c r="AB1694" s="84"/>
      <c r="AC1694" s="12"/>
      <c r="AD1694" s="12"/>
      <c r="AE1694" s="12"/>
    </row>
    <row r="1695" customFormat="false" ht="15.75" hidden="false" customHeight="false" outlineLevel="0" collapsed="false">
      <c r="A1695" s="12"/>
      <c r="B1695" s="13"/>
      <c r="C1695" s="14" t="s">
        <v>6855</v>
      </c>
      <c r="D1695" s="24"/>
      <c r="E1695" s="16" t="s">
        <v>6856</v>
      </c>
      <c r="F1695" s="16" t="s">
        <v>6857</v>
      </c>
      <c r="G1695" s="17"/>
      <c r="H1695" s="17"/>
      <c r="I1695" s="26" t="s">
        <v>166</v>
      </c>
      <c r="J1695" s="32"/>
      <c r="K1695" s="17"/>
      <c r="L1695" s="38"/>
      <c r="M1695" s="46"/>
      <c r="N1695" s="17"/>
      <c r="O1695" s="17"/>
      <c r="P1695" s="40" t="s">
        <v>168</v>
      </c>
      <c r="Q1695" s="20"/>
      <c r="R1695" s="20"/>
      <c r="S1695" s="20"/>
      <c r="T1695" s="20"/>
      <c r="U1695" s="20"/>
      <c r="V1695" s="45"/>
      <c r="Z1695" s="20"/>
      <c r="AA1695" s="22"/>
      <c r="AB1695" s="46" t="s">
        <v>5949</v>
      </c>
      <c r="AC1695" s="20"/>
      <c r="AD1695" s="20"/>
      <c r="AE1695" s="20"/>
      <c r="AF1695" s="47"/>
      <c r="AG1695" s="47"/>
    </row>
    <row r="1696" customFormat="false" ht="15.75" hidden="false" customHeight="false" outlineLevel="0" collapsed="false">
      <c r="A1696" s="12"/>
      <c r="B1696" s="13"/>
      <c r="C1696" s="14" t="s">
        <v>6858</v>
      </c>
      <c r="D1696" s="24"/>
      <c r="E1696" s="16" t="s">
        <v>6859</v>
      </c>
      <c r="F1696" s="16" t="s">
        <v>6860</v>
      </c>
      <c r="G1696" s="17"/>
      <c r="H1696" s="17"/>
      <c r="I1696" s="26" t="s">
        <v>166</v>
      </c>
      <c r="J1696" s="32"/>
      <c r="K1696" s="17"/>
      <c r="L1696" s="38"/>
      <c r="M1696" s="46"/>
      <c r="N1696" s="17"/>
      <c r="O1696" s="17"/>
      <c r="P1696" s="40" t="s">
        <v>168</v>
      </c>
      <c r="Q1696" s="12"/>
      <c r="R1696" s="12"/>
      <c r="S1696" s="12"/>
      <c r="T1696" s="12"/>
      <c r="U1696" s="12"/>
      <c r="V1696" s="21"/>
      <c r="Z1696" s="12"/>
      <c r="AA1696" s="29"/>
      <c r="AB1696" s="46" t="s">
        <v>5949</v>
      </c>
      <c r="AC1696" s="12"/>
      <c r="AD1696" s="12"/>
      <c r="AE1696" s="12"/>
      <c r="AG1696" s="47"/>
    </row>
    <row r="1697" customFormat="false" ht="15.75" hidden="false" customHeight="false" outlineLevel="0" collapsed="false">
      <c r="A1697" s="12"/>
      <c r="B1697" s="13"/>
      <c r="C1697" s="14" t="s">
        <v>6861</v>
      </c>
      <c r="D1697" s="24"/>
      <c r="E1697" s="16" t="s">
        <v>6862</v>
      </c>
      <c r="F1697" s="16" t="s">
        <v>6863</v>
      </c>
      <c r="G1697" s="17"/>
      <c r="H1697" s="17"/>
      <c r="I1697" s="26" t="s">
        <v>166</v>
      </c>
      <c r="J1697" s="32"/>
      <c r="K1697" s="17"/>
      <c r="L1697" s="38"/>
      <c r="M1697" s="78"/>
      <c r="N1697" s="17"/>
      <c r="O1697" s="17"/>
      <c r="P1697" s="40" t="s">
        <v>168</v>
      </c>
      <c r="Q1697" s="20"/>
      <c r="R1697" s="20"/>
      <c r="S1697" s="20"/>
      <c r="T1697" s="20"/>
      <c r="U1697" s="20"/>
      <c r="V1697" s="45"/>
      <c r="Z1697" s="20"/>
      <c r="AA1697" s="22"/>
      <c r="AB1697" s="78" t="s">
        <v>6864</v>
      </c>
      <c r="AC1697" s="20"/>
      <c r="AD1697" s="20"/>
      <c r="AE1697" s="20"/>
      <c r="AG1697" s="47"/>
    </row>
    <row r="1698" customFormat="false" ht="15.75" hidden="false" customHeight="false" outlineLevel="0" collapsed="false">
      <c r="A1698" s="12"/>
      <c r="B1698" s="13"/>
      <c r="C1698" s="14" t="s">
        <v>6865</v>
      </c>
      <c r="D1698" s="24"/>
      <c r="E1698" s="16" t="s">
        <v>6866</v>
      </c>
      <c r="F1698" s="16" t="s">
        <v>6867</v>
      </c>
      <c r="G1698" s="17"/>
      <c r="H1698" s="17"/>
      <c r="I1698" s="26" t="s">
        <v>166</v>
      </c>
      <c r="J1698" s="32"/>
      <c r="K1698" s="17"/>
      <c r="L1698" s="38"/>
      <c r="M1698" s="78"/>
      <c r="N1698" s="17"/>
      <c r="O1698" s="17"/>
      <c r="P1698" s="40" t="s">
        <v>168</v>
      </c>
      <c r="Q1698" s="12"/>
      <c r="R1698" s="12"/>
      <c r="S1698" s="12"/>
      <c r="T1698" s="12"/>
      <c r="U1698" s="12"/>
      <c r="V1698" s="21"/>
      <c r="Z1698" s="12"/>
      <c r="AA1698" s="29"/>
      <c r="AB1698" s="78" t="s">
        <v>6868</v>
      </c>
      <c r="AC1698" s="12"/>
      <c r="AD1698" s="12"/>
      <c r="AE1698" s="12"/>
    </row>
    <row r="1699" customFormat="false" ht="15.75" hidden="false" customHeight="false" outlineLevel="0" collapsed="false">
      <c r="A1699" s="12"/>
      <c r="B1699" s="20"/>
      <c r="C1699" s="48" t="s">
        <v>6869</v>
      </c>
      <c r="D1699" s="24"/>
      <c r="E1699" s="49" t="s">
        <v>6870</v>
      </c>
      <c r="F1699" s="49" t="s">
        <v>6871</v>
      </c>
      <c r="G1699" s="17"/>
      <c r="H1699" s="17"/>
      <c r="I1699" s="26" t="s">
        <v>166</v>
      </c>
      <c r="J1699" s="32"/>
      <c r="K1699" s="17"/>
      <c r="L1699" s="38"/>
      <c r="M1699" s="46"/>
      <c r="N1699" s="17"/>
      <c r="O1699" s="17"/>
      <c r="P1699" s="40" t="s">
        <v>168</v>
      </c>
      <c r="Q1699" s="20"/>
      <c r="R1699" s="20"/>
      <c r="S1699" s="20"/>
      <c r="T1699" s="20"/>
      <c r="U1699" s="20"/>
      <c r="V1699" s="45"/>
      <c r="Z1699" s="20"/>
      <c r="AA1699" s="22"/>
      <c r="AB1699" s="46" t="s">
        <v>5949</v>
      </c>
      <c r="AC1699" s="20"/>
      <c r="AD1699" s="20"/>
      <c r="AE1699" s="20"/>
      <c r="AF1699" s="47"/>
      <c r="AG1699" s="47"/>
    </row>
    <row r="1700" customFormat="false" ht="15.75" hidden="false" customHeight="false" outlineLevel="0" collapsed="false">
      <c r="A1700" s="12"/>
      <c r="B1700" s="20"/>
      <c r="C1700" s="48" t="s">
        <v>6872</v>
      </c>
      <c r="D1700" s="24"/>
      <c r="E1700" s="49" t="s">
        <v>6873</v>
      </c>
      <c r="F1700" s="49" t="s">
        <v>6874</v>
      </c>
      <c r="G1700" s="17"/>
      <c r="H1700" s="17"/>
      <c r="I1700" s="26" t="s">
        <v>166</v>
      </c>
      <c r="J1700" s="32"/>
      <c r="K1700" s="17"/>
      <c r="L1700" s="38"/>
      <c r="M1700" s="50"/>
      <c r="N1700" s="17"/>
      <c r="O1700" s="17"/>
      <c r="P1700" s="40" t="s">
        <v>168</v>
      </c>
      <c r="Q1700" s="12"/>
      <c r="R1700" s="12"/>
      <c r="S1700" s="12"/>
      <c r="T1700" s="12"/>
      <c r="U1700" s="12"/>
      <c r="V1700" s="21"/>
      <c r="Z1700" s="12"/>
      <c r="AA1700" s="29"/>
      <c r="AB1700" s="50" t="s">
        <v>5306</v>
      </c>
      <c r="AC1700" s="12"/>
      <c r="AD1700" s="12"/>
      <c r="AE1700" s="12"/>
      <c r="AG1700" s="47"/>
    </row>
    <row r="1701" customFormat="false" ht="15.75" hidden="false" customHeight="false" outlineLevel="0" collapsed="false">
      <c r="A1701" s="12"/>
      <c r="B1701" s="20"/>
      <c r="C1701" s="48" t="s">
        <v>6875</v>
      </c>
      <c r="D1701" s="24"/>
      <c r="E1701" s="49" t="s">
        <v>6876</v>
      </c>
      <c r="F1701" s="49" t="s">
        <v>6877</v>
      </c>
      <c r="G1701" s="17"/>
      <c r="H1701" s="17"/>
      <c r="I1701" s="26" t="s">
        <v>166</v>
      </c>
      <c r="J1701" s="32"/>
      <c r="K1701" s="17"/>
      <c r="L1701" s="38"/>
      <c r="M1701" s="46"/>
      <c r="N1701" s="17"/>
      <c r="O1701" s="17"/>
      <c r="P1701" s="40" t="s">
        <v>168</v>
      </c>
      <c r="Q1701" s="12"/>
      <c r="R1701" s="12"/>
      <c r="S1701" s="12"/>
      <c r="T1701" s="12"/>
      <c r="U1701" s="12"/>
      <c r="V1701" s="21"/>
      <c r="Z1701" s="12"/>
      <c r="AA1701" s="29"/>
      <c r="AB1701" s="46" t="s">
        <v>5949</v>
      </c>
      <c r="AC1701" s="12"/>
      <c r="AD1701" s="12"/>
      <c r="AE1701" s="12"/>
      <c r="AF1701" s="47"/>
      <c r="AG1701" s="47"/>
    </row>
    <row r="1702" customFormat="false" ht="15.75" hidden="false" customHeight="false" outlineLevel="0" collapsed="false">
      <c r="A1702" s="12"/>
      <c r="B1702" s="12"/>
      <c r="C1702" s="23" t="s">
        <v>6878</v>
      </c>
      <c r="D1702" s="24"/>
      <c r="E1702" s="25" t="s">
        <v>6879</v>
      </c>
      <c r="F1702" s="17" t="s">
        <v>6880</v>
      </c>
      <c r="G1702" s="17" t="s">
        <v>1100</v>
      </c>
      <c r="H1702" s="17"/>
      <c r="I1702" s="26" t="s">
        <v>82</v>
      </c>
      <c r="J1702" s="32"/>
      <c r="K1702" s="17"/>
      <c r="L1702" s="38"/>
      <c r="M1702" s="27"/>
      <c r="N1702" s="17"/>
      <c r="O1702" s="17"/>
      <c r="P1702" s="40" t="s">
        <v>638</v>
      </c>
      <c r="Q1702" s="20"/>
      <c r="R1702" s="20" t="s">
        <v>6881</v>
      </c>
      <c r="S1702" s="20"/>
      <c r="T1702" s="20" t="s">
        <v>6882</v>
      </c>
      <c r="U1702" s="20"/>
      <c r="V1702" s="21" t="s">
        <v>31</v>
      </c>
      <c r="Z1702" s="20"/>
      <c r="AA1702" s="22"/>
      <c r="AB1702" s="84"/>
      <c r="AC1702" s="20"/>
      <c r="AD1702" s="20"/>
      <c r="AE1702" s="20"/>
    </row>
    <row r="1703" customFormat="false" ht="15.75" hidden="false" customHeight="false" outlineLevel="0" collapsed="false">
      <c r="A1703" s="12"/>
      <c r="B1703" s="12"/>
      <c r="C1703" s="23" t="s">
        <v>6883</v>
      </c>
      <c r="D1703" s="24"/>
      <c r="E1703" s="25" t="s">
        <v>6884</v>
      </c>
      <c r="F1703" s="17" t="s">
        <v>6885</v>
      </c>
      <c r="G1703" s="17" t="s">
        <v>1100</v>
      </c>
      <c r="H1703" s="17"/>
      <c r="I1703" s="26" t="s">
        <v>82</v>
      </c>
      <c r="J1703" s="32"/>
      <c r="K1703" s="17"/>
      <c r="L1703" s="38"/>
      <c r="M1703" s="27"/>
      <c r="N1703" s="17"/>
      <c r="O1703" s="17"/>
      <c r="P1703" s="40" t="s">
        <v>638</v>
      </c>
      <c r="Q1703" s="12"/>
      <c r="R1703" s="12" t="s">
        <v>6886</v>
      </c>
      <c r="S1703" s="12"/>
      <c r="T1703" s="12" t="s">
        <v>6887</v>
      </c>
      <c r="U1703" s="12"/>
      <c r="V1703" s="21" t="s">
        <v>31</v>
      </c>
      <c r="Z1703" s="12"/>
      <c r="AA1703" s="29"/>
      <c r="AB1703" s="84"/>
      <c r="AC1703" s="12"/>
      <c r="AD1703" s="12"/>
      <c r="AE1703" s="12"/>
    </row>
    <row r="1704" customFormat="false" ht="15.75" hidden="false" customHeight="false" outlineLevel="0" collapsed="false">
      <c r="A1704" s="12"/>
      <c r="B1704" s="12"/>
      <c r="C1704" s="23" t="s">
        <v>6888</v>
      </c>
      <c r="D1704" s="24"/>
      <c r="E1704" s="25" t="s">
        <v>6889</v>
      </c>
      <c r="F1704" s="17" t="s">
        <v>6890</v>
      </c>
      <c r="G1704" s="17" t="s">
        <v>5021</v>
      </c>
      <c r="H1704" s="17"/>
      <c r="I1704" s="26" t="s">
        <v>82</v>
      </c>
      <c r="J1704" s="32"/>
      <c r="K1704" s="17"/>
      <c r="L1704" s="38"/>
      <c r="M1704" s="27"/>
      <c r="N1704" s="17"/>
      <c r="O1704" s="17"/>
      <c r="P1704" s="40" t="s">
        <v>638</v>
      </c>
      <c r="Q1704" s="17"/>
      <c r="R1704" s="17" t="s">
        <v>6891</v>
      </c>
      <c r="S1704" s="17"/>
      <c r="T1704" s="17" t="s">
        <v>6892</v>
      </c>
      <c r="U1704" s="17"/>
      <c r="V1704" s="21" t="s">
        <v>31</v>
      </c>
      <c r="Z1704" s="17"/>
      <c r="AA1704" s="29"/>
      <c r="AB1704" s="84"/>
      <c r="AC1704" s="17"/>
      <c r="AD1704" s="17"/>
      <c r="AE1704" s="17"/>
    </row>
    <row r="1705" customFormat="false" ht="15.75" hidden="false" customHeight="false" outlineLevel="0" collapsed="false">
      <c r="A1705" s="12"/>
      <c r="B1705" s="20"/>
      <c r="C1705" s="48" t="s">
        <v>6893</v>
      </c>
      <c r="D1705" s="24"/>
      <c r="E1705" s="49" t="s">
        <v>6894</v>
      </c>
      <c r="F1705" s="49" t="s">
        <v>6895</v>
      </c>
      <c r="G1705" s="17"/>
      <c r="H1705" s="17"/>
      <c r="I1705" s="26" t="s">
        <v>166</v>
      </c>
      <c r="J1705" s="32"/>
      <c r="K1705" s="17"/>
      <c r="L1705" s="38"/>
      <c r="M1705" s="78"/>
      <c r="N1705" s="17"/>
      <c r="O1705" s="17"/>
      <c r="P1705" s="40" t="s">
        <v>168</v>
      </c>
      <c r="Q1705" s="12"/>
      <c r="R1705" s="12"/>
      <c r="S1705" s="12"/>
      <c r="T1705" s="12"/>
      <c r="U1705" s="12"/>
      <c r="V1705" s="21"/>
      <c r="Z1705" s="12"/>
      <c r="AA1705" s="29"/>
      <c r="AB1705" s="78" t="s">
        <v>6896</v>
      </c>
      <c r="AC1705" s="12"/>
      <c r="AD1705" s="12"/>
      <c r="AE1705" s="12"/>
    </row>
    <row r="1706" customFormat="false" ht="15.75" hidden="false" customHeight="false" outlineLevel="0" collapsed="false">
      <c r="A1706" s="12" t="s">
        <v>31</v>
      </c>
      <c r="B1706" s="12" t="s">
        <v>32</v>
      </c>
      <c r="C1706" s="23" t="s">
        <v>6893</v>
      </c>
      <c r="D1706" s="24" t="s">
        <v>94</v>
      </c>
      <c r="E1706" s="25" t="s">
        <v>6897</v>
      </c>
      <c r="F1706" s="17" t="s">
        <v>6898</v>
      </c>
      <c r="G1706" s="17" t="s">
        <v>754</v>
      </c>
      <c r="H1706" s="17"/>
      <c r="I1706" s="26" t="s">
        <v>166</v>
      </c>
      <c r="J1706" s="17"/>
      <c r="K1706" s="17"/>
      <c r="L1706" s="38"/>
      <c r="M1706" s="81" t="s">
        <v>6899</v>
      </c>
      <c r="N1706" s="17" t="s">
        <v>6900</v>
      </c>
      <c r="O1706" s="17" t="s">
        <v>149</v>
      </c>
      <c r="P1706" s="28" t="s">
        <v>59</v>
      </c>
      <c r="Q1706" s="20"/>
      <c r="R1706" s="20"/>
      <c r="S1706" s="20"/>
      <c r="T1706" s="20"/>
      <c r="U1706" s="20"/>
      <c r="V1706" s="45"/>
      <c r="Z1706" s="20"/>
      <c r="AA1706" s="22" t="n">
        <v>5</v>
      </c>
      <c r="AB1706" s="20"/>
      <c r="AC1706" s="20"/>
      <c r="AD1706" s="20"/>
      <c r="AE1706" s="20"/>
    </row>
    <row r="1707" customFormat="false" ht="15.75" hidden="false" customHeight="false" outlineLevel="0" collapsed="false">
      <c r="A1707" s="12"/>
      <c r="B1707" s="20"/>
      <c r="C1707" s="48" t="s">
        <v>6901</v>
      </c>
      <c r="D1707" s="24"/>
      <c r="E1707" s="49" t="s">
        <v>6902</v>
      </c>
      <c r="F1707" s="49" t="s">
        <v>6903</v>
      </c>
      <c r="G1707" s="17"/>
      <c r="H1707" s="17"/>
      <c r="I1707" s="26" t="s">
        <v>166</v>
      </c>
      <c r="J1707" s="32"/>
      <c r="K1707" s="17"/>
      <c r="L1707" s="38"/>
      <c r="M1707" s="50"/>
      <c r="N1707" s="17"/>
      <c r="O1707" s="17"/>
      <c r="P1707" s="40" t="s">
        <v>168</v>
      </c>
      <c r="Q1707" s="12"/>
      <c r="R1707" s="12"/>
      <c r="S1707" s="12"/>
      <c r="T1707" s="12"/>
      <c r="U1707" s="12"/>
      <c r="V1707" s="21"/>
      <c r="Z1707" s="12"/>
      <c r="AA1707" s="29"/>
      <c r="AB1707" s="50" t="s">
        <v>6904</v>
      </c>
      <c r="AC1707" s="12"/>
      <c r="AD1707" s="12"/>
      <c r="AE1707" s="12"/>
    </row>
    <row r="1708" customFormat="false" ht="15.75" hidden="false" customHeight="false" outlineLevel="0" collapsed="false">
      <c r="A1708" s="12"/>
      <c r="B1708" s="12"/>
      <c r="C1708" s="23" t="s">
        <v>6905</v>
      </c>
      <c r="D1708" s="24"/>
      <c r="E1708" s="17"/>
      <c r="F1708" s="17"/>
      <c r="G1708" s="17"/>
      <c r="H1708" s="17"/>
      <c r="I1708" s="17"/>
      <c r="J1708" s="32"/>
      <c r="K1708" s="17"/>
      <c r="L1708" s="38"/>
      <c r="M1708" s="27"/>
      <c r="N1708" s="17"/>
      <c r="O1708" s="17"/>
      <c r="P1708" s="40"/>
      <c r="Q1708" s="12"/>
      <c r="R1708" s="12"/>
      <c r="S1708" s="12"/>
      <c r="T1708" s="12"/>
      <c r="U1708" s="12"/>
      <c r="V1708" s="21"/>
      <c r="Z1708" s="12"/>
      <c r="AA1708" s="29"/>
      <c r="AB1708" s="84"/>
      <c r="AC1708" s="12"/>
      <c r="AD1708" s="12"/>
      <c r="AE1708" s="12"/>
    </row>
    <row r="1709" customFormat="false" ht="15.75" hidden="false" customHeight="false" outlineLevel="0" collapsed="false">
      <c r="A1709" s="12"/>
      <c r="B1709" s="13"/>
      <c r="C1709" s="14" t="s">
        <v>6906</v>
      </c>
      <c r="D1709" s="24"/>
      <c r="E1709" s="16" t="s">
        <v>6907</v>
      </c>
      <c r="F1709" s="16" t="s">
        <v>6908</v>
      </c>
      <c r="G1709" s="17"/>
      <c r="H1709" s="17"/>
      <c r="I1709" s="26" t="s">
        <v>166</v>
      </c>
      <c r="J1709" s="32"/>
      <c r="K1709" s="17"/>
      <c r="L1709" s="38"/>
      <c r="M1709" s="46"/>
      <c r="N1709" s="17"/>
      <c r="O1709" s="17"/>
      <c r="P1709" s="40" t="s">
        <v>168</v>
      </c>
      <c r="Q1709" s="20"/>
      <c r="R1709" s="20"/>
      <c r="S1709" s="20"/>
      <c r="T1709" s="20"/>
      <c r="U1709" s="20"/>
      <c r="V1709" s="45"/>
      <c r="Z1709" s="20"/>
      <c r="AA1709" s="22"/>
      <c r="AB1709" s="46" t="s">
        <v>5949</v>
      </c>
      <c r="AC1709" s="20"/>
      <c r="AD1709" s="20"/>
      <c r="AE1709" s="20"/>
    </row>
    <row r="1710" customFormat="false" ht="15.75" hidden="false" customHeight="false" outlineLevel="0" collapsed="false">
      <c r="A1710" s="12"/>
      <c r="B1710" s="20"/>
      <c r="C1710" s="48" t="s">
        <v>6909</v>
      </c>
      <c r="D1710" s="24"/>
      <c r="E1710" s="49" t="s">
        <v>6910</v>
      </c>
      <c r="F1710" s="49" t="s">
        <v>6911</v>
      </c>
      <c r="G1710" s="17"/>
      <c r="H1710" s="17"/>
      <c r="I1710" s="26" t="s">
        <v>166</v>
      </c>
      <c r="J1710" s="32"/>
      <c r="K1710" s="17"/>
      <c r="L1710" s="38"/>
      <c r="M1710" s="50"/>
      <c r="N1710" s="17"/>
      <c r="O1710" s="17"/>
      <c r="P1710" s="40" t="s">
        <v>168</v>
      </c>
      <c r="Q1710" s="20"/>
      <c r="R1710" s="20"/>
      <c r="S1710" s="20"/>
      <c r="T1710" s="20"/>
      <c r="U1710" s="20"/>
      <c r="V1710" s="45"/>
      <c r="Z1710" s="20"/>
      <c r="AA1710" s="22"/>
      <c r="AB1710" s="50" t="s">
        <v>6912</v>
      </c>
      <c r="AC1710" s="20"/>
      <c r="AD1710" s="20"/>
      <c r="AE1710" s="20"/>
    </row>
    <row r="1711" customFormat="false" ht="15.75" hidden="false" customHeight="false" outlineLevel="0" collapsed="false">
      <c r="A1711" s="12"/>
      <c r="B1711" s="12"/>
      <c r="C1711" s="23" t="s">
        <v>6913</v>
      </c>
      <c r="D1711" s="24"/>
      <c r="E1711" s="25" t="s">
        <v>6914</v>
      </c>
      <c r="F1711" s="17" t="s">
        <v>6915</v>
      </c>
      <c r="G1711" s="17" t="s">
        <v>1600</v>
      </c>
      <c r="H1711" s="17"/>
      <c r="I1711" s="26" t="s">
        <v>82</v>
      </c>
      <c r="J1711" s="32"/>
      <c r="K1711" s="17"/>
      <c r="L1711" s="38"/>
      <c r="M1711" s="27"/>
      <c r="N1711" s="17"/>
      <c r="O1711" s="17"/>
      <c r="P1711" s="40" t="s">
        <v>638</v>
      </c>
      <c r="Q1711" s="17"/>
      <c r="R1711" s="17" t="s">
        <v>6916</v>
      </c>
      <c r="S1711" s="17"/>
      <c r="T1711" s="17" t="s">
        <v>6917</v>
      </c>
      <c r="U1711" s="17"/>
      <c r="V1711" s="21" t="s">
        <v>31</v>
      </c>
      <c r="Z1711" s="17"/>
      <c r="AA1711" s="29"/>
      <c r="AB1711" s="84"/>
      <c r="AC1711" s="17"/>
      <c r="AD1711" s="17"/>
      <c r="AE1711" s="17"/>
    </row>
    <row r="1712" customFormat="false" ht="15.75" hidden="false" customHeight="false" outlineLevel="0" collapsed="false">
      <c r="A1712" s="12"/>
      <c r="B1712" s="12"/>
      <c r="C1712" s="23" t="s">
        <v>6918</v>
      </c>
      <c r="D1712" s="24"/>
      <c r="E1712" s="17"/>
      <c r="F1712" s="17"/>
      <c r="G1712" s="17"/>
      <c r="H1712" s="17"/>
      <c r="I1712" s="17"/>
      <c r="J1712" s="26"/>
      <c r="K1712" s="17"/>
      <c r="L1712" s="38"/>
      <c r="M1712" s="27"/>
      <c r="N1712" s="17"/>
      <c r="O1712" s="17"/>
      <c r="P1712" s="40"/>
      <c r="Q1712" s="12"/>
      <c r="R1712" s="12"/>
      <c r="S1712" s="12"/>
      <c r="T1712" s="12"/>
      <c r="U1712" s="12"/>
      <c r="V1712" s="21"/>
      <c r="Z1712" s="12"/>
      <c r="AA1712" s="29"/>
      <c r="AB1712" s="84"/>
      <c r="AC1712" s="12"/>
      <c r="AD1712" s="12"/>
      <c r="AE1712" s="12"/>
    </row>
    <row r="1713" customFormat="false" ht="15.75" hidden="false" customHeight="false" outlineLevel="0" collapsed="false">
      <c r="A1713" s="12"/>
      <c r="B1713" s="20"/>
      <c r="C1713" s="48" t="s">
        <v>6919</v>
      </c>
      <c r="D1713" s="24"/>
      <c r="E1713" s="16" t="s">
        <v>6920</v>
      </c>
      <c r="F1713" s="49" t="s">
        <v>6921</v>
      </c>
      <c r="G1713" s="17"/>
      <c r="H1713" s="17"/>
      <c r="I1713" s="26" t="s">
        <v>166</v>
      </c>
      <c r="J1713" s="32"/>
      <c r="K1713" s="17"/>
      <c r="L1713" s="38"/>
      <c r="M1713" s="49"/>
      <c r="N1713" s="17"/>
      <c r="O1713" s="17"/>
      <c r="P1713" s="29" t="s">
        <v>168</v>
      </c>
      <c r="Q1713" s="12"/>
      <c r="R1713" s="12"/>
      <c r="S1713" s="12"/>
      <c r="T1713" s="12"/>
      <c r="U1713" s="12"/>
      <c r="V1713" s="21"/>
      <c r="Z1713" s="12"/>
      <c r="AA1713" s="29"/>
      <c r="AB1713" s="49" t="s">
        <v>6922</v>
      </c>
      <c r="AC1713" s="12"/>
      <c r="AD1713" s="12"/>
      <c r="AE1713" s="12"/>
    </row>
    <row r="1714" customFormat="false" ht="15.75" hidden="false" customHeight="false" outlineLevel="0" collapsed="false">
      <c r="A1714" s="12"/>
      <c r="B1714" s="13"/>
      <c r="C1714" s="14" t="s">
        <v>6923</v>
      </c>
      <c r="D1714" s="24"/>
      <c r="E1714" s="16" t="s">
        <v>6924</v>
      </c>
      <c r="F1714" s="16" t="s">
        <v>6925</v>
      </c>
      <c r="G1714" s="17"/>
      <c r="H1714" s="17"/>
      <c r="I1714" s="26" t="s">
        <v>166</v>
      </c>
      <c r="J1714" s="32"/>
      <c r="K1714" s="17"/>
      <c r="L1714" s="38"/>
      <c r="M1714" s="36"/>
      <c r="N1714" s="17"/>
      <c r="O1714" s="17"/>
      <c r="P1714" s="29" t="s">
        <v>168</v>
      </c>
      <c r="Q1714" s="12"/>
      <c r="R1714" s="12"/>
      <c r="S1714" s="12"/>
      <c r="T1714" s="12"/>
      <c r="U1714" s="12"/>
      <c r="V1714" s="21"/>
      <c r="Z1714" s="12"/>
      <c r="AA1714" s="29"/>
      <c r="AB1714" s="36" t="s">
        <v>5949</v>
      </c>
      <c r="AC1714" s="12"/>
      <c r="AD1714" s="12"/>
      <c r="AE1714" s="12"/>
    </row>
    <row r="1715" customFormat="false" ht="15.75" hidden="false" customHeight="false" outlineLevel="0" collapsed="false">
      <c r="A1715" s="12"/>
      <c r="B1715" s="20"/>
      <c r="C1715" s="48" t="s">
        <v>6926</v>
      </c>
      <c r="D1715" s="24"/>
      <c r="E1715" s="49" t="s">
        <v>6927</v>
      </c>
      <c r="F1715" s="49" t="s">
        <v>6928</v>
      </c>
      <c r="G1715" s="17"/>
      <c r="H1715" s="17"/>
      <c r="I1715" s="26" t="s">
        <v>166</v>
      </c>
      <c r="J1715" s="32"/>
      <c r="K1715" s="17"/>
      <c r="L1715" s="38"/>
      <c r="M1715" s="49"/>
      <c r="N1715" s="17"/>
      <c r="O1715" s="17"/>
      <c r="P1715" s="29" t="s">
        <v>168</v>
      </c>
      <c r="Q1715" s="12"/>
      <c r="R1715" s="12"/>
      <c r="S1715" s="12"/>
      <c r="T1715" s="12"/>
      <c r="U1715" s="12"/>
      <c r="V1715" s="21"/>
      <c r="Z1715" s="12"/>
      <c r="AA1715" s="29"/>
      <c r="AB1715" s="49" t="s">
        <v>6929</v>
      </c>
      <c r="AC1715" s="12"/>
      <c r="AD1715" s="12"/>
      <c r="AE1715" s="12"/>
    </row>
    <row r="1716" customFormat="false" ht="15.75" hidden="false" customHeight="false" outlineLevel="0" collapsed="false">
      <c r="A1716" s="12"/>
      <c r="B1716" s="20"/>
      <c r="C1716" s="48" t="s">
        <v>6930</v>
      </c>
      <c r="D1716" s="24"/>
      <c r="E1716" s="49" t="s">
        <v>6931</v>
      </c>
      <c r="F1716" s="49" t="s">
        <v>6932</v>
      </c>
      <c r="G1716" s="17"/>
      <c r="H1716" s="17"/>
      <c r="I1716" s="26" t="s">
        <v>166</v>
      </c>
      <c r="J1716" s="32"/>
      <c r="K1716" s="17"/>
      <c r="L1716" s="38"/>
      <c r="M1716" s="36"/>
      <c r="N1716" s="17"/>
      <c r="O1716" s="17"/>
      <c r="P1716" s="29" t="s">
        <v>168</v>
      </c>
      <c r="Q1716" s="12"/>
      <c r="R1716" s="12"/>
      <c r="S1716" s="12"/>
      <c r="T1716" s="12"/>
      <c r="U1716" s="12"/>
      <c r="V1716" s="21"/>
      <c r="Z1716" s="12"/>
      <c r="AA1716" s="29"/>
      <c r="AB1716" s="36" t="s">
        <v>5949</v>
      </c>
      <c r="AC1716" s="12"/>
      <c r="AD1716" s="12"/>
      <c r="AE1716" s="12"/>
    </row>
    <row r="1717" customFormat="false" ht="15.75" hidden="false" customHeight="false" outlineLevel="0" collapsed="false">
      <c r="A1717" s="12"/>
      <c r="B1717" s="20"/>
      <c r="C1717" s="48" t="s">
        <v>6933</v>
      </c>
      <c r="D1717" s="24"/>
      <c r="E1717" s="49" t="s">
        <v>6934</v>
      </c>
      <c r="F1717" s="49" t="s">
        <v>6935</v>
      </c>
      <c r="G1717" s="17"/>
      <c r="H1717" s="17"/>
      <c r="I1717" s="26" t="s">
        <v>166</v>
      </c>
      <c r="J1717" s="32"/>
      <c r="K1717" s="17"/>
      <c r="L1717" s="38"/>
      <c r="M1717" s="49"/>
      <c r="N1717" s="17"/>
      <c r="O1717" s="17"/>
      <c r="P1717" s="29" t="s">
        <v>168</v>
      </c>
      <c r="Q1717" s="17"/>
      <c r="R1717" s="17"/>
      <c r="S1717" s="17"/>
      <c r="T1717" s="17"/>
      <c r="U1717" s="17"/>
      <c r="V1717" s="27"/>
      <c r="Z1717" s="17"/>
      <c r="AA1717" s="29"/>
      <c r="AB1717" s="49" t="s">
        <v>4929</v>
      </c>
      <c r="AC1717" s="17"/>
      <c r="AD1717" s="17"/>
      <c r="AE1717" s="17"/>
    </row>
    <row r="1718" customFormat="false" ht="15.75" hidden="false" customHeight="false" outlineLevel="0" collapsed="false">
      <c r="A1718" s="12"/>
      <c r="B1718" s="54"/>
      <c r="C1718" s="112" t="s">
        <v>3210</v>
      </c>
      <c r="D1718" s="15" t="s">
        <v>51</v>
      </c>
      <c r="E1718" s="17"/>
      <c r="F1718" s="17"/>
      <c r="G1718" s="17"/>
      <c r="H1718" s="32"/>
      <c r="I1718" s="17" t="s">
        <v>36</v>
      </c>
      <c r="J1718" s="32"/>
      <c r="K1718" s="17"/>
      <c r="L1718" s="38"/>
      <c r="M1718" s="17"/>
      <c r="N1718" s="17"/>
      <c r="O1718" s="17"/>
      <c r="P1718" s="29" t="s">
        <v>3671</v>
      </c>
      <c r="Q1718" s="17"/>
      <c r="R1718" s="17"/>
      <c r="S1718" s="17"/>
      <c r="T1718" s="17"/>
      <c r="U1718" s="17"/>
      <c r="V1718" s="27"/>
      <c r="Z1718" s="17"/>
      <c r="AA1718" s="29"/>
      <c r="AB1718" s="26"/>
      <c r="AC1718" s="17"/>
      <c r="AD1718" s="17"/>
      <c r="AE1718" s="17"/>
    </row>
    <row r="1719" customFormat="false" ht="15.75" hidden="false" customHeight="false" outlineLevel="0" collapsed="false">
      <c r="A1719" s="12"/>
      <c r="B1719" s="12" t="s">
        <v>32</v>
      </c>
      <c r="C1719" s="23" t="s">
        <v>6936</v>
      </c>
      <c r="D1719" s="24" t="s">
        <v>51</v>
      </c>
      <c r="E1719" s="25" t="s">
        <v>6937</v>
      </c>
      <c r="F1719" s="17" t="s">
        <v>6938</v>
      </c>
      <c r="G1719" s="17" t="s">
        <v>1138</v>
      </c>
      <c r="H1719" s="17"/>
      <c r="I1719" s="26" t="s">
        <v>166</v>
      </c>
      <c r="J1719" s="17"/>
      <c r="K1719" s="17"/>
      <c r="L1719" s="38"/>
      <c r="M1719" s="17"/>
      <c r="N1719" s="17"/>
      <c r="O1719" s="17"/>
      <c r="P1719" s="23" t="s">
        <v>59</v>
      </c>
      <c r="Q1719" s="12"/>
      <c r="R1719" s="12"/>
      <c r="S1719" s="12"/>
      <c r="T1719" s="12"/>
      <c r="U1719" s="12"/>
      <c r="V1719" s="21"/>
      <c r="Z1719" s="12"/>
      <c r="AA1719" s="29" t="n">
        <v>3</v>
      </c>
      <c r="AB1719" s="26"/>
      <c r="AC1719" s="12"/>
      <c r="AD1719" s="12"/>
      <c r="AE1719" s="12"/>
    </row>
    <row r="1720" customFormat="false" ht="15.75" hidden="false" customHeight="false" outlineLevel="0" collapsed="false">
      <c r="A1720" s="12"/>
      <c r="B1720" s="12"/>
      <c r="C1720" s="23" t="s">
        <v>6939</v>
      </c>
      <c r="D1720" s="24"/>
      <c r="E1720" s="25" t="s">
        <v>6940</v>
      </c>
      <c r="F1720" s="17" t="s">
        <v>6941</v>
      </c>
      <c r="G1720" s="17" t="s">
        <v>6942</v>
      </c>
      <c r="H1720" s="17"/>
      <c r="I1720" s="26" t="s">
        <v>82</v>
      </c>
      <c r="J1720" s="32"/>
      <c r="K1720" s="17"/>
      <c r="L1720" s="38"/>
      <c r="M1720" s="17"/>
      <c r="N1720" s="17"/>
      <c r="O1720" s="17"/>
      <c r="P1720" s="29" t="s">
        <v>638</v>
      </c>
      <c r="Q1720" s="20"/>
      <c r="R1720" s="20" t="s">
        <v>6943</v>
      </c>
      <c r="S1720" s="20"/>
      <c r="T1720" s="20" t="s">
        <v>6944</v>
      </c>
      <c r="U1720" s="20"/>
      <c r="V1720" s="21" t="s">
        <v>31</v>
      </c>
      <c r="Z1720" s="20"/>
      <c r="AA1720" s="22"/>
      <c r="AB1720" s="26"/>
      <c r="AC1720" s="20"/>
      <c r="AD1720" s="20"/>
      <c r="AE1720" s="20"/>
    </row>
    <row r="1721" customFormat="false" ht="15.75" hidden="false" customHeight="false" outlineLevel="0" collapsed="false">
      <c r="A1721" s="12"/>
      <c r="B1721" s="12"/>
      <c r="C1721" s="23" t="s">
        <v>6945</v>
      </c>
      <c r="D1721" s="24"/>
      <c r="E1721" s="25" t="s">
        <v>6946</v>
      </c>
      <c r="F1721" s="17" t="s">
        <v>6947</v>
      </c>
      <c r="G1721" s="17" t="s">
        <v>637</v>
      </c>
      <c r="H1721" s="17"/>
      <c r="I1721" s="26" t="s">
        <v>82</v>
      </c>
      <c r="J1721" s="32"/>
      <c r="K1721" s="17"/>
      <c r="L1721" s="38"/>
      <c r="M1721" s="17"/>
      <c r="N1721" s="17"/>
      <c r="O1721" s="17"/>
      <c r="P1721" s="29" t="s">
        <v>638</v>
      </c>
      <c r="Q1721" s="12"/>
      <c r="R1721" s="12" t="s">
        <v>6948</v>
      </c>
      <c r="S1721" s="12"/>
      <c r="T1721" s="12" t="s">
        <v>6949</v>
      </c>
      <c r="U1721" s="12"/>
      <c r="V1721" s="21" t="s">
        <v>31</v>
      </c>
      <c r="Z1721" s="12"/>
      <c r="AA1721" s="29"/>
      <c r="AB1721" s="26"/>
      <c r="AC1721" s="12"/>
      <c r="AD1721" s="12"/>
      <c r="AE1721" s="12"/>
    </row>
    <row r="1722" customFormat="false" ht="15.75" hidden="false" customHeight="false" outlineLevel="0" collapsed="false">
      <c r="A1722" s="12"/>
      <c r="B1722" s="20"/>
      <c r="C1722" s="48" t="s">
        <v>6950</v>
      </c>
      <c r="D1722" s="24"/>
      <c r="E1722" s="49" t="s">
        <v>6951</v>
      </c>
      <c r="F1722" s="49" t="s">
        <v>6952</v>
      </c>
      <c r="G1722" s="17"/>
      <c r="H1722" s="17"/>
      <c r="I1722" s="26" t="s">
        <v>166</v>
      </c>
      <c r="J1722" s="32"/>
      <c r="K1722" s="17"/>
      <c r="L1722" s="38"/>
      <c r="M1722" s="49"/>
      <c r="N1722" s="17"/>
      <c r="O1722" s="17"/>
      <c r="P1722" s="29" t="s">
        <v>168</v>
      </c>
      <c r="Q1722" s="12"/>
      <c r="R1722" s="12"/>
      <c r="S1722" s="12"/>
      <c r="T1722" s="12"/>
      <c r="U1722" s="12"/>
      <c r="V1722" s="21"/>
      <c r="Z1722" s="12"/>
      <c r="AA1722" s="29"/>
      <c r="AB1722" s="49" t="s">
        <v>6953</v>
      </c>
      <c r="AC1722" s="12"/>
      <c r="AD1722" s="12"/>
      <c r="AE1722" s="12"/>
    </row>
    <row r="1723" customFormat="false" ht="15.75" hidden="false" customHeight="false" outlineLevel="0" collapsed="false">
      <c r="A1723" s="12"/>
      <c r="B1723" s="20"/>
      <c r="C1723" s="48" t="s">
        <v>6954</v>
      </c>
      <c r="D1723" s="24"/>
      <c r="E1723" s="49" t="s">
        <v>6955</v>
      </c>
      <c r="F1723" s="49" t="s">
        <v>6956</v>
      </c>
      <c r="G1723" s="17"/>
      <c r="H1723" s="17"/>
      <c r="I1723" s="26" t="s">
        <v>166</v>
      </c>
      <c r="J1723" s="32"/>
      <c r="K1723" s="17"/>
      <c r="L1723" s="38"/>
      <c r="M1723" s="49"/>
      <c r="N1723" s="17"/>
      <c r="O1723" s="17"/>
      <c r="P1723" s="29" t="s">
        <v>168</v>
      </c>
      <c r="Q1723" s="12"/>
      <c r="R1723" s="12"/>
      <c r="S1723" s="12"/>
      <c r="T1723" s="12"/>
      <c r="U1723" s="12"/>
      <c r="V1723" s="21"/>
      <c r="Z1723" s="12"/>
      <c r="AA1723" s="29"/>
      <c r="AB1723" s="49" t="s">
        <v>6957</v>
      </c>
      <c r="AC1723" s="12"/>
      <c r="AD1723" s="12"/>
      <c r="AE1723" s="12"/>
    </row>
    <row r="1724" customFormat="false" ht="15.75" hidden="false" customHeight="false" outlineLevel="0" collapsed="false">
      <c r="A1724" s="12"/>
      <c r="B1724" s="20"/>
      <c r="C1724" s="48" t="s">
        <v>6958</v>
      </c>
      <c r="D1724" s="24"/>
      <c r="E1724" s="49" t="s">
        <v>6959</v>
      </c>
      <c r="F1724" s="49" t="s">
        <v>6960</v>
      </c>
      <c r="G1724" s="17"/>
      <c r="H1724" s="17"/>
      <c r="I1724" s="26" t="s">
        <v>166</v>
      </c>
      <c r="J1724" s="32"/>
      <c r="K1724" s="17"/>
      <c r="L1724" s="38"/>
      <c r="M1724" s="49"/>
      <c r="N1724" s="17"/>
      <c r="O1724" s="17"/>
      <c r="P1724" s="29" t="s">
        <v>168</v>
      </c>
      <c r="Q1724" s="12"/>
      <c r="R1724" s="12"/>
      <c r="S1724" s="12"/>
      <c r="T1724" s="12"/>
      <c r="U1724" s="12"/>
      <c r="V1724" s="21"/>
      <c r="Z1724" s="12"/>
      <c r="AA1724" s="29"/>
      <c r="AB1724" s="49" t="s">
        <v>5306</v>
      </c>
      <c r="AC1724" s="12"/>
      <c r="AD1724" s="12"/>
      <c r="AE1724" s="12"/>
    </row>
    <row r="1725" customFormat="false" ht="15.75" hidden="false" customHeight="false" outlineLevel="0" collapsed="false">
      <c r="A1725" s="12"/>
      <c r="B1725" s="20"/>
      <c r="C1725" s="48" t="s">
        <v>6961</v>
      </c>
      <c r="D1725" s="24"/>
      <c r="E1725" s="49" t="s">
        <v>6962</v>
      </c>
      <c r="F1725" s="49" t="s">
        <v>6963</v>
      </c>
      <c r="G1725" s="17"/>
      <c r="H1725" s="17"/>
      <c r="I1725" s="26" t="s">
        <v>166</v>
      </c>
      <c r="J1725" s="32"/>
      <c r="K1725" s="17"/>
      <c r="L1725" s="38"/>
      <c r="M1725" s="49"/>
      <c r="N1725" s="17"/>
      <c r="O1725" s="17"/>
      <c r="P1725" s="29" t="s">
        <v>168</v>
      </c>
      <c r="Q1725" s="12"/>
      <c r="R1725" s="12"/>
      <c r="S1725" s="12"/>
      <c r="T1725" s="12"/>
      <c r="U1725" s="12"/>
      <c r="V1725" s="21"/>
      <c r="Z1725" s="12"/>
      <c r="AA1725" s="29"/>
      <c r="AB1725" s="49" t="s">
        <v>6964</v>
      </c>
      <c r="AC1725" s="12"/>
      <c r="AD1725" s="12"/>
      <c r="AE1725" s="12"/>
    </row>
    <row r="1726" customFormat="false" ht="15.75" hidden="false" customHeight="false" outlineLevel="0" collapsed="false">
      <c r="A1726" s="12"/>
      <c r="B1726" s="20"/>
      <c r="C1726" s="48" t="s">
        <v>6965</v>
      </c>
      <c r="D1726" s="24"/>
      <c r="E1726" s="49" t="s">
        <v>6966</v>
      </c>
      <c r="F1726" s="49" t="s">
        <v>6967</v>
      </c>
      <c r="G1726" s="17"/>
      <c r="H1726" s="17"/>
      <c r="I1726" s="26" t="s">
        <v>166</v>
      </c>
      <c r="J1726" s="32"/>
      <c r="K1726" s="17"/>
      <c r="L1726" s="38"/>
      <c r="M1726" s="49"/>
      <c r="N1726" s="17"/>
      <c r="O1726" s="17"/>
      <c r="P1726" s="29" t="s">
        <v>168</v>
      </c>
      <c r="Q1726" s="17"/>
      <c r="R1726" s="17"/>
      <c r="S1726" s="17"/>
      <c r="T1726" s="17"/>
      <c r="U1726" s="17"/>
      <c r="V1726" s="27"/>
      <c r="Z1726" s="17"/>
      <c r="AA1726" s="29"/>
      <c r="AB1726" s="49" t="s">
        <v>6968</v>
      </c>
      <c r="AC1726" s="17"/>
      <c r="AD1726" s="17"/>
      <c r="AE1726" s="17"/>
    </row>
    <row r="1727" customFormat="false" ht="15.75" hidden="false" customHeight="false" outlineLevel="0" collapsed="false">
      <c r="A1727" s="12"/>
      <c r="B1727" s="20"/>
      <c r="C1727" s="48" t="s">
        <v>6969</v>
      </c>
      <c r="D1727" s="24"/>
      <c r="E1727" s="49" t="s">
        <v>6970</v>
      </c>
      <c r="F1727" s="49" t="s">
        <v>6971</v>
      </c>
      <c r="G1727" s="17"/>
      <c r="H1727" s="17"/>
      <c r="I1727" s="26" t="s">
        <v>166</v>
      </c>
      <c r="J1727" s="32"/>
      <c r="K1727" s="17"/>
      <c r="L1727" s="38"/>
      <c r="M1727" s="49"/>
      <c r="N1727" s="17"/>
      <c r="O1727" s="17"/>
      <c r="P1727" s="29" t="s">
        <v>168</v>
      </c>
      <c r="Q1727" s="17"/>
      <c r="R1727" s="17"/>
      <c r="S1727" s="17"/>
      <c r="T1727" s="17"/>
      <c r="U1727" s="17"/>
      <c r="V1727" s="27"/>
      <c r="Z1727" s="17"/>
      <c r="AA1727" s="29"/>
      <c r="AB1727" s="49" t="s">
        <v>6972</v>
      </c>
      <c r="AC1727" s="17"/>
      <c r="AD1727" s="17"/>
      <c r="AE1727" s="17"/>
    </row>
    <row r="1728" customFormat="false" ht="15.75" hidden="false" customHeight="false" outlineLevel="0" collapsed="false">
      <c r="A1728" s="12"/>
      <c r="B1728" s="20"/>
      <c r="C1728" s="48" t="s">
        <v>6973</v>
      </c>
      <c r="D1728" s="24"/>
      <c r="E1728" s="49" t="s">
        <v>6974</v>
      </c>
      <c r="F1728" s="49" t="s">
        <v>6975</v>
      </c>
      <c r="G1728" s="17"/>
      <c r="H1728" s="17"/>
      <c r="I1728" s="26" t="s">
        <v>166</v>
      </c>
      <c r="J1728" s="32"/>
      <c r="K1728" s="17"/>
      <c r="L1728" s="38"/>
      <c r="M1728" s="49"/>
      <c r="N1728" s="17"/>
      <c r="O1728" s="17"/>
      <c r="P1728" s="29" t="s">
        <v>168</v>
      </c>
      <c r="Q1728" s="12"/>
      <c r="R1728" s="12"/>
      <c r="S1728" s="12"/>
      <c r="T1728" s="12"/>
      <c r="U1728" s="12"/>
      <c r="V1728" s="21"/>
      <c r="Z1728" s="12"/>
      <c r="AA1728" s="29"/>
      <c r="AB1728" s="49" t="s">
        <v>6976</v>
      </c>
      <c r="AC1728" s="12"/>
      <c r="AD1728" s="12"/>
      <c r="AE1728" s="12"/>
    </row>
    <row r="1729" customFormat="false" ht="15.75" hidden="false" customHeight="false" outlineLevel="0" collapsed="false">
      <c r="A1729" s="12"/>
      <c r="B1729" s="12"/>
      <c r="C1729" s="64" t="s">
        <v>6977</v>
      </c>
      <c r="D1729" s="24"/>
      <c r="E1729" s="25" t="s">
        <v>6978</v>
      </c>
      <c r="F1729" s="17" t="s">
        <v>6979</v>
      </c>
      <c r="G1729" s="17" t="s">
        <v>2629</v>
      </c>
      <c r="H1729" s="17"/>
      <c r="I1729" s="26" t="s">
        <v>82</v>
      </c>
      <c r="J1729" s="32"/>
      <c r="K1729" s="17"/>
      <c r="L1729" s="38"/>
      <c r="M1729" s="17"/>
      <c r="N1729" s="17"/>
      <c r="O1729" s="17"/>
      <c r="P1729" s="29" t="s">
        <v>638</v>
      </c>
      <c r="Q1729" s="12"/>
      <c r="R1729" s="12" t="s">
        <v>6980</v>
      </c>
      <c r="S1729" s="12"/>
      <c r="T1729" s="12" t="s">
        <v>6981</v>
      </c>
      <c r="U1729" s="12"/>
      <c r="V1729" s="21" t="s">
        <v>31</v>
      </c>
      <c r="Z1729" s="12"/>
      <c r="AA1729" s="29"/>
      <c r="AB1729" s="26"/>
      <c r="AC1729" s="12"/>
      <c r="AD1729" s="12"/>
      <c r="AE1729" s="12"/>
    </row>
    <row r="1730" customFormat="false" ht="15.75" hidden="false" customHeight="false" outlineLevel="0" collapsed="false">
      <c r="A1730" s="12"/>
      <c r="B1730" s="13"/>
      <c r="C1730" s="14" t="s">
        <v>6982</v>
      </c>
      <c r="D1730" s="24"/>
      <c r="E1730" s="16" t="s">
        <v>6983</v>
      </c>
      <c r="F1730" s="16" t="s">
        <v>6984</v>
      </c>
      <c r="G1730" s="17"/>
      <c r="H1730" s="17"/>
      <c r="I1730" s="26" t="s">
        <v>166</v>
      </c>
      <c r="J1730" s="32"/>
      <c r="K1730" s="17"/>
      <c r="L1730" s="38"/>
      <c r="M1730" s="36"/>
      <c r="N1730" s="17"/>
      <c r="O1730" s="17"/>
      <c r="P1730" s="29" t="s">
        <v>168</v>
      </c>
      <c r="Q1730" s="12"/>
      <c r="R1730" s="12"/>
      <c r="S1730" s="12"/>
      <c r="T1730" s="12"/>
      <c r="U1730" s="12"/>
      <c r="V1730" s="21"/>
      <c r="Z1730" s="12"/>
      <c r="AA1730" s="29"/>
      <c r="AB1730" s="36" t="s">
        <v>5949</v>
      </c>
      <c r="AC1730" s="12"/>
      <c r="AD1730" s="12"/>
      <c r="AE1730" s="12"/>
    </row>
    <row r="1731" customFormat="false" ht="15.75" hidden="false" customHeight="false" outlineLevel="0" collapsed="false">
      <c r="A1731" s="12"/>
      <c r="B1731" s="13"/>
      <c r="C1731" s="14" t="s">
        <v>6985</v>
      </c>
      <c r="D1731" s="24"/>
      <c r="E1731" s="16" t="s">
        <v>6986</v>
      </c>
      <c r="F1731" s="16" t="s">
        <v>6987</v>
      </c>
      <c r="G1731" s="17"/>
      <c r="H1731" s="17"/>
      <c r="I1731" s="26" t="s">
        <v>166</v>
      </c>
      <c r="J1731" s="32"/>
      <c r="K1731" s="17"/>
      <c r="L1731" s="38"/>
      <c r="M1731" s="16"/>
      <c r="N1731" s="17"/>
      <c r="O1731" s="17"/>
      <c r="P1731" s="29" t="s">
        <v>168</v>
      </c>
      <c r="Q1731" s="12"/>
      <c r="R1731" s="12"/>
      <c r="S1731" s="12"/>
      <c r="T1731" s="12"/>
      <c r="U1731" s="12"/>
      <c r="V1731" s="21"/>
      <c r="Z1731" s="12"/>
      <c r="AA1731" s="29"/>
      <c r="AB1731" s="16" t="s">
        <v>6988</v>
      </c>
      <c r="AC1731" s="12"/>
      <c r="AD1731" s="12"/>
      <c r="AE1731" s="12"/>
    </row>
    <row r="1732" customFormat="false" ht="15.75" hidden="false" customHeight="false" outlineLevel="0" collapsed="false">
      <c r="A1732" s="12"/>
      <c r="B1732" s="12"/>
      <c r="C1732" s="23" t="s">
        <v>6989</v>
      </c>
      <c r="D1732" s="24"/>
      <c r="E1732" s="25" t="s">
        <v>6990</v>
      </c>
      <c r="F1732" s="17" t="s">
        <v>6991</v>
      </c>
      <c r="G1732" s="17" t="s">
        <v>5021</v>
      </c>
      <c r="H1732" s="17"/>
      <c r="I1732" s="26" t="s">
        <v>82</v>
      </c>
      <c r="J1732" s="32"/>
      <c r="K1732" s="17"/>
      <c r="L1732" s="38"/>
      <c r="M1732" s="17"/>
      <c r="N1732" s="17"/>
      <c r="O1732" s="17"/>
      <c r="P1732" s="29" t="s">
        <v>638</v>
      </c>
      <c r="Q1732" s="20"/>
      <c r="R1732" s="20" t="s">
        <v>6992</v>
      </c>
      <c r="S1732" s="20"/>
      <c r="T1732" s="20" t="s">
        <v>6993</v>
      </c>
      <c r="U1732" s="20"/>
      <c r="V1732" s="21" t="s">
        <v>31</v>
      </c>
      <c r="Z1732" s="20"/>
      <c r="AA1732" s="22"/>
      <c r="AB1732" s="26"/>
      <c r="AC1732" s="20"/>
      <c r="AD1732" s="20"/>
      <c r="AE1732" s="20"/>
    </row>
    <row r="1733" customFormat="false" ht="15.75" hidden="false" customHeight="false" outlineLevel="0" collapsed="false">
      <c r="A1733" s="12"/>
      <c r="B1733" s="12"/>
      <c r="C1733" s="23" t="s">
        <v>6994</v>
      </c>
      <c r="D1733" s="24"/>
      <c r="E1733" s="17"/>
      <c r="F1733" s="17" t="s">
        <v>6995</v>
      </c>
      <c r="G1733" s="17" t="s">
        <v>2629</v>
      </c>
      <c r="H1733" s="17"/>
      <c r="I1733" s="26" t="s">
        <v>82</v>
      </c>
      <c r="J1733" s="32"/>
      <c r="K1733" s="17"/>
      <c r="L1733" s="38"/>
      <c r="M1733" s="17"/>
      <c r="N1733" s="17"/>
      <c r="O1733" s="17"/>
      <c r="P1733" s="29" t="s">
        <v>638</v>
      </c>
      <c r="Q1733" s="12"/>
      <c r="R1733" s="12" t="s">
        <v>6996</v>
      </c>
      <c r="S1733" s="12"/>
      <c r="T1733" s="12" t="s">
        <v>6997</v>
      </c>
      <c r="U1733" s="12"/>
      <c r="V1733" s="21" t="s">
        <v>31</v>
      </c>
      <c r="Z1733" s="12"/>
      <c r="AA1733" s="29"/>
      <c r="AB1733" s="26"/>
      <c r="AC1733" s="12"/>
      <c r="AD1733" s="12"/>
      <c r="AE1733" s="12"/>
    </row>
    <row r="1734" customFormat="false" ht="15.75" hidden="false" customHeight="false" outlineLevel="0" collapsed="false">
      <c r="A1734" s="12"/>
      <c r="B1734" s="20"/>
      <c r="C1734" s="48" t="s">
        <v>3915</v>
      </c>
      <c r="D1734" s="24"/>
      <c r="E1734" s="49" t="s">
        <v>6998</v>
      </c>
      <c r="F1734" s="49" t="s">
        <v>6999</v>
      </c>
      <c r="G1734" s="17"/>
      <c r="H1734" s="17"/>
      <c r="I1734" s="26" t="s">
        <v>166</v>
      </c>
      <c r="J1734" s="32"/>
      <c r="K1734" s="17"/>
      <c r="L1734" s="38"/>
      <c r="M1734" s="49"/>
      <c r="N1734" s="17"/>
      <c r="O1734" s="17"/>
      <c r="P1734" s="29" t="s">
        <v>168</v>
      </c>
      <c r="Q1734" s="12"/>
      <c r="R1734" s="12"/>
      <c r="S1734" s="12"/>
      <c r="T1734" s="12"/>
      <c r="U1734" s="12"/>
      <c r="V1734" s="21"/>
      <c r="Z1734" s="12"/>
      <c r="AA1734" s="29"/>
      <c r="AB1734" s="49" t="s">
        <v>7000</v>
      </c>
      <c r="AC1734" s="12"/>
      <c r="AD1734" s="12"/>
      <c r="AE1734" s="12"/>
    </row>
    <row r="1735" customFormat="false" ht="15.75" hidden="false" customHeight="false" outlineLevel="0" collapsed="false">
      <c r="A1735" s="12"/>
      <c r="B1735" s="12"/>
      <c r="C1735" s="23" t="s">
        <v>7001</v>
      </c>
      <c r="D1735" s="24"/>
      <c r="E1735" s="25" t="s">
        <v>7002</v>
      </c>
      <c r="F1735" s="17" t="s">
        <v>7003</v>
      </c>
      <c r="G1735" s="17" t="s">
        <v>1600</v>
      </c>
      <c r="H1735" s="17"/>
      <c r="I1735" s="26" t="s">
        <v>82</v>
      </c>
      <c r="J1735" s="32"/>
      <c r="K1735" s="17"/>
      <c r="L1735" s="38"/>
      <c r="M1735" s="17"/>
      <c r="N1735" s="17"/>
      <c r="O1735" s="17"/>
      <c r="P1735" s="29" t="s">
        <v>638</v>
      </c>
      <c r="Q1735" s="17"/>
      <c r="R1735" s="17" t="s">
        <v>7004</v>
      </c>
      <c r="S1735" s="17"/>
      <c r="T1735" s="17" t="s">
        <v>7005</v>
      </c>
      <c r="U1735" s="17"/>
      <c r="V1735" s="21" t="s">
        <v>31</v>
      </c>
      <c r="Z1735" s="17"/>
      <c r="AA1735" s="29"/>
      <c r="AB1735" s="26"/>
      <c r="AC1735" s="17"/>
      <c r="AD1735" s="17"/>
      <c r="AE1735" s="17"/>
    </row>
    <row r="1736" customFormat="false" ht="15.75" hidden="false" customHeight="false" outlineLevel="0" collapsed="false">
      <c r="A1736" s="12"/>
      <c r="B1736" s="20"/>
      <c r="C1736" s="48" t="s">
        <v>7006</v>
      </c>
      <c r="D1736" s="24"/>
      <c r="E1736" s="49" t="s">
        <v>7007</v>
      </c>
      <c r="F1736" s="49" t="s">
        <v>7008</v>
      </c>
      <c r="G1736" s="17"/>
      <c r="H1736" s="17"/>
      <c r="I1736" s="26" t="s">
        <v>166</v>
      </c>
      <c r="J1736" s="32"/>
      <c r="K1736" s="17"/>
      <c r="L1736" s="38"/>
      <c r="M1736" s="49"/>
      <c r="N1736" s="17"/>
      <c r="O1736" s="17"/>
      <c r="P1736" s="29" t="s">
        <v>168</v>
      </c>
      <c r="Q1736" s="12"/>
      <c r="R1736" s="12"/>
      <c r="S1736" s="12"/>
      <c r="T1736" s="12"/>
      <c r="U1736" s="12"/>
      <c r="V1736" s="21"/>
      <c r="Z1736" s="12"/>
      <c r="AA1736" s="29"/>
      <c r="AB1736" s="49" t="s">
        <v>7009</v>
      </c>
      <c r="AC1736" s="12"/>
      <c r="AD1736" s="12"/>
      <c r="AE1736" s="12"/>
    </row>
    <row r="1737" customFormat="false" ht="15.75" hidden="false" customHeight="false" outlineLevel="0" collapsed="false">
      <c r="A1737" s="12"/>
      <c r="B1737" s="20"/>
      <c r="C1737" s="48" t="s">
        <v>7010</v>
      </c>
      <c r="D1737" s="24"/>
      <c r="E1737" s="16" t="s">
        <v>7011</v>
      </c>
      <c r="F1737" s="49" t="s">
        <v>7012</v>
      </c>
      <c r="G1737" s="17"/>
      <c r="H1737" s="17"/>
      <c r="I1737" s="26" t="s">
        <v>166</v>
      </c>
      <c r="J1737" s="32"/>
      <c r="K1737" s="17"/>
      <c r="L1737" s="38"/>
      <c r="M1737" s="49"/>
      <c r="N1737" s="17"/>
      <c r="O1737" s="17"/>
      <c r="P1737" s="29" t="s">
        <v>168</v>
      </c>
      <c r="Q1737" s="12"/>
      <c r="R1737" s="12"/>
      <c r="S1737" s="12"/>
      <c r="T1737" s="12"/>
      <c r="U1737" s="12"/>
      <c r="V1737" s="21"/>
      <c r="Z1737" s="12"/>
      <c r="AA1737" s="29"/>
      <c r="AB1737" s="49" t="s">
        <v>7013</v>
      </c>
      <c r="AC1737" s="12"/>
      <c r="AD1737" s="12"/>
      <c r="AE1737" s="12"/>
    </row>
    <row r="1738" customFormat="false" ht="15.75" hidden="false" customHeight="false" outlineLevel="0" collapsed="false">
      <c r="A1738" s="12"/>
      <c r="B1738" s="13"/>
      <c r="C1738" s="14" t="s">
        <v>7014</v>
      </c>
      <c r="D1738" s="24"/>
      <c r="E1738" s="16" t="s">
        <v>7015</v>
      </c>
      <c r="F1738" s="16" t="s">
        <v>7016</v>
      </c>
      <c r="G1738" s="17"/>
      <c r="H1738" s="17"/>
      <c r="I1738" s="26" t="s">
        <v>166</v>
      </c>
      <c r="J1738" s="32"/>
      <c r="K1738" s="17"/>
      <c r="L1738" s="38"/>
      <c r="M1738" s="16"/>
      <c r="N1738" s="17"/>
      <c r="O1738" s="17"/>
      <c r="P1738" s="29" t="s">
        <v>168</v>
      </c>
      <c r="Q1738" s="12"/>
      <c r="R1738" s="12"/>
      <c r="S1738" s="12"/>
      <c r="T1738" s="12"/>
      <c r="U1738" s="12"/>
      <c r="V1738" s="21"/>
      <c r="Z1738" s="12"/>
      <c r="AA1738" s="29"/>
      <c r="AB1738" s="16" t="s">
        <v>5306</v>
      </c>
      <c r="AC1738" s="12"/>
      <c r="AD1738" s="12"/>
      <c r="AE1738" s="12"/>
    </row>
    <row r="1739" customFormat="false" ht="15.75" hidden="false" customHeight="false" outlineLevel="0" collapsed="false">
      <c r="A1739" s="12"/>
      <c r="B1739" s="20"/>
      <c r="C1739" s="48" t="s">
        <v>7017</v>
      </c>
      <c r="D1739" s="24"/>
      <c r="E1739" s="49" t="s">
        <v>7018</v>
      </c>
      <c r="F1739" s="49" t="s">
        <v>7019</v>
      </c>
      <c r="G1739" s="17"/>
      <c r="H1739" s="17"/>
      <c r="I1739" s="26" t="s">
        <v>166</v>
      </c>
      <c r="J1739" s="32"/>
      <c r="K1739" s="17"/>
      <c r="L1739" s="38"/>
      <c r="M1739" s="49"/>
      <c r="N1739" s="17"/>
      <c r="O1739" s="17"/>
      <c r="P1739" s="29" t="s">
        <v>168</v>
      </c>
      <c r="Q1739" s="12"/>
      <c r="R1739" s="12"/>
      <c r="S1739" s="12"/>
      <c r="T1739" s="12"/>
      <c r="U1739" s="12"/>
      <c r="V1739" s="21"/>
      <c r="Z1739" s="12"/>
      <c r="AA1739" s="29"/>
      <c r="AB1739" s="49" t="s">
        <v>7020</v>
      </c>
      <c r="AC1739" s="12"/>
      <c r="AD1739" s="12"/>
      <c r="AE1739" s="12"/>
    </row>
    <row r="1740" customFormat="false" ht="15.75" hidden="false" customHeight="false" outlineLevel="0" collapsed="false">
      <c r="A1740" s="12"/>
      <c r="B1740" s="20"/>
      <c r="C1740" s="48" t="s">
        <v>7021</v>
      </c>
      <c r="D1740" s="24"/>
      <c r="E1740" s="49" t="s">
        <v>7022</v>
      </c>
      <c r="F1740" s="49" t="s">
        <v>7023</v>
      </c>
      <c r="G1740" s="17"/>
      <c r="H1740" s="17"/>
      <c r="I1740" s="26" t="s">
        <v>166</v>
      </c>
      <c r="J1740" s="32"/>
      <c r="K1740" s="17"/>
      <c r="L1740" s="38"/>
      <c r="M1740" s="49"/>
      <c r="N1740" s="17"/>
      <c r="O1740" s="17"/>
      <c r="P1740" s="29" t="s">
        <v>168</v>
      </c>
      <c r="Q1740" s="17"/>
      <c r="R1740" s="17"/>
      <c r="S1740" s="17"/>
      <c r="T1740" s="17"/>
      <c r="U1740" s="17"/>
      <c r="V1740" s="27"/>
      <c r="Z1740" s="17"/>
      <c r="AA1740" s="29"/>
      <c r="AB1740" s="49" t="s">
        <v>7024</v>
      </c>
      <c r="AC1740" s="17"/>
      <c r="AD1740" s="17"/>
      <c r="AE1740" s="17"/>
    </row>
    <row r="1741" customFormat="false" ht="15.75" hidden="false" customHeight="false" outlineLevel="0" collapsed="false">
      <c r="A1741" s="12"/>
      <c r="B1741" s="20"/>
      <c r="C1741" s="48" t="s">
        <v>7025</v>
      </c>
      <c r="D1741" s="24"/>
      <c r="E1741" s="49" t="s">
        <v>7026</v>
      </c>
      <c r="F1741" s="49" t="s">
        <v>7027</v>
      </c>
      <c r="G1741" s="17"/>
      <c r="H1741" s="17"/>
      <c r="I1741" s="26" t="s">
        <v>166</v>
      </c>
      <c r="J1741" s="32"/>
      <c r="K1741" s="17"/>
      <c r="L1741" s="38"/>
      <c r="M1741" s="49"/>
      <c r="N1741" s="17"/>
      <c r="O1741" s="17"/>
      <c r="P1741" s="29" t="s">
        <v>168</v>
      </c>
      <c r="Q1741" s="12"/>
      <c r="R1741" s="12"/>
      <c r="S1741" s="12"/>
      <c r="T1741" s="12"/>
      <c r="U1741" s="12"/>
      <c r="V1741" s="21"/>
      <c r="Z1741" s="12"/>
      <c r="AA1741" s="29"/>
      <c r="AB1741" s="49" t="s">
        <v>7028</v>
      </c>
      <c r="AC1741" s="12"/>
      <c r="AD1741" s="12"/>
      <c r="AE1741" s="12"/>
    </row>
    <row r="1742" customFormat="false" ht="15.75" hidden="false" customHeight="false" outlineLevel="0" collapsed="false">
      <c r="A1742" s="12"/>
      <c r="B1742" s="13"/>
      <c r="C1742" s="14" t="s">
        <v>7029</v>
      </c>
      <c r="D1742" s="24"/>
      <c r="E1742" s="16" t="s">
        <v>7030</v>
      </c>
      <c r="F1742" s="16" t="s">
        <v>7031</v>
      </c>
      <c r="G1742" s="17"/>
      <c r="H1742" s="17"/>
      <c r="I1742" s="26" t="s">
        <v>166</v>
      </c>
      <c r="J1742" s="32"/>
      <c r="K1742" s="17"/>
      <c r="L1742" s="38"/>
      <c r="M1742" s="16"/>
      <c r="N1742" s="17"/>
      <c r="O1742" s="17"/>
      <c r="P1742" s="29" t="s">
        <v>168</v>
      </c>
      <c r="Q1742" s="12"/>
      <c r="R1742" s="12"/>
      <c r="S1742" s="12"/>
      <c r="T1742" s="12"/>
      <c r="U1742" s="12"/>
      <c r="V1742" s="21"/>
      <c r="Z1742" s="12"/>
      <c r="AA1742" s="29"/>
      <c r="AB1742" s="16" t="s">
        <v>7032</v>
      </c>
      <c r="AC1742" s="12"/>
      <c r="AD1742" s="12"/>
      <c r="AE1742" s="12"/>
    </row>
    <row r="1743" customFormat="false" ht="15.75" hidden="false" customHeight="false" outlineLevel="0" collapsed="false">
      <c r="A1743" s="12"/>
      <c r="B1743" s="20"/>
      <c r="C1743" s="48" t="s">
        <v>7033</v>
      </c>
      <c r="D1743" s="24"/>
      <c r="E1743" s="49" t="s">
        <v>7034</v>
      </c>
      <c r="F1743" s="49" t="s">
        <v>7035</v>
      </c>
      <c r="G1743" s="17"/>
      <c r="H1743" s="17"/>
      <c r="I1743" s="26" t="s">
        <v>166</v>
      </c>
      <c r="J1743" s="32"/>
      <c r="K1743" s="17"/>
      <c r="L1743" s="38"/>
      <c r="M1743" s="49"/>
      <c r="N1743" s="17"/>
      <c r="O1743" s="17"/>
      <c r="P1743" s="29" t="s">
        <v>168</v>
      </c>
      <c r="Q1743" s="12"/>
      <c r="R1743" s="12"/>
      <c r="S1743" s="12"/>
      <c r="T1743" s="12"/>
      <c r="U1743" s="12"/>
      <c r="V1743" s="21"/>
      <c r="Z1743" s="12"/>
      <c r="AA1743" s="29"/>
      <c r="AB1743" s="49" t="s">
        <v>7036</v>
      </c>
      <c r="AC1743" s="12"/>
      <c r="AD1743" s="12"/>
      <c r="AE1743" s="12"/>
    </row>
    <row r="1744" customFormat="false" ht="15.75" hidden="false" customHeight="false" outlineLevel="0" collapsed="false">
      <c r="A1744" s="12"/>
      <c r="B1744" s="20"/>
      <c r="C1744" s="48" t="s">
        <v>7037</v>
      </c>
      <c r="D1744" s="24"/>
      <c r="E1744" s="49" t="s">
        <v>7038</v>
      </c>
      <c r="F1744" s="49" t="s">
        <v>7039</v>
      </c>
      <c r="G1744" s="17"/>
      <c r="H1744" s="17"/>
      <c r="I1744" s="26" t="s">
        <v>166</v>
      </c>
      <c r="J1744" s="32"/>
      <c r="K1744" s="17"/>
      <c r="L1744" s="38"/>
      <c r="M1744" s="36"/>
      <c r="N1744" s="17"/>
      <c r="O1744" s="17"/>
      <c r="P1744" s="29" t="s">
        <v>168</v>
      </c>
      <c r="Q1744" s="12"/>
      <c r="R1744" s="12"/>
      <c r="S1744" s="12"/>
      <c r="T1744" s="12"/>
      <c r="U1744" s="12"/>
      <c r="V1744" s="21"/>
      <c r="Z1744" s="12"/>
      <c r="AA1744" s="29"/>
      <c r="AB1744" s="36" t="s">
        <v>5949</v>
      </c>
      <c r="AC1744" s="12"/>
      <c r="AD1744" s="12"/>
      <c r="AE1744" s="12"/>
    </row>
    <row r="1745" customFormat="false" ht="15.75" hidden="false" customHeight="false" outlineLevel="0" collapsed="false">
      <c r="A1745" s="12"/>
      <c r="B1745" s="13"/>
      <c r="C1745" s="14" t="s">
        <v>7040</v>
      </c>
      <c r="D1745" s="24"/>
      <c r="E1745" s="16" t="s">
        <v>7041</v>
      </c>
      <c r="F1745" s="16" t="s">
        <v>7042</v>
      </c>
      <c r="G1745" s="17"/>
      <c r="H1745" s="17"/>
      <c r="I1745" s="26" t="s">
        <v>166</v>
      </c>
      <c r="J1745" s="32"/>
      <c r="K1745" s="17"/>
      <c r="L1745" s="38"/>
      <c r="M1745" s="16"/>
      <c r="N1745" s="17"/>
      <c r="O1745" s="17"/>
      <c r="P1745" s="29" t="s">
        <v>168</v>
      </c>
      <c r="Q1745" s="12"/>
      <c r="R1745" s="12"/>
      <c r="S1745" s="12"/>
      <c r="T1745" s="12"/>
      <c r="U1745" s="12"/>
      <c r="V1745" s="21"/>
      <c r="Z1745" s="12"/>
      <c r="AA1745" s="29"/>
      <c r="AB1745" s="16" t="s">
        <v>7043</v>
      </c>
      <c r="AC1745" s="12"/>
      <c r="AD1745" s="12"/>
      <c r="AE1745" s="12"/>
    </row>
    <row r="1746" customFormat="false" ht="15.75" hidden="false" customHeight="false" outlineLevel="0" collapsed="false">
      <c r="A1746" s="12"/>
      <c r="B1746" s="20"/>
      <c r="C1746" s="48" t="s">
        <v>7044</v>
      </c>
      <c r="D1746" s="24"/>
      <c r="E1746" s="49" t="s">
        <v>7045</v>
      </c>
      <c r="F1746" s="49" t="s">
        <v>7046</v>
      </c>
      <c r="G1746" s="17"/>
      <c r="H1746" s="17"/>
      <c r="I1746" s="26" t="s">
        <v>166</v>
      </c>
      <c r="J1746" s="32"/>
      <c r="K1746" s="17"/>
      <c r="L1746" s="38"/>
      <c r="M1746" s="49"/>
      <c r="N1746" s="17"/>
      <c r="O1746" s="17"/>
      <c r="P1746" s="29" t="s">
        <v>168</v>
      </c>
      <c r="Q1746" s="12"/>
      <c r="R1746" s="12"/>
      <c r="S1746" s="12"/>
      <c r="T1746" s="12"/>
      <c r="U1746" s="12"/>
      <c r="V1746" s="21"/>
      <c r="Z1746" s="12"/>
      <c r="AA1746" s="29"/>
      <c r="AB1746" s="49" t="s">
        <v>7047</v>
      </c>
      <c r="AC1746" s="12"/>
      <c r="AD1746" s="12"/>
      <c r="AE1746" s="12"/>
    </row>
    <row r="1747" customFormat="false" ht="15.75" hidden="false" customHeight="false" outlineLevel="0" collapsed="false">
      <c r="A1747" s="12"/>
      <c r="B1747" s="20"/>
      <c r="C1747" s="48" t="s">
        <v>7048</v>
      </c>
      <c r="D1747" s="24"/>
      <c r="E1747" s="49" t="s">
        <v>7049</v>
      </c>
      <c r="F1747" s="49" t="s">
        <v>7050</v>
      </c>
      <c r="G1747" s="17"/>
      <c r="H1747" s="17"/>
      <c r="I1747" s="26" t="s">
        <v>166</v>
      </c>
      <c r="J1747" s="32"/>
      <c r="K1747" s="17"/>
      <c r="L1747" s="38"/>
      <c r="M1747" s="49"/>
      <c r="N1747" s="17"/>
      <c r="O1747" s="17"/>
      <c r="P1747" s="29" t="s">
        <v>168</v>
      </c>
      <c r="Q1747" s="12"/>
      <c r="R1747" s="12"/>
      <c r="S1747" s="12"/>
      <c r="T1747" s="12"/>
      <c r="U1747" s="12"/>
      <c r="V1747" s="21"/>
      <c r="Z1747" s="12"/>
      <c r="AA1747" s="29"/>
      <c r="AB1747" s="49" t="s">
        <v>7051</v>
      </c>
      <c r="AC1747" s="12"/>
      <c r="AD1747" s="12"/>
      <c r="AE1747" s="12"/>
    </row>
    <row r="1748" customFormat="false" ht="15.75" hidden="false" customHeight="false" outlineLevel="0" collapsed="false">
      <c r="A1748" s="12"/>
      <c r="B1748" s="20"/>
      <c r="C1748" s="48" t="s">
        <v>7052</v>
      </c>
      <c r="D1748" s="24"/>
      <c r="E1748" s="49" t="s">
        <v>7053</v>
      </c>
      <c r="F1748" s="49" t="s">
        <v>7054</v>
      </c>
      <c r="G1748" s="17"/>
      <c r="H1748" s="17"/>
      <c r="I1748" s="26" t="s">
        <v>166</v>
      </c>
      <c r="J1748" s="32"/>
      <c r="K1748" s="17"/>
      <c r="L1748" s="38"/>
      <c r="M1748" s="49"/>
      <c r="N1748" s="17"/>
      <c r="O1748" s="17"/>
      <c r="P1748" s="29" t="s">
        <v>168</v>
      </c>
      <c r="Q1748" s="12"/>
      <c r="R1748" s="12"/>
      <c r="S1748" s="12"/>
      <c r="T1748" s="12"/>
      <c r="U1748" s="12"/>
      <c r="V1748" s="21"/>
      <c r="Z1748" s="12"/>
      <c r="AA1748" s="29"/>
      <c r="AB1748" s="49" t="s">
        <v>7055</v>
      </c>
      <c r="AC1748" s="12"/>
      <c r="AD1748" s="12"/>
      <c r="AE1748" s="12"/>
    </row>
    <row r="1749" customFormat="false" ht="15.75" hidden="false" customHeight="false" outlineLevel="0" collapsed="false">
      <c r="A1749" s="12"/>
      <c r="B1749" s="20"/>
      <c r="C1749" s="48" t="s">
        <v>7056</v>
      </c>
      <c r="D1749" s="24"/>
      <c r="E1749" s="49" t="s">
        <v>7057</v>
      </c>
      <c r="F1749" s="49" t="s">
        <v>7058</v>
      </c>
      <c r="G1749" s="17"/>
      <c r="H1749" s="17"/>
      <c r="I1749" s="26" t="s">
        <v>166</v>
      </c>
      <c r="J1749" s="32"/>
      <c r="K1749" s="17"/>
      <c r="L1749" s="38"/>
      <c r="M1749" s="49"/>
      <c r="N1749" s="17"/>
      <c r="O1749" s="17"/>
      <c r="P1749" s="29" t="s">
        <v>168</v>
      </c>
      <c r="Q1749" s="12"/>
      <c r="R1749" s="12"/>
      <c r="S1749" s="12"/>
      <c r="T1749" s="12"/>
      <c r="U1749" s="12"/>
      <c r="V1749" s="21"/>
      <c r="Z1749" s="12"/>
      <c r="AA1749" s="29"/>
      <c r="AB1749" s="49" t="s">
        <v>7059</v>
      </c>
      <c r="AC1749" s="12"/>
      <c r="AD1749" s="12"/>
      <c r="AE1749" s="12"/>
    </row>
    <row r="1750" customFormat="false" ht="15.75" hidden="false" customHeight="false" outlineLevel="0" collapsed="false">
      <c r="A1750" s="12"/>
      <c r="B1750" s="20"/>
      <c r="C1750" s="48" t="s">
        <v>7060</v>
      </c>
      <c r="D1750" s="24"/>
      <c r="E1750" s="49" t="s">
        <v>7061</v>
      </c>
      <c r="F1750" s="49" t="s">
        <v>7062</v>
      </c>
      <c r="G1750" s="17"/>
      <c r="H1750" s="17"/>
      <c r="I1750" s="26" t="s">
        <v>166</v>
      </c>
      <c r="J1750" s="32"/>
      <c r="K1750" s="17"/>
      <c r="L1750" s="38"/>
      <c r="M1750" s="36"/>
      <c r="N1750" s="17"/>
      <c r="O1750" s="17"/>
      <c r="P1750" s="29" t="s">
        <v>168</v>
      </c>
      <c r="Q1750" s="12"/>
      <c r="R1750" s="12"/>
      <c r="S1750" s="12"/>
      <c r="T1750" s="12"/>
      <c r="U1750" s="12"/>
      <c r="V1750" s="21"/>
      <c r="Z1750" s="12"/>
      <c r="AA1750" s="29"/>
      <c r="AB1750" s="36" t="s">
        <v>5949</v>
      </c>
      <c r="AC1750" s="12"/>
      <c r="AD1750" s="12"/>
      <c r="AE1750" s="12"/>
    </row>
    <row r="1751" customFormat="false" ht="15.75" hidden="false" customHeight="false" outlineLevel="0" collapsed="false">
      <c r="A1751" s="12"/>
      <c r="B1751" s="13"/>
      <c r="C1751" s="14" t="s">
        <v>7063</v>
      </c>
      <c r="D1751" s="24"/>
      <c r="E1751" s="16" t="s">
        <v>7064</v>
      </c>
      <c r="F1751" s="16" t="s">
        <v>7065</v>
      </c>
      <c r="G1751" s="17"/>
      <c r="H1751" s="17"/>
      <c r="I1751" s="26" t="s">
        <v>166</v>
      </c>
      <c r="J1751" s="32"/>
      <c r="K1751" s="17"/>
      <c r="L1751" s="38"/>
      <c r="M1751" s="36"/>
      <c r="N1751" s="17"/>
      <c r="O1751" s="17"/>
      <c r="P1751" s="29" t="s">
        <v>168</v>
      </c>
      <c r="Q1751" s="12"/>
      <c r="R1751" s="12"/>
      <c r="S1751" s="12"/>
      <c r="T1751" s="12"/>
      <c r="U1751" s="12"/>
      <c r="V1751" s="21"/>
      <c r="Z1751" s="12"/>
      <c r="AA1751" s="29"/>
      <c r="AB1751" s="36" t="s">
        <v>5949</v>
      </c>
      <c r="AC1751" s="12"/>
      <c r="AD1751" s="12"/>
      <c r="AE1751" s="12"/>
    </row>
    <row r="1752" customFormat="false" ht="15.75" hidden="false" customHeight="false" outlineLevel="0" collapsed="false">
      <c r="A1752" s="12"/>
      <c r="B1752" s="20"/>
      <c r="C1752" s="48" t="s">
        <v>7066</v>
      </c>
      <c r="D1752" s="24"/>
      <c r="E1752" s="49" t="s">
        <v>7067</v>
      </c>
      <c r="F1752" s="49" t="s">
        <v>7068</v>
      </c>
      <c r="G1752" s="17"/>
      <c r="H1752" s="17"/>
      <c r="I1752" s="26" t="s">
        <v>166</v>
      </c>
      <c r="J1752" s="32"/>
      <c r="K1752" s="17"/>
      <c r="L1752" s="38"/>
      <c r="M1752" s="49"/>
      <c r="N1752" s="17"/>
      <c r="O1752" s="17"/>
      <c r="P1752" s="29" t="s">
        <v>168</v>
      </c>
      <c r="Q1752" s="12"/>
      <c r="R1752" s="12"/>
      <c r="S1752" s="12"/>
      <c r="T1752" s="12"/>
      <c r="U1752" s="12"/>
      <c r="V1752" s="21"/>
      <c r="Z1752" s="12"/>
      <c r="AA1752" s="29"/>
      <c r="AB1752" s="49" t="s">
        <v>5306</v>
      </c>
      <c r="AC1752" s="12"/>
      <c r="AD1752" s="12"/>
      <c r="AE1752" s="12"/>
    </row>
    <row r="1753" customFormat="false" ht="15.75" hidden="false" customHeight="false" outlineLevel="0" collapsed="false">
      <c r="A1753" s="12"/>
      <c r="B1753" s="20"/>
      <c r="C1753" s="48" t="s">
        <v>7069</v>
      </c>
      <c r="D1753" s="24"/>
      <c r="E1753" s="49" t="s">
        <v>7070</v>
      </c>
      <c r="F1753" s="49" t="s">
        <v>7071</v>
      </c>
      <c r="G1753" s="17"/>
      <c r="H1753" s="17"/>
      <c r="I1753" s="26" t="s">
        <v>166</v>
      </c>
      <c r="J1753" s="32"/>
      <c r="K1753" s="17"/>
      <c r="L1753" s="38"/>
      <c r="M1753" s="49"/>
      <c r="N1753" s="17"/>
      <c r="O1753" s="17"/>
      <c r="P1753" s="29" t="s">
        <v>168</v>
      </c>
      <c r="Q1753" s="12"/>
      <c r="R1753" s="12"/>
      <c r="S1753" s="12"/>
      <c r="T1753" s="12"/>
      <c r="U1753" s="12"/>
      <c r="V1753" s="21"/>
      <c r="Z1753" s="12"/>
      <c r="AA1753" s="29"/>
      <c r="AB1753" s="49" t="s">
        <v>7072</v>
      </c>
      <c r="AC1753" s="12"/>
      <c r="AD1753" s="12"/>
      <c r="AE1753" s="12"/>
    </row>
    <row r="1754" customFormat="false" ht="15.75" hidden="false" customHeight="false" outlineLevel="0" collapsed="false">
      <c r="A1754" s="12"/>
      <c r="B1754" s="12"/>
      <c r="C1754" s="23" t="s">
        <v>7073</v>
      </c>
      <c r="D1754" s="24"/>
      <c r="E1754" s="17"/>
      <c r="F1754" s="17"/>
      <c r="G1754" s="17"/>
      <c r="H1754" s="17"/>
      <c r="I1754" s="17"/>
      <c r="J1754" s="47"/>
      <c r="K1754" s="17"/>
      <c r="L1754" s="38"/>
      <c r="M1754" s="17"/>
      <c r="N1754" s="39"/>
      <c r="O1754" s="17"/>
      <c r="P1754" s="29"/>
      <c r="Q1754" s="12"/>
      <c r="R1754" s="12"/>
      <c r="S1754" s="12"/>
      <c r="T1754" s="12"/>
      <c r="U1754" s="12"/>
      <c r="V1754" s="21"/>
      <c r="Z1754" s="12"/>
      <c r="AA1754" s="29"/>
      <c r="AB1754" s="26"/>
      <c r="AC1754" s="12"/>
      <c r="AD1754" s="12"/>
      <c r="AE1754" s="12"/>
    </row>
    <row r="1755" customFormat="false" ht="15.75" hidden="false" customHeight="false" outlineLevel="0" collapsed="false">
      <c r="A1755" s="12"/>
      <c r="B1755" s="13"/>
      <c r="C1755" s="14" t="s">
        <v>7074</v>
      </c>
      <c r="D1755" s="24"/>
      <c r="E1755" s="16" t="s">
        <v>7075</v>
      </c>
      <c r="F1755" s="16" t="s">
        <v>7076</v>
      </c>
      <c r="G1755" s="17"/>
      <c r="H1755" s="17"/>
      <c r="I1755" s="26" t="s">
        <v>166</v>
      </c>
      <c r="J1755" s="32"/>
      <c r="K1755" s="17"/>
      <c r="L1755" s="38"/>
      <c r="M1755" s="36"/>
      <c r="N1755" s="17"/>
      <c r="O1755" s="17"/>
      <c r="P1755" s="29" t="s">
        <v>168</v>
      </c>
      <c r="Q1755" s="20"/>
      <c r="R1755" s="20"/>
      <c r="S1755" s="20"/>
      <c r="T1755" s="20"/>
      <c r="U1755" s="20"/>
      <c r="V1755" s="45"/>
      <c r="Z1755" s="20"/>
      <c r="AA1755" s="22"/>
      <c r="AB1755" s="36" t="s">
        <v>5949</v>
      </c>
      <c r="AC1755" s="20"/>
      <c r="AD1755" s="20"/>
      <c r="AE1755" s="20"/>
    </row>
    <row r="1756" customFormat="false" ht="15.75" hidden="false" customHeight="false" outlineLevel="0" collapsed="false">
      <c r="A1756" s="12"/>
      <c r="B1756" s="20"/>
      <c r="C1756" s="48" t="s">
        <v>7077</v>
      </c>
      <c r="D1756" s="24"/>
      <c r="E1756" s="49" t="s">
        <v>7078</v>
      </c>
      <c r="F1756" s="49" t="s">
        <v>7079</v>
      </c>
      <c r="G1756" s="17"/>
      <c r="H1756" s="17"/>
      <c r="I1756" s="26" t="s">
        <v>166</v>
      </c>
      <c r="J1756" s="32"/>
      <c r="K1756" s="17"/>
      <c r="L1756" s="38"/>
      <c r="M1756" s="49"/>
      <c r="N1756" s="17"/>
      <c r="O1756" s="17"/>
      <c r="P1756" s="29" t="s">
        <v>168</v>
      </c>
      <c r="Q1756" s="20"/>
      <c r="R1756" s="20"/>
      <c r="S1756" s="20"/>
      <c r="T1756" s="20"/>
      <c r="U1756" s="20"/>
      <c r="V1756" s="45"/>
      <c r="Z1756" s="20"/>
      <c r="AA1756" s="22"/>
      <c r="AB1756" s="49" t="s">
        <v>5306</v>
      </c>
      <c r="AC1756" s="20"/>
      <c r="AD1756" s="20"/>
      <c r="AE1756" s="20"/>
    </row>
    <row r="1757" customFormat="false" ht="15.75" hidden="false" customHeight="false" outlineLevel="0" collapsed="false">
      <c r="A1757" s="12"/>
      <c r="B1757" s="20"/>
      <c r="C1757" s="48" t="s">
        <v>7080</v>
      </c>
      <c r="D1757" s="24"/>
      <c r="E1757" s="49" t="s">
        <v>7081</v>
      </c>
      <c r="F1757" s="49" t="s">
        <v>7082</v>
      </c>
      <c r="G1757" s="17"/>
      <c r="H1757" s="17"/>
      <c r="I1757" s="26" t="s">
        <v>166</v>
      </c>
      <c r="J1757" s="32"/>
      <c r="K1757" s="17"/>
      <c r="L1757" s="38"/>
      <c r="M1757" s="36"/>
      <c r="N1757" s="17"/>
      <c r="O1757" s="17"/>
      <c r="P1757" s="29" t="s">
        <v>168</v>
      </c>
      <c r="Q1757" s="12"/>
      <c r="R1757" s="12"/>
      <c r="S1757" s="12"/>
      <c r="T1757" s="12"/>
      <c r="U1757" s="12"/>
      <c r="V1757" s="21"/>
      <c r="Z1757" s="12"/>
      <c r="AA1757" s="29"/>
      <c r="AB1757" s="36" t="s">
        <v>5949</v>
      </c>
      <c r="AC1757" s="12"/>
      <c r="AD1757" s="12"/>
      <c r="AE1757" s="12"/>
    </row>
    <row r="1758" customFormat="false" ht="15.75" hidden="false" customHeight="false" outlineLevel="0" collapsed="false">
      <c r="A1758" s="12"/>
      <c r="B1758" s="12"/>
      <c r="C1758" s="23" t="s">
        <v>7083</v>
      </c>
      <c r="D1758" s="24"/>
      <c r="E1758" s="25" t="s">
        <v>7084</v>
      </c>
      <c r="F1758" s="17" t="s">
        <v>7085</v>
      </c>
      <c r="G1758" s="17" t="s">
        <v>1600</v>
      </c>
      <c r="H1758" s="17"/>
      <c r="I1758" s="26" t="s">
        <v>82</v>
      </c>
      <c r="J1758" s="32"/>
      <c r="K1758" s="17"/>
      <c r="L1758" s="38"/>
      <c r="M1758" s="17"/>
      <c r="N1758" s="17"/>
      <c r="O1758" s="17"/>
      <c r="P1758" s="29" t="s">
        <v>638</v>
      </c>
      <c r="Q1758" s="12"/>
      <c r="R1758" s="12" t="s">
        <v>7086</v>
      </c>
      <c r="S1758" s="12"/>
      <c r="T1758" s="12" t="s">
        <v>7087</v>
      </c>
      <c r="U1758" s="12"/>
      <c r="V1758" s="21" t="s">
        <v>31</v>
      </c>
      <c r="Z1758" s="12"/>
      <c r="AA1758" s="29"/>
      <c r="AB1758" s="26"/>
      <c r="AC1758" s="12"/>
      <c r="AD1758" s="12"/>
      <c r="AE1758" s="12"/>
    </row>
    <row r="1759" customFormat="false" ht="15.75" hidden="false" customHeight="false" outlineLevel="0" collapsed="false">
      <c r="A1759" s="12"/>
      <c r="B1759" s="20"/>
      <c r="C1759" s="48" t="s">
        <v>3918</v>
      </c>
      <c r="D1759" s="24"/>
      <c r="E1759" s="49" t="s">
        <v>3938</v>
      </c>
      <c r="F1759" s="49" t="s">
        <v>7088</v>
      </c>
      <c r="G1759" s="17"/>
      <c r="H1759" s="17"/>
      <c r="I1759" s="26" t="s">
        <v>166</v>
      </c>
      <c r="J1759" s="32"/>
      <c r="K1759" s="17"/>
      <c r="L1759" s="38"/>
      <c r="M1759" s="49"/>
      <c r="N1759" s="17"/>
      <c r="O1759" s="17"/>
      <c r="P1759" s="29" t="s">
        <v>168</v>
      </c>
      <c r="Q1759" s="12"/>
      <c r="R1759" s="12"/>
      <c r="S1759" s="12"/>
      <c r="T1759" s="12"/>
      <c r="U1759" s="12"/>
      <c r="V1759" s="21"/>
      <c r="Z1759" s="12"/>
      <c r="AA1759" s="29"/>
      <c r="AB1759" s="49" t="s">
        <v>7089</v>
      </c>
      <c r="AC1759" s="12"/>
      <c r="AD1759" s="12"/>
      <c r="AE1759" s="12"/>
    </row>
    <row r="1760" customFormat="false" ht="15.75" hidden="false" customHeight="false" outlineLevel="0" collapsed="false">
      <c r="A1760" s="12"/>
      <c r="B1760" s="20"/>
      <c r="C1760" s="48" t="s">
        <v>7090</v>
      </c>
      <c r="D1760" s="24"/>
      <c r="E1760" s="49" t="s">
        <v>7091</v>
      </c>
      <c r="F1760" s="49" t="s">
        <v>7092</v>
      </c>
      <c r="G1760" s="17"/>
      <c r="H1760" s="17"/>
      <c r="I1760" s="26" t="s">
        <v>166</v>
      </c>
      <c r="J1760" s="32"/>
      <c r="K1760" s="17"/>
      <c r="L1760" s="38"/>
      <c r="M1760" s="49"/>
      <c r="N1760" s="17"/>
      <c r="O1760" s="17"/>
      <c r="P1760" s="29" t="s">
        <v>168</v>
      </c>
      <c r="Q1760" s="20"/>
      <c r="R1760" s="20"/>
      <c r="S1760" s="20"/>
      <c r="T1760" s="20"/>
      <c r="U1760" s="20"/>
      <c r="V1760" s="45"/>
      <c r="Z1760" s="20"/>
      <c r="AA1760" s="22"/>
      <c r="AB1760" s="49" t="s">
        <v>7093</v>
      </c>
      <c r="AC1760" s="20"/>
      <c r="AD1760" s="20"/>
      <c r="AE1760" s="20"/>
    </row>
    <row r="1761" customFormat="false" ht="15.75" hidden="false" customHeight="false" outlineLevel="0" collapsed="false">
      <c r="A1761" s="12"/>
      <c r="B1761" s="20"/>
      <c r="C1761" s="48" t="s">
        <v>7094</v>
      </c>
      <c r="D1761" s="24"/>
      <c r="E1761" s="49" t="s">
        <v>7095</v>
      </c>
      <c r="F1761" s="49" t="s">
        <v>7096</v>
      </c>
      <c r="G1761" s="17"/>
      <c r="H1761" s="17"/>
      <c r="I1761" s="26" t="s">
        <v>166</v>
      </c>
      <c r="J1761" s="32"/>
      <c r="K1761" s="17"/>
      <c r="L1761" s="38"/>
      <c r="M1761" s="49"/>
      <c r="N1761" s="17"/>
      <c r="O1761" s="17"/>
      <c r="P1761" s="29" t="s">
        <v>168</v>
      </c>
      <c r="Q1761" s="20"/>
      <c r="R1761" s="20"/>
      <c r="S1761" s="20"/>
      <c r="T1761" s="20"/>
      <c r="U1761" s="20"/>
      <c r="V1761" s="45"/>
      <c r="Z1761" s="20"/>
      <c r="AA1761" s="22"/>
      <c r="AB1761" s="49" t="s">
        <v>7097</v>
      </c>
      <c r="AC1761" s="20"/>
      <c r="AD1761" s="20"/>
      <c r="AE1761" s="20"/>
    </row>
    <row r="1762" customFormat="false" ht="15.75" hidden="false" customHeight="false" outlineLevel="0" collapsed="false">
      <c r="A1762" s="12"/>
      <c r="B1762" s="20"/>
      <c r="C1762" s="48" t="s">
        <v>7098</v>
      </c>
      <c r="D1762" s="24"/>
      <c r="E1762" s="49" t="s">
        <v>7099</v>
      </c>
      <c r="F1762" s="49" t="s">
        <v>7100</v>
      </c>
      <c r="G1762" s="17"/>
      <c r="H1762" s="17"/>
      <c r="I1762" s="26" t="s">
        <v>166</v>
      </c>
      <c r="J1762" s="32"/>
      <c r="K1762" s="17"/>
      <c r="L1762" s="38"/>
      <c r="M1762" s="49"/>
      <c r="N1762" s="17"/>
      <c r="O1762" s="17"/>
      <c r="P1762" s="29" t="s">
        <v>168</v>
      </c>
      <c r="Q1762" s="12"/>
      <c r="R1762" s="12"/>
      <c r="S1762" s="12"/>
      <c r="T1762" s="12"/>
      <c r="U1762" s="12"/>
      <c r="V1762" s="21"/>
      <c r="Z1762" s="12"/>
      <c r="AA1762" s="29"/>
      <c r="AB1762" s="49" t="s">
        <v>7101</v>
      </c>
      <c r="AC1762" s="12"/>
      <c r="AD1762" s="12"/>
      <c r="AE1762" s="12"/>
    </row>
    <row r="1763" customFormat="false" ht="15.75" hidden="false" customHeight="false" outlineLevel="0" collapsed="false">
      <c r="A1763" s="12"/>
      <c r="B1763" s="20"/>
      <c r="C1763" s="48" t="s">
        <v>7102</v>
      </c>
      <c r="D1763" s="24"/>
      <c r="E1763" s="49" t="s">
        <v>7103</v>
      </c>
      <c r="F1763" s="49" t="s">
        <v>7104</v>
      </c>
      <c r="G1763" s="17"/>
      <c r="H1763" s="17"/>
      <c r="I1763" s="26" t="s">
        <v>166</v>
      </c>
      <c r="J1763" s="32"/>
      <c r="K1763" s="17"/>
      <c r="L1763" s="38"/>
      <c r="M1763" s="49"/>
      <c r="N1763" s="17"/>
      <c r="O1763" s="17"/>
      <c r="P1763" s="29" t="s">
        <v>168</v>
      </c>
      <c r="Q1763" s="12"/>
      <c r="R1763" s="12"/>
      <c r="S1763" s="12"/>
      <c r="T1763" s="12"/>
      <c r="U1763" s="12"/>
      <c r="V1763" s="21"/>
      <c r="Z1763" s="12"/>
      <c r="AA1763" s="29"/>
      <c r="AB1763" s="49"/>
      <c r="AC1763" s="12"/>
      <c r="AD1763" s="12"/>
      <c r="AE1763" s="12"/>
    </row>
    <row r="1764" customFormat="false" ht="15.75" hidden="false" customHeight="false" outlineLevel="0" collapsed="false">
      <c r="A1764" s="12"/>
      <c r="B1764" s="20"/>
      <c r="C1764" s="48" t="s">
        <v>7105</v>
      </c>
      <c r="D1764" s="24"/>
      <c r="E1764" s="49" t="s">
        <v>7106</v>
      </c>
      <c r="F1764" s="49" t="s">
        <v>7107</v>
      </c>
      <c r="G1764" s="17"/>
      <c r="H1764" s="17"/>
      <c r="I1764" s="26" t="s">
        <v>166</v>
      </c>
      <c r="J1764" s="32"/>
      <c r="K1764" s="17"/>
      <c r="L1764" s="38"/>
      <c r="M1764" s="36"/>
      <c r="N1764" s="17"/>
      <c r="O1764" s="17"/>
      <c r="P1764" s="29" t="s">
        <v>168</v>
      </c>
      <c r="Q1764" s="20"/>
      <c r="R1764" s="20"/>
      <c r="S1764" s="20"/>
      <c r="T1764" s="20"/>
      <c r="U1764" s="20"/>
      <c r="V1764" s="45"/>
      <c r="Z1764" s="20"/>
      <c r="AA1764" s="22"/>
      <c r="AB1764" s="36"/>
      <c r="AC1764" s="20"/>
      <c r="AD1764" s="20"/>
      <c r="AE1764" s="20"/>
    </row>
    <row r="1765" customFormat="false" ht="15.75" hidden="false" customHeight="false" outlineLevel="0" collapsed="false">
      <c r="A1765" s="12"/>
      <c r="B1765" s="20"/>
      <c r="C1765" s="48" t="s">
        <v>7108</v>
      </c>
      <c r="D1765" s="24"/>
      <c r="E1765" s="49" t="s">
        <v>7109</v>
      </c>
      <c r="F1765" s="49" t="s">
        <v>7110</v>
      </c>
      <c r="G1765" s="17"/>
      <c r="H1765" s="17"/>
      <c r="I1765" s="26" t="s">
        <v>166</v>
      </c>
      <c r="J1765" s="32"/>
      <c r="K1765" s="17"/>
      <c r="L1765" s="38"/>
      <c r="M1765" s="49"/>
      <c r="N1765" s="17"/>
      <c r="O1765" s="17"/>
      <c r="P1765" s="29" t="s">
        <v>168</v>
      </c>
      <c r="Q1765" s="20"/>
      <c r="R1765" s="20"/>
      <c r="S1765" s="20"/>
      <c r="T1765" s="20"/>
      <c r="U1765" s="20"/>
      <c r="V1765" s="45"/>
      <c r="Z1765" s="20"/>
      <c r="AA1765" s="22"/>
      <c r="AB1765" s="49" t="s">
        <v>7111</v>
      </c>
      <c r="AC1765" s="20"/>
      <c r="AD1765" s="20"/>
      <c r="AE1765" s="20"/>
    </row>
    <row r="1766" customFormat="false" ht="15.75" hidden="false" customHeight="false" outlineLevel="0" collapsed="false">
      <c r="A1766" s="12"/>
      <c r="B1766" s="13"/>
      <c r="C1766" s="14" t="s">
        <v>7112</v>
      </c>
      <c r="D1766" s="24"/>
      <c r="E1766" s="16" t="s">
        <v>7113</v>
      </c>
      <c r="F1766" s="16" t="s">
        <v>7114</v>
      </c>
      <c r="G1766" s="17"/>
      <c r="H1766" s="17"/>
      <c r="I1766" s="26" t="s">
        <v>166</v>
      </c>
      <c r="J1766" s="32"/>
      <c r="K1766" s="17"/>
      <c r="L1766" s="38"/>
      <c r="M1766" s="36"/>
      <c r="N1766" s="17"/>
      <c r="O1766" s="17"/>
      <c r="P1766" s="29" t="s">
        <v>168</v>
      </c>
      <c r="Q1766" s="12"/>
      <c r="R1766" s="12"/>
      <c r="S1766" s="12"/>
      <c r="T1766" s="12"/>
      <c r="U1766" s="12"/>
      <c r="V1766" s="21"/>
      <c r="Z1766" s="12"/>
      <c r="AA1766" s="29"/>
      <c r="AB1766" s="36"/>
      <c r="AC1766" s="12"/>
      <c r="AD1766" s="12"/>
      <c r="AE1766" s="12"/>
    </row>
    <row r="1767" customFormat="false" ht="15.75" hidden="false" customHeight="false" outlineLevel="0" collapsed="false">
      <c r="A1767" s="12"/>
      <c r="B1767" s="20"/>
      <c r="C1767" s="48" t="s">
        <v>7115</v>
      </c>
      <c r="D1767" s="24"/>
      <c r="E1767" s="49" t="s">
        <v>7116</v>
      </c>
      <c r="F1767" s="49" t="s">
        <v>7117</v>
      </c>
      <c r="G1767" s="17"/>
      <c r="H1767" s="17"/>
      <c r="I1767" s="26" t="s">
        <v>166</v>
      </c>
      <c r="J1767" s="32"/>
      <c r="K1767" s="17"/>
      <c r="L1767" s="38"/>
      <c r="M1767" s="49"/>
      <c r="N1767" s="17"/>
      <c r="O1767" s="17"/>
      <c r="P1767" s="29" t="s">
        <v>168</v>
      </c>
      <c r="Q1767" s="12"/>
      <c r="R1767" s="12"/>
      <c r="S1767" s="12"/>
      <c r="T1767" s="12"/>
      <c r="U1767" s="12"/>
      <c r="V1767" s="21"/>
      <c r="Z1767" s="12"/>
      <c r="AA1767" s="29"/>
      <c r="AB1767" s="49" t="s">
        <v>7118</v>
      </c>
      <c r="AC1767" s="12"/>
      <c r="AD1767" s="12"/>
      <c r="AE1767" s="12"/>
    </row>
    <row r="1768" customFormat="false" ht="15.75" hidden="false" customHeight="false" outlineLevel="0" collapsed="false">
      <c r="A1768" s="12"/>
      <c r="B1768" s="20"/>
      <c r="C1768" s="48" t="s">
        <v>7119</v>
      </c>
      <c r="D1768" s="24"/>
      <c r="E1768" s="49" t="s">
        <v>7120</v>
      </c>
      <c r="F1768" s="49" t="s">
        <v>7121</v>
      </c>
      <c r="G1768" s="17"/>
      <c r="H1768" s="17"/>
      <c r="I1768" s="26" t="s">
        <v>166</v>
      </c>
      <c r="J1768" s="32"/>
      <c r="K1768" s="17"/>
      <c r="L1768" s="38"/>
      <c r="M1768" s="49"/>
      <c r="N1768" s="17"/>
      <c r="O1768" s="17"/>
      <c r="P1768" s="29" t="s">
        <v>168</v>
      </c>
      <c r="Q1768" s="12"/>
      <c r="R1768" s="12"/>
      <c r="S1768" s="12"/>
      <c r="T1768" s="12"/>
      <c r="U1768" s="12"/>
      <c r="V1768" s="21"/>
      <c r="Z1768" s="12"/>
      <c r="AA1768" s="29"/>
      <c r="AB1768" s="49" t="s">
        <v>7122</v>
      </c>
      <c r="AC1768" s="12"/>
      <c r="AD1768" s="12"/>
      <c r="AE1768" s="12"/>
    </row>
    <row r="1769" customFormat="false" ht="15.75" hidden="false" customHeight="false" outlineLevel="0" collapsed="false">
      <c r="A1769" s="12"/>
      <c r="B1769" s="20"/>
      <c r="C1769" s="48" t="s">
        <v>7123</v>
      </c>
      <c r="D1769" s="24"/>
      <c r="E1769" s="49" t="s">
        <v>7124</v>
      </c>
      <c r="F1769" s="49" t="s">
        <v>7125</v>
      </c>
      <c r="G1769" s="17"/>
      <c r="H1769" s="17"/>
      <c r="I1769" s="26" t="s">
        <v>166</v>
      </c>
      <c r="J1769" s="32"/>
      <c r="K1769" s="17"/>
      <c r="L1769" s="38"/>
      <c r="M1769" s="36"/>
      <c r="N1769" s="17"/>
      <c r="O1769" s="17"/>
      <c r="P1769" s="29" t="s">
        <v>168</v>
      </c>
      <c r="Q1769" s="17"/>
      <c r="R1769" s="17"/>
      <c r="S1769" s="17"/>
      <c r="T1769" s="17"/>
      <c r="U1769" s="17"/>
      <c r="V1769" s="27"/>
      <c r="Z1769" s="17"/>
      <c r="AA1769" s="29"/>
      <c r="AB1769" s="36"/>
      <c r="AC1769" s="17"/>
      <c r="AD1769" s="17"/>
      <c r="AE1769" s="17"/>
    </row>
    <row r="1770" customFormat="false" ht="15.75" hidden="false" customHeight="false" outlineLevel="0" collapsed="false">
      <c r="A1770" s="12"/>
      <c r="B1770" s="20"/>
      <c r="C1770" s="48" t="s">
        <v>7126</v>
      </c>
      <c r="D1770" s="24"/>
      <c r="E1770" s="49" t="s">
        <v>7127</v>
      </c>
      <c r="F1770" s="49" t="s">
        <v>7128</v>
      </c>
      <c r="G1770" s="17"/>
      <c r="H1770" s="17"/>
      <c r="I1770" s="26" t="s">
        <v>166</v>
      </c>
      <c r="J1770" s="32"/>
      <c r="K1770" s="17"/>
      <c r="L1770" s="38"/>
      <c r="M1770" s="49"/>
      <c r="N1770" s="17"/>
      <c r="O1770" s="17"/>
      <c r="P1770" s="29" t="s">
        <v>168</v>
      </c>
      <c r="Q1770" s="12"/>
      <c r="R1770" s="12"/>
      <c r="S1770" s="12"/>
      <c r="T1770" s="12"/>
      <c r="U1770" s="12"/>
      <c r="V1770" s="21"/>
      <c r="Z1770" s="12"/>
      <c r="AA1770" s="29"/>
      <c r="AB1770" s="49"/>
      <c r="AC1770" s="12"/>
      <c r="AD1770" s="12"/>
      <c r="AE1770" s="12"/>
    </row>
    <row r="1771" customFormat="false" ht="15.75" hidden="false" customHeight="false" outlineLevel="0" collapsed="false">
      <c r="A1771" s="12"/>
      <c r="B1771" s="20"/>
      <c r="C1771" s="48" t="s">
        <v>7129</v>
      </c>
      <c r="D1771" s="24"/>
      <c r="E1771" s="49" t="s">
        <v>7130</v>
      </c>
      <c r="F1771" s="49" t="s">
        <v>7131</v>
      </c>
      <c r="G1771" s="17"/>
      <c r="H1771" s="17"/>
      <c r="I1771" s="26" t="s">
        <v>166</v>
      </c>
      <c r="J1771" s="32"/>
      <c r="K1771" s="17"/>
      <c r="L1771" s="38"/>
      <c r="M1771" s="49"/>
      <c r="N1771" s="17"/>
      <c r="O1771" s="17"/>
      <c r="P1771" s="29" t="s">
        <v>168</v>
      </c>
      <c r="Q1771" s="12"/>
      <c r="R1771" s="12"/>
      <c r="S1771" s="12"/>
      <c r="T1771" s="12"/>
      <c r="U1771" s="12"/>
      <c r="V1771" s="21"/>
      <c r="Z1771" s="12"/>
      <c r="AA1771" s="29"/>
      <c r="AB1771" s="49" t="s">
        <v>7132</v>
      </c>
      <c r="AC1771" s="12"/>
      <c r="AD1771" s="12"/>
      <c r="AE1771" s="12"/>
    </row>
    <row r="1772" customFormat="false" ht="15.75" hidden="false" customHeight="false" outlineLevel="0" collapsed="false">
      <c r="A1772" s="12"/>
      <c r="B1772" s="12"/>
      <c r="C1772" s="23" t="s">
        <v>7133</v>
      </c>
      <c r="D1772" s="24"/>
      <c r="E1772" s="25" t="s">
        <v>7134</v>
      </c>
      <c r="F1772" s="17" t="s">
        <v>7135</v>
      </c>
      <c r="G1772" s="17" t="s">
        <v>2629</v>
      </c>
      <c r="H1772" s="17"/>
      <c r="I1772" s="26" t="s">
        <v>82</v>
      </c>
      <c r="J1772" s="32"/>
      <c r="K1772" s="17"/>
      <c r="L1772" s="38"/>
      <c r="M1772" s="17"/>
      <c r="N1772" s="17"/>
      <c r="O1772" s="17"/>
      <c r="P1772" s="29" t="s">
        <v>638</v>
      </c>
      <c r="Q1772" s="12"/>
      <c r="R1772" s="12" t="s">
        <v>5263</v>
      </c>
      <c r="S1772" s="12"/>
      <c r="T1772" s="12" t="s">
        <v>5264</v>
      </c>
      <c r="U1772" s="12"/>
      <c r="V1772" s="21" t="s">
        <v>31</v>
      </c>
      <c r="Z1772" s="12"/>
      <c r="AA1772" s="29"/>
      <c r="AB1772" s="26"/>
      <c r="AC1772" s="12"/>
      <c r="AD1772" s="12"/>
      <c r="AE1772" s="12"/>
    </row>
    <row r="1773" customFormat="false" ht="15.75" hidden="false" customHeight="false" outlineLevel="0" collapsed="false">
      <c r="A1773" s="12"/>
      <c r="B1773" s="20"/>
      <c r="C1773" s="48" t="s">
        <v>4791</v>
      </c>
      <c r="D1773" s="24"/>
      <c r="E1773" s="49" t="s">
        <v>4792</v>
      </c>
      <c r="F1773" s="49" t="s">
        <v>7136</v>
      </c>
      <c r="G1773" s="17"/>
      <c r="H1773" s="17"/>
      <c r="I1773" s="26" t="s">
        <v>166</v>
      </c>
      <c r="J1773" s="32"/>
      <c r="K1773" s="17"/>
      <c r="L1773" s="38"/>
      <c r="M1773" s="49"/>
      <c r="N1773" s="17"/>
      <c r="O1773" s="17"/>
      <c r="P1773" s="29" t="s">
        <v>168</v>
      </c>
      <c r="Q1773" s="12"/>
      <c r="R1773" s="12"/>
      <c r="S1773" s="12"/>
      <c r="T1773" s="12"/>
      <c r="U1773" s="12"/>
      <c r="V1773" s="21"/>
      <c r="Z1773" s="12"/>
      <c r="AA1773" s="29"/>
      <c r="AB1773" s="49" t="s">
        <v>7137</v>
      </c>
      <c r="AC1773" s="12"/>
      <c r="AD1773" s="12"/>
      <c r="AE1773" s="12"/>
    </row>
    <row r="1774" customFormat="false" ht="15.75" hidden="false" customHeight="false" outlineLevel="0" collapsed="false">
      <c r="A1774" s="12"/>
      <c r="B1774" s="20"/>
      <c r="C1774" s="48" t="s">
        <v>7138</v>
      </c>
      <c r="D1774" s="24"/>
      <c r="E1774" s="49" t="s">
        <v>7139</v>
      </c>
      <c r="F1774" s="49" t="s">
        <v>7140</v>
      </c>
      <c r="G1774" s="17"/>
      <c r="H1774" s="17"/>
      <c r="I1774" s="26" t="s">
        <v>166</v>
      </c>
      <c r="J1774" s="32"/>
      <c r="K1774" s="17"/>
      <c r="L1774" s="38"/>
      <c r="M1774" s="49"/>
      <c r="N1774" s="17"/>
      <c r="O1774" s="17"/>
      <c r="P1774" s="29" t="s">
        <v>168</v>
      </c>
      <c r="Q1774" s="12"/>
      <c r="R1774" s="12"/>
      <c r="S1774" s="12"/>
      <c r="T1774" s="12"/>
      <c r="U1774" s="12"/>
      <c r="V1774" s="21"/>
      <c r="Z1774" s="12"/>
      <c r="AA1774" s="29"/>
      <c r="AB1774" s="49" t="s">
        <v>7141</v>
      </c>
      <c r="AC1774" s="12"/>
      <c r="AD1774" s="12"/>
      <c r="AE1774" s="12"/>
    </row>
    <row r="1775" customFormat="false" ht="15.75" hidden="false" customHeight="false" outlineLevel="0" collapsed="false">
      <c r="A1775" s="12"/>
      <c r="B1775" s="20"/>
      <c r="C1775" s="48" t="s">
        <v>7142</v>
      </c>
      <c r="D1775" s="24"/>
      <c r="E1775" s="49" t="s">
        <v>7143</v>
      </c>
      <c r="F1775" s="49" t="s">
        <v>7144</v>
      </c>
      <c r="G1775" s="17"/>
      <c r="H1775" s="17"/>
      <c r="I1775" s="26" t="s">
        <v>166</v>
      </c>
      <c r="J1775" s="32"/>
      <c r="K1775" s="17"/>
      <c r="L1775" s="38"/>
      <c r="M1775" s="49"/>
      <c r="N1775" s="17"/>
      <c r="O1775" s="17"/>
      <c r="P1775" s="29" t="s">
        <v>168</v>
      </c>
      <c r="Q1775" s="12"/>
      <c r="R1775" s="12"/>
      <c r="S1775" s="12"/>
      <c r="T1775" s="12"/>
      <c r="U1775" s="12"/>
      <c r="V1775" s="21"/>
      <c r="Z1775" s="12"/>
      <c r="AA1775" s="29"/>
      <c r="AB1775" s="49" t="s">
        <v>7145</v>
      </c>
      <c r="AC1775" s="12"/>
      <c r="AD1775" s="12"/>
      <c r="AE1775" s="12"/>
    </row>
    <row r="1776" customFormat="false" ht="15.75" hidden="false" customHeight="false" outlineLevel="0" collapsed="false">
      <c r="A1776" s="12"/>
      <c r="B1776" s="12"/>
      <c r="C1776" s="23" t="s">
        <v>7146</v>
      </c>
      <c r="D1776" s="24"/>
      <c r="E1776" s="25" t="s">
        <v>7147</v>
      </c>
      <c r="F1776" s="17" t="s">
        <v>7148</v>
      </c>
      <c r="G1776" s="17" t="s">
        <v>1100</v>
      </c>
      <c r="H1776" s="17"/>
      <c r="I1776" s="26" t="s">
        <v>82</v>
      </c>
      <c r="J1776" s="32"/>
      <c r="K1776" s="17"/>
      <c r="L1776" s="38"/>
      <c r="M1776" s="17"/>
      <c r="N1776" s="17"/>
      <c r="O1776" s="17"/>
      <c r="P1776" s="29" t="s">
        <v>638</v>
      </c>
      <c r="Q1776" s="12"/>
      <c r="R1776" s="12" t="s">
        <v>7149</v>
      </c>
      <c r="S1776" s="12"/>
      <c r="T1776" s="12" t="s">
        <v>7150</v>
      </c>
      <c r="U1776" s="12"/>
      <c r="V1776" s="21" t="s">
        <v>31</v>
      </c>
      <c r="Z1776" s="12"/>
      <c r="AA1776" s="29"/>
      <c r="AB1776" s="26"/>
      <c r="AC1776" s="12"/>
      <c r="AD1776" s="12"/>
      <c r="AE1776" s="12"/>
    </row>
    <row r="1777" customFormat="false" ht="15.75" hidden="false" customHeight="false" outlineLevel="0" collapsed="false">
      <c r="A1777" s="12"/>
      <c r="B1777" s="20"/>
      <c r="C1777" s="48" t="s">
        <v>7151</v>
      </c>
      <c r="D1777" s="24"/>
      <c r="E1777" s="49" t="s">
        <v>7152</v>
      </c>
      <c r="F1777" s="49" t="s">
        <v>7153</v>
      </c>
      <c r="G1777" s="17"/>
      <c r="H1777" s="17"/>
      <c r="I1777" s="26" t="s">
        <v>166</v>
      </c>
      <c r="J1777" s="32"/>
      <c r="K1777" s="17"/>
      <c r="L1777" s="38"/>
      <c r="M1777" s="49"/>
      <c r="N1777" s="17"/>
      <c r="O1777" s="17"/>
      <c r="P1777" s="29" t="s">
        <v>168</v>
      </c>
      <c r="Q1777" s="12"/>
      <c r="R1777" s="12"/>
      <c r="S1777" s="12"/>
      <c r="T1777" s="12"/>
      <c r="U1777" s="12"/>
      <c r="V1777" s="21"/>
      <c r="Z1777" s="12"/>
      <c r="AA1777" s="29"/>
      <c r="AB1777" s="49" t="s">
        <v>7154</v>
      </c>
      <c r="AC1777" s="12"/>
      <c r="AD1777" s="12"/>
      <c r="AE1777" s="12"/>
    </row>
    <row r="1778" customFormat="false" ht="15.75" hidden="false" customHeight="false" outlineLevel="0" collapsed="false">
      <c r="A1778" s="12"/>
      <c r="B1778" s="20"/>
      <c r="C1778" s="48" t="s">
        <v>7155</v>
      </c>
      <c r="D1778" s="24"/>
      <c r="E1778" s="49" t="s">
        <v>7156</v>
      </c>
      <c r="F1778" s="49" t="s">
        <v>7157</v>
      </c>
      <c r="G1778" s="17"/>
      <c r="H1778" s="17"/>
      <c r="I1778" s="26" t="s">
        <v>166</v>
      </c>
      <c r="J1778" s="32"/>
      <c r="K1778" s="17"/>
      <c r="L1778" s="38"/>
      <c r="M1778" s="49"/>
      <c r="N1778" s="17"/>
      <c r="O1778" s="17"/>
      <c r="P1778" s="29" t="s">
        <v>168</v>
      </c>
      <c r="Q1778" s="12"/>
      <c r="R1778" s="12"/>
      <c r="S1778" s="12"/>
      <c r="T1778" s="12"/>
      <c r="U1778" s="12"/>
      <c r="V1778" s="21"/>
      <c r="Z1778" s="12"/>
      <c r="AA1778" s="29"/>
      <c r="AB1778" s="49"/>
      <c r="AC1778" s="12"/>
      <c r="AD1778" s="12"/>
      <c r="AE1778" s="12"/>
    </row>
    <row r="1779" customFormat="false" ht="15.75" hidden="false" customHeight="false" outlineLevel="0" collapsed="false">
      <c r="A1779" s="12"/>
      <c r="B1779" s="13"/>
      <c r="C1779" s="14" t="s">
        <v>7158</v>
      </c>
      <c r="D1779" s="24"/>
      <c r="E1779" s="16" t="s">
        <v>7159</v>
      </c>
      <c r="F1779" s="16" t="s">
        <v>7160</v>
      </c>
      <c r="G1779" s="17"/>
      <c r="H1779" s="17"/>
      <c r="I1779" s="26" t="s">
        <v>166</v>
      </c>
      <c r="J1779" s="32"/>
      <c r="K1779" s="17"/>
      <c r="L1779" s="38"/>
      <c r="M1779" s="16"/>
      <c r="N1779" s="17"/>
      <c r="O1779" s="17"/>
      <c r="P1779" s="29" t="s">
        <v>168</v>
      </c>
      <c r="Q1779" s="12"/>
      <c r="R1779" s="12"/>
      <c r="S1779" s="12"/>
      <c r="T1779" s="12"/>
      <c r="U1779" s="12"/>
      <c r="V1779" s="21"/>
      <c r="Z1779" s="12"/>
      <c r="AA1779" s="29"/>
      <c r="AB1779" s="16" t="s">
        <v>7161</v>
      </c>
      <c r="AC1779" s="12"/>
      <c r="AD1779" s="12"/>
      <c r="AE1779" s="12"/>
    </row>
    <row r="1780" customFormat="false" ht="15.75" hidden="false" customHeight="false" outlineLevel="0" collapsed="false">
      <c r="A1780" s="12"/>
      <c r="B1780" s="12"/>
      <c r="C1780" s="23" t="s">
        <v>7162</v>
      </c>
      <c r="D1780" s="24"/>
      <c r="E1780" s="25" t="s">
        <v>7163</v>
      </c>
      <c r="F1780" s="17" t="s">
        <v>7164</v>
      </c>
      <c r="G1780" s="17" t="s">
        <v>1100</v>
      </c>
      <c r="H1780" s="17"/>
      <c r="I1780" s="26" t="s">
        <v>82</v>
      </c>
      <c r="J1780" s="32"/>
      <c r="K1780" s="17"/>
      <c r="L1780" s="38"/>
      <c r="M1780" s="17"/>
      <c r="N1780" s="17"/>
      <c r="O1780" s="17"/>
      <c r="P1780" s="29" t="s">
        <v>638</v>
      </c>
      <c r="Q1780" s="12"/>
      <c r="R1780" s="12" t="s">
        <v>7165</v>
      </c>
      <c r="S1780" s="12"/>
      <c r="T1780" s="12" t="s">
        <v>7166</v>
      </c>
      <c r="U1780" s="12"/>
      <c r="V1780" s="21" t="s">
        <v>31</v>
      </c>
      <c r="Z1780" s="12"/>
      <c r="AA1780" s="29"/>
      <c r="AB1780" s="26"/>
      <c r="AC1780" s="12"/>
      <c r="AD1780" s="12"/>
      <c r="AE1780" s="12"/>
    </row>
    <row r="1781" customFormat="false" ht="15.75" hidden="false" customHeight="false" outlineLevel="0" collapsed="false">
      <c r="A1781" s="12"/>
      <c r="B1781" s="12"/>
      <c r="C1781" s="23" t="s">
        <v>7167</v>
      </c>
      <c r="D1781" s="24"/>
      <c r="E1781" s="25" t="s">
        <v>7168</v>
      </c>
      <c r="F1781" s="17" t="s">
        <v>7169</v>
      </c>
      <c r="G1781" s="17" t="s">
        <v>1100</v>
      </c>
      <c r="H1781" s="17"/>
      <c r="I1781" s="26" t="s">
        <v>82</v>
      </c>
      <c r="J1781" s="32"/>
      <c r="K1781" s="17"/>
      <c r="L1781" s="38"/>
      <c r="M1781" s="17"/>
      <c r="N1781" s="17"/>
      <c r="O1781" s="17"/>
      <c r="P1781" s="29" t="s">
        <v>638</v>
      </c>
      <c r="Q1781" s="12"/>
      <c r="R1781" s="12"/>
      <c r="S1781" s="12"/>
      <c r="T1781" s="12"/>
      <c r="U1781" s="12"/>
      <c r="V1781" s="21"/>
      <c r="Z1781" s="12"/>
      <c r="AA1781" s="29"/>
      <c r="AB1781" s="26"/>
      <c r="AC1781" s="12"/>
      <c r="AD1781" s="12"/>
      <c r="AE1781" s="12"/>
    </row>
    <row r="1782" customFormat="false" ht="15.75" hidden="false" customHeight="false" outlineLevel="0" collapsed="false">
      <c r="A1782" s="12"/>
      <c r="B1782" s="12"/>
      <c r="C1782" s="23" t="s">
        <v>7170</v>
      </c>
      <c r="D1782" s="24"/>
      <c r="E1782" s="25" t="s">
        <v>7171</v>
      </c>
      <c r="F1782" s="17" t="s">
        <v>7172</v>
      </c>
      <c r="G1782" s="17" t="s">
        <v>2629</v>
      </c>
      <c r="H1782" s="17"/>
      <c r="I1782" s="26" t="s">
        <v>82</v>
      </c>
      <c r="J1782" s="32"/>
      <c r="K1782" s="17"/>
      <c r="L1782" s="38"/>
      <c r="M1782" s="17"/>
      <c r="N1782" s="17"/>
      <c r="O1782" s="17"/>
      <c r="P1782" s="29" t="s">
        <v>638</v>
      </c>
      <c r="Q1782" s="12"/>
      <c r="R1782" s="12" t="s">
        <v>7173</v>
      </c>
      <c r="S1782" s="12"/>
      <c r="T1782" s="12" t="s">
        <v>7174</v>
      </c>
      <c r="U1782" s="12"/>
      <c r="V1782" s="21" t="s">
        <v>31</v>
      </c>
      <c r="Z1782" s="12"/>
      <c r="AA1782" s="29"/>
      <c r="AB1782" s="26"/>
      <c r="AC1782" s="12"/>
      <c r="AD1782" s="12"/>
      <c r="AE1782" s="12"/>
    </row>
    <row r="1783" customFormat="false" ht="15.75" hidden="false" customHeight="false" outlineLevel="0" collapsed="false">
      <c r="A1783" s="12"/>
      <c r="B1783" s="12"/>
      <c r="C1783" s="23" t="s">
        <v>7175</v>
      </c>
      <c r="D1783" s="24"/>
      <c r="E1783" s="25" t="s">
        <v>7176</v>
      </c>
      <c r="F1783" s="17" t="s">
        <v>7177</v>
      </c>
      <c r="G1783" s="17" t="s">
        <v>2629</v>
      </c>
      <c r="H1783" s="17"/>
      <c r="I1783" s="26" t="s">
        <v>82</v>
      </c>
      <c r="J1783" s="32"/>
      <c r="K1783" s="17"/>
      <c r="L1783" s="38"/>
      <c r="M1783" s="17"/>
      <c r="N1783" s="17"/>
      <c r="O1783" s="17"/>
      <c r="P1783" s="29" t="s">
        <v>638</v>
      </c>
      <c r="Q1783" s="12"/>
      <c r="R1783" s="12" t="s">
        <v>7178</v>
      </c>
      <c r="S1783" s="12"/>
      <c r="T1783" s="12" t="s">
        <v>7179</v>
      </c>
      <c r="U1783" s="12"/>
      <c r="V1783" s="21" t="s">
        <v>31</v>
      </c>
      <c r="Z1783" s="12"/>
      <c r="AA1783" s="29"/>
      <c r="AB1783" s="26"/>
      <c r="AC1783" s="12"/>
      <c r="AD1783" s="12"/>
      <c r="AE1783" s="12"/>
    </row>
    <row r="1784" customFormat="false" ht="15.75" hidden="false" customHeight="false" outlineLevel="0" collapsed="false">
      <c r="A1784" s="12"/>
      <c r="B1784" s="12"/>
      <c r="C1784" s="23" t="s">
        <v>7180</v>
      </c>
      <c r="D1784" s="24"/>
      <c r="E1784" s="25" t="s">
        <v>7181</v>
      </c>
      <c r="F1784" s="17" t="s">
        <v>7182</v>
      </c>
      <c r="G1784" s="17" t="s">
        <v>1100</v>
      </c>
      <c r="H1784" s="17"/>
      <c r="I1784" s="26" t="s">
        <v>82</v>
      </c>
      <c r="J1784" s="32"/>
      <c r="K1784" s="17"/>
      <c r="L1784" s="38"/>
      <c r="M1784" s="17"/>
      <c r="N1784" s="17"/>
      <c r="O1784" s="17"/>
      <c r="P1784" s="29" t="s">
        <v>638</v>
      </c>
      <c r="Q1784" s="20"/>
      <c r="R1784" s="20" t="s">
        <v>7183</v>
      </c>
      <c r="S1784" s="20"/>
      <c r="T1784" s="20" t="s">
        <v>7184</v>
      </c>
      <c r="U1784" s="20"/>
      <c r="V1784" s="21" t="s">
        <v>31</v>
      </c>
      <c r="Z1784" s="20"/>
      <c r="AA1784" s="22"/>
      <c r="AB1784" s="26"/>
      <c r="AC1784" s="20"/>
      <c r="AD1784" s="20"/>
      <c r="AE1784" s="20"/>
    </row>
    <row r="1785" customFormat="false" ht="15.75" hidden="false" customHeight="false" outlineLevel="0" collapsed="false">
      <c r="A1785" s="12"/>
      <c r="B1785" s="20"/>
      <c r="C1785" s="48" t="s">
        <v>7185</v>
      </c>
      <c r="D1785" s="24"/>
      <c r="E1785" s="49" t="s">
        <v>7186</v>
      </c>
      <c r="F1785" s="49" t="s">
        <v>7187</v>
      </c>
      <c r="G1785" s="17"/>
      <c r="H1785" s="17"/>
      <c r="I1785" s="26" t="s">
        <v>166</v>
      </c>
      <c r="J1785" s="32"/>
      <c r="K1785" s="17"/>
      <c r="L1785" s="38"/>
      <c r="M1785" s="49"/>
      <c r="N1785" s="17"/>
      <c r="O1785" s="17"/>
      <c r="P1785" s="29" t="s">
        <v>168</v>
      </c>
      <c r="Q1785" s="12"/>
      <c r="R1785" s="12"/>
      <c r="S1785" s="12"/>
      <c r="T1785" s="12"/>
      <c r="U1785" s="12"/>
      <c r="V1785" s="21"/>
      <c r="Z1785" s="12"/>
      <c r="AA1785" s="29"/>
      <c r="AB1785" s="49" t="s">
        <v>7188</v>
      </c>
      <c r="AC1785" s="12"/>
      <c r="AD1785" s="12"/>
      <c r="AE1785" s="12"/>
    </row>
    <row r="1786" customFormat="false" ht="15.75" hidden="false" customHeight="false" outlineLevel="0" collapsed="false">
      <c r="A1786" s="12"/>
      <c r="B1786" s="12"/>
      <c r="C1786" s="23" t="s">
        <v>7189</v>
      </c>
      <c r="D1786" s="24"/>
      <c r="E1786" s="25" t="s">
        <v>7190</v>
      </c>
      <c r="F1786" s="17" t="s">
        <v>7191</v>
      </c>
      <c r="G1786" s="17" t="s">
        <v>478</v>
      </c>
      <c r="H1786" s="17"/>
      <c r="I1786" s="26" t="s">
        <v>82</v>
      </c>
      <c r="J1786" s="32"/>
      <c r="K1786" s="17"/>
      <c r="L1786" s="38"/>
      <c r="M1786" s="17"/>
      <c r="N1786" s="17"/>
      <c r="O1786" s="17"/>
      <c r="P1786" s="29" t="s">
        <v>638</v>
      </c>
      <c r="Q1786" s="12"/>
      <c r="R1786" s="12" t="s">
        <v>7192</v>
      </c>
      <c r="S1786" s="12"/>
      <c r="T1786" s="12"/>
      <c r="U1786" s="12"/>
      <c r="V1786" s="21"/>
      <c r="Z1786" s="12"/>
      <c r="AA1786" s="29"/>
      <c r="AB1786" s="12"/>
      <c r="AC1786" s="12"/>
      <c r="AD1786" s="12"/>
      <c r="AE1786" s="12"/>
    </row>
    <row r="1787" customFormat="false" ht="15.75" hidden="false" customHeight="false" outlineLevel="0" collapsed="false">
      <c r="A1787" s="12"/>
      <c r="B1787" s="20"/>
      <c r="C1787" s="48" t="s">
        <v>7193</v>
      </c>
      <c r="D1787" s="24"/>
      <c r="E1787" s="49" t="s">
        <v>7194</v>
      </c>
      <c r="F1787" s="49" t="s">
        <v>7195</v>
      </c>
      <c r="G1787" s="17"/>
      <c r="H1787" s="17"/>
      <c r="I1787" s="26" t="s">
        <v>166</v>
      </c>
      <c r="J1787" s="32"/>
      <c r="K1787" s="17"/>
      <c r="L1787" s="38"/>
      <c r="M1787" s="36"/>
      <c r="N1787" s="17"/>
      <c r="O1787" s="17"/>
      <c r="P1787" s="29" t="s">
        <v>168</v>
      </c>
      <c r="Q1787" s="12"/>
      <c r="R1787" s="12"/>
      <c r="S1787" s="12"/>
      <c r="T1787" s="12"/>
      <c r="U1787" s="12"/>
      <c r="V1787" s="21"/>
      <c r="Z1787" s="12"/>
      <c r="AA1787" s="29"/>
      <c r="AB1787" s="12"/>
      <c r="AC1787" s="12"/>
      <c r="AD1787" s="12"/>
      <c r="AE1787" s="12"/>
    </row>
    <row r="1788" customFormat="false" ht="15.75" hidden="false" customHeight="false" outlineLevel="0" collapsed="false">
      <c r="A1788" s="12"/>
      <c r="B1788" s="13"/>
      <c r="C1788" s="14" t="s">
        <v>7196</v>
      </c>
      <c r="D1788" s="24"/>
      <c r="E1788" s="16" t="s">
        <v>7197</v>
      </c>
      <c r="F1788" s="16" t="s">
        <v>7198</v>
      </c>
      <c r="G1788" s="17"/>
      <c r="H1788" s="17"/>
      <c r="I1788" s="26" t="s">
        <v>166</v>
      </c>
      <c r="J1788" s="32"/>
      <c r="K1788" s="17"/>
      <c r="L1788" s="38"/>
      <c r="M1788" s="16"/>
      <c r="N1788" s="17"/>
      <c r="O1788" s="17"/>
      <c r="P1788" s="29" t="s">
        <v>168</v>
      </c>
      <c r="Q1788" s="12"/>
      <c r="R1788" s="12"/>
      <c r="S1788" s="12"/>
      <c r="T1788" s="12"/>
      <c r="U1788" s="12"/>
      <c r="V1788" s="21"/>
      <c r="Z1788" s="12"/>
      <c r="AA1788" s="29"/>
      <c r="AB1788" s="16" t="s">
        <v>7199</v>
      </c>
      <c r="AC1788" s="12"/>
      <c r="AD1788" s="12"/>
      <c r="AE1788" s="12"/>
    </row>
    <row r="1789" customFormat="false" ht="15.75" hidden="false" customHeight="false" outlineLevel="0" collapsed="false">
      <c r="A1789" s="12"/>
      <c r="B1789" s="13"/>
      <c r="C1789" s="14" t="s">
        <v>7200</v>
      </c>
      <c r="D1789" s="24"/>
      <c r="E1789" s="16" t="s">
        <v>7201</v>
      </c>
      <c r="F1789" s="16" t="s">
        <v>7202</v>
      </c>
      <c r="G1789" s="17"/>
      <c r="H1789" s="17"/>
      <c r="I1789" s="26" t="s">
        <v>166</v>
      </c>
      <c r="J1789" s="32"/>
      <c r="K1789" s="17"/>
      <c r="L1789" s="38"/>
      <c r="M1789" s="36"/>
      <c r="N1789" s="17"/>
      <c r="O1789" s="17"/>
      <c r="P1789" s="29" t="s">
        <v>168</v>
      </c>
      <c r="Q1789" s="12"/>
      <c r="R1789" s="12"/>
      <c r="S1789" s="12"/>
      <c r="T1789" s="12"/>
      <c r="U1789" s="12"/>
      <c r="V1789" s="21"/>
      <c r="Z1789" s="12"/>
      <c r="AA1789" s="29"/>
      <c r="AB1789" s="12"/>
      <c r="AC1789" s="12"/>
      <c r="AD1789" s="12"/>
      <c r="AE1789" s="12"/>
    </row>
    <row r="1790" customFormat="false" ht="15.75" hidden="false" customHeight="false" outlineLevel="0" collapsed="false">
      <c r="A1790" s="12"/>
      <c r="B1790" s="12"/>
      <c r="C1790" s="17" t="s">
        <v>7203</v>
      </c>
      <c r="D1790" s="24"/>
      <c r="E1790" s="25" t="s">
        <v>7204</v>
      </c>
      <c r="F1790" s="17" t="s">
        <v>7205</v>
      </c>
      <c r="G1790" s="17" t="s">
        <v>2637</v>
      </c>
      <c r="H1790" s="17"/>
      <c r="I1790" s="26" t="s">
        <v>82</v>
      </c>
      <c r="J1790" s="32"/>
      <c r="K1790" s="17"/>
      <c r="L1790" s="38"/>
      <c r="M1790" s="17"/>
      <c r="N1790" s="17"/>
      <c r="O1790" s="17"/>
      <c r="P1790" s="29" t="s">
        <v>638</v>
      </c>
      <c r="Q1790" s="12"/>
      <c r="R1790" s="12" t="s">
        <v>7206</v>
      </c>
      <c r="S1790" s="12"/>
      <c r="T1790" s="12" t="s">
        <v>7207</v>
      </c>
      <c r="U1790" s="12"/>
      <c r="V1790" s="12" t="s">
        <v>31</v>
      </c>
      <c r="Z1790" s="12"/>
      <c r="AA1790" s="12"/>
      <c r="AB1790" s="12"/>
      <c r="AC1790" s="12"/>
      <c r="AD1790" s="12"/>
      <c r="AE1790" s="12"/>
    </row>
    <row r="1791" customFormat="false" ht="15.75" hidden="false" customHeight="false" outlineLevel="0" collapsed="false">
      <c r="A1791" s="12"/>
      <c r="B1791" s="13"/>
      <c r="C1791" s="16" t="s">
        <v>7208</v>
      </c>
      <c r="D1791" s="24"/>
      <c r="E1791" s="16" t="s">
        <v>7209</v>
      </c>
      <c r="F1791" s="16" t="s">
        <v>7210</v>
      </c>
      <c r="G1791" s="17"/>
      <c r="H1791" s="17"/>
      <c r="I1791" s="26" t="s">
        <v>166</v>
      </c>
      <c r="J1791" s="32"/>
      <c r="K1791" s="17"/>
      <c r="L1791" s="38"/>
      <c r="M1791" s="36"/>
      <c r="N1791" s="17"/>
      <c r="O1791" s="17"/>
      <c r="P1791" s="29" t="s">
        <v>168</v>
      </c>
      <c r="Q1791" s="12"/>
      <c r="R1791" s="12"/>
      <c r="S1791" s="12"/>
      <c r="T1791" s="12"/>
      <c r="U1791" s="12"/>
      <c r="V1791" s="12"/>
      <c r="Z1791" s="12"/>
      <c r="AA1791" s="12"/>
      <c r="AB1791" s="12"/>
      <c r="AC1791" s="12"/>
      <c r="AD1791" s="12"/>
      <c r="AE1791" s="12"/>
    </row>
    <row r="1792" customFormat="false" ht="15.75" hidden="false" customHeight="false" outlineLevel="0" collapsed="false">
      <c r="A1792" s="12"/>
      <c r="B1792" s="13"/>
      <c r="C1792" s="16" t="s">
        <v>7211</v>
      </c>
      <c r="D1792" s="24"/>
      <c r="E1792" s="16" t="s">
        <v>7212</v>
      </c>
      <c r="F1792" s="16" t="s">
        <v>7213</v>
      </c>
      <c r="G1792" s="17"/>
      <c r="H1792" s="17"/>
      <c r="I1792" s="26" t="s">
        <v>166</v>
      </c>
      <c r="J1792" s="32"/>
      <c r="K1792" s="17"/>
      <c r="L1792" s="38"/>
      <c r="M1792" s="36"/>
      <c r="N1792" s="17"/>
      <c r="O1792" s="17"/>
      <c r="P1792" s="29" t="s">
        <v>168</v>
      </c>
      <c r="Q1792" s="20"/>
      <c r="R1792" s="20"/>
      <c r="S1792" s="20"/>
      <c r="T1792" s="20"/>
      <c r="U1792" s="20"/>
      <c r="V1792" s="20"/>
      <c r="Z1792" s="20"/>
      <c r="AA1792" s="20"/>
      <c r="AB1792" s="20"/>
      <c r="AC1792" s="20"/>
      <c r="AD1792" s="20"/>
      <c r="AE1792" s="20"/>
    </row>
    <row r="1793" customFormat="false" ht="15.75" hidden="false" customHeight="false" outlineLevel="0" collapsed="false">
      <c r="A1793" s="12"/>
      <c r="B1793" s="12"/>
      <c r="C1793" s="17" t="s">
        <v>7214</v>
      </c>
      <c r="D1793" s="24"/>
      <c r="E1793" s="25" t="s">
        <v>7215</v>
      </c>
      <c r="F1793" s="17" t="s">
        <v>7216</v>
      </c>
      <c r="G1793" s="17" t="s">
        <v>1100</v>
      </c>
      <c r="H1793" s="17"/>
      <c r="I1793" s="26" t="s">
        <v>82</v>
      </c>
      <c r="J1793" s="32"/>
      <c r="K1793" s="17"/>
      <c r="L1793" s="38"/>
      <c r="M1793" s="17"/>
      <c r="N1793" s="17"/>
      <c r="O1793" s="17"/>
      <c r="P1793" s="29" t="s">
        <v>638</v>
      </c>
      <c r="Q1793" s="12"/>
      <c r="R1793" s="12" t="s">
        <v>7217</v>
      </c>
      <c r="S1793" s="12"/>
      <c r="T1793" s="12" t="s">
        <v>7218</v>
      </c>
      <c r="U1793" s="12"/>
      <c r="V1793" s="12" t="s">
        <v>31</v>
      </c>
      <c r="Z1793" s="12"/>
      <c r="AA1793" s="12"/>
      <c r="AB1793" s="12"/>
      <c r="AC1793" s="12"/>
      <c r="AD1793" s="12"/>
      <c r="AE1793" s="12"/>
    </row>
    <row r="1794" customFormat="false" ht="15.75" hidden="false" customHeight="false" outlineLevel="0" collapsed="false">
      <c r="A1794" s="12"/>
      <c r="B1794" s="13"/>
      <c r="C1794" s="16" t="s">
        <v>7219</v>
      </c>
      <c r="D1794" s="24"/>
      <c r="E1794" s="16" t="s">
        <v>7220</v>
      </c>
      <c r="F1794" s="16" t="s">
        <v>7221</v>
      </c>
      <c r="G1794" s="17"/>
      <c r="H1794" s="17"/>
      <c r="I1794" s="26" t="s">
        <v>166</v>
      </c>
      <c r="J1794" s="32"/>
      <c r="K1794" s="17"/>
      <c r="L1794" s="38"/>
      <c r="M1794" s="36"/>
      <c r="N1794" s="17"/>
      <c r="O1794" s="17"/>
      <c r="P1794" s="29" t="s">
        <v>168</v>
      </c>
      <c r="Q1794" s="20"/>
      <c r="R1794" s="20"/>
      <c r="S1794" s="20"/>
      <c r="T1794" s="20"/>
      <c r="U1794" s="20"/>
      <c r="V1794" s="20"/>
      <c r="Z1794" s="20"/>
      <c r="AA1794" s="20"/>
      <c r="AB1794" s="20"/>
      <c r="AC1794" s="20"/>
      <c r="AD1794" s="20"/>
      <c r="AE1794" s="20"/>
    </row>
    <row r="1795" customFormat="false" ht="15.75" hidden="false" customHeight="false" outlineLevel="0" collapsed="false">
      <c r="A1795" s="12"/>
      <c r="B1795" s="13"/>
      <c r="C1795" s="16" t="s">
        <v>7222</v>
      </c>
      <c r="D1795" s="24"/>
      <c r="E1795" s="16" t="s">
        <v>7223</v>
      </c>
      <c r="F1795" s="16" t="s">
        <v>7224</v>
      </c>
      <c r="G1795" s="17"/>
      <c r="H1795" s="17"/>
      <c r="I1795" s="26" t="s">
        <v>166</v>
      </c>
      <c r="J1795" s="32"/>
      <c r="K1795" s="17"/>
      <c r="L1795" s="38"/>
      <c r="M1795" s="36"/>
      <c r="N1795" s="17"/>
      <c r="O1795" s="17"/>
      <c r="P1795" s="29" t="s">
        <v>168</v>
      </c>
      <c r="Q1795" s="12"/>
      <c r="R1795" s="12"/>
      <c r="S1795" s="12"/>
      <c r="T1795" s="12"/>
      <c r="U1795" s="12"/>
      <c r="V1795" s="12"/>
      <c r="Z1795" s="12"/>
      <c r="AA1795" s="12"/>
      <c r="AB1795" s="12"/>
      <c r="AC1795" s="12"/>
      <c r="AD1795" s="12"/>
      <c r="AE1795" s="12"/>
    </row>
    <row r="1796" customFormat="false" ht="15.75" hidden="false" customHeight="false" outlineLevel="0" collapsed="false">
      <c r="A1796" s="12"/>
      <c r="B1796" s="12"/>
      <c r="C1796" s="17" t="s">
        <v>7225</v>
      </c>
      <c r="D1796" s="24"/>
      <c r="E1796" s="25" t="s">
        <v>7226</v>
      </c>
      <c r="F1796" s="17" t="s">
        <v>7227</v>
      </c>
      <c r="G1796" s="17" t="s">
        <v>1100</v>
      </c>
      <c r="H1796" s="17"/>
      <c r="I1796" s="26" t="s">
        <v>82</v>
      </c>
      <c r="J1796" s="32"/>
      <c r="K1796" s="17"/>
      <c r="L1796" s="38"/>
      <c r="M1796" s="17"/>
      <c r="N1796" s="17"/>
      <c r="O1796" s="17"/>
      <c r="P1796" s="29" t="s">
        <v>638</v>
      </c>
      <c r="Q1796" s="12"/>
      <c r="R1796" s="12" t="s">
        <v>7228</v>
      </c>
      <c r="S1796" s="12"/>
      <c r="T1796" s="12" t="s">
        <v>7229</v>
      </c>
      <c r="U1796" s="12"/>
      <c r="V1796" s="12" t="s">
        <v>31</v>
      </c>
      <c r="Z1796" s="12"/>
      <c r="AA1796" s="12"/>
      <c r="AB1796" s="12"/>
      <c r="AC1796" s="12"/>
      <c r="AD1796" s="12"/>
      <c r="AE1796" s="12"/>
    </row>
    <row r="1797" customFormat="false" ht="15.75" hidden="false" customHeight="false" outlineLevel="0" collapsed="false">
      <c r="A1797" s="12"/>
      <c r="B1797" s="12"/>
      <c r="C1797" s="17" t="s">
        <v>7230</v>
      </c>
      <c r="D1797" s="24"/>
      <c r="E1797" s="25" t="s">
        <v>7231</v>
      </c>
      <c r="F1797" s="17" t="s">
        <v>7232</v>
      </c>
      <c r="G1797" s="17" t="s">
        <v>5021</v>
      </c>
      <c r="H1797" s="17"/>
      <c r="I1797" s="26" t="s">
        <v>82</v>
      </c>
      <c r="J1797" s="32"/>
      <c r="K1797" s="17"/>
      <c r="L1797" s="38"/>
      <c r="M1797" s="17"/>
      <c r="N1797" s="17"/>
      <c r="O1797" s="17"/>
      <c r="P1797" s="29" t="s">
        <v>638</v>
      </c>
      <c r="Q1797" s="20"/>
      <c r="R1797" s="20" t="s">
        <v>7233</v>
      </c>
      <c r="S1797" s="20"/>
      <c r="T1797" s="20" t="s">
        <v>7234</v>
      </c>
      <c r="U1797" s="20"/>
      <c r="V1797" s="12" t="s">
        <v>31</v>
      </c>
      <c r="Z1797" s="20"/>
      <c r="AA1797" s="20"/>
      <c r="AB1797" s="20"/>
      <c r="AC1797" s="20"/>
      <c r="AD1797" s="20"/>
      <c r="AE1797" s="20"/>
    </row>
    <row r="1798" customFormat="false" ht="15.75" hidden="false" customHeight="false" outlineLevel="0" collapsed="false">
      <c r="A1798" s="12"/>
      <c r="B1798" s="20"/>
      <c r="C1798" s="49" t="s">
        <v>7235</v>
      </c>
      <c r="D1798" s="24"/>
      <c r="E1798" s="49" t="s">
        <v>7236</v>
      </c>
      <c r="F1798" s="49" t="s">
        <v>7237</v>
      </c>
      <c r="G1798" s="17"/>
      <c r="H1798" s="17"/>
      <c r="I1798" s="26" t="s">
        <v>166</v>
      </c>
      <c r="J1798" s="32"/>
      <c r="K1798" s="17"/>
      <c r="L1798" s="38"/>
      <c r="M1798" s="49"/>
      <c r="N1798" s="17"/>
      <c r="O1798" s="17"/>
      <c r="P1798" s="29" t="s">
        <v>168</v>
      </c>
      <c r="Q1798" s="20"/>
      <c r="R1798" s="20"/>
      <c r="S1798" s="20"/>
      <c r="T1798" s="20"/>
      <c r="U1798" s="20"/>
      <c r="V1798" s="20"/>
      <c r="Z1798" s="20"/>
      <c r="AA1798" s="20"/>
      <c r="AB1798" s="49" t="s">
        <v>7238</v>
      </c>
      <c r="AC1798" s="20"/>
      <c r="AD1798" s="20"/>
      <c r="AE1798" s="20"/>
    </row>
    <row r="1799" customFormat="false" ht="15.75" hidden="false" customHeight="false" outlineLevel="0" collapsed="false">
      <c r="A1799" s="12"/>
      <c r="B1799" s="20"/>
      <c r="C1799" s="49" t="s">
        <v>7239</v>
      </c>
      <c r="D1799" s="24"/>
      <c r="E1799" s="49" t="s">
        <v>7240</v>
      </c>
      <c r="F1799" s="49" t="s">
        <v>7241</v>
      </c>
      <c r="G1799" s="17"/>
      <c r="H1799" s="17"/>
      <c r="I1799" s="26" t="s">
        <v>166</v>
      </c>
      <c r="J1799" s="32"/>
      <c r="K1799" s="17"/>
      <c r="L1799" s="38"/>
      <c r="M1799" s="36"/>
      <c r="N1799" s="17"/>
      <c r="O1799" s="17"/>
      <c r="P1799" s="29" t="s">
        <v>168</v>
      </c>
      <c r="Q1799" s="20"/>
      <c r="R1799" s="20"/>
      <c r="S1799" s="20"/>
      <c r="T1799" s="20"/>
      <c r="U1799" s="20"/>
      <c r="V1799" s="20"/>
      <c r="Z1799" s="20"/>
      <c r="AA1799" s="20"/>
      <c r="AB1799" s="36"/>
      <c r="AC1799" s="20"/>
      <c r="AD1799" s="20"/>
      <c r="AE1799" s="20"/>
    </row>
    <row r="1800" customFormat="false" ht="15.75" hidden="false" customHeight="false" outlineLevel="0" collapsed="false">
      <c r="A1800" s="12"/>
      <c r="B1800" s="20"/>
      <c r="C1800" s="49" t="s">
        <v>7242</v>
      </c>
      <c r="D1800" s="24"/>
      <c r="E1800" s="49" t="s">
        <v>7243</v>
      </c>
      <c r="F1800" s="49" t="s">
        <v>7244</v>
      </c>
      <c r="G1800" s="17"/>
      <c r="H1800" s="17"/>
      <c r="I1800" s="26" t="s">
        <v>166</v>
      </c>
      <c r="J1800" s="32"/>
      <c r="K1800" s="17"/>
      <c r="L1800" s="38"/>
      <c r="M1800" s="49"/>
      <c r="N1800" s="17"/>
      <c r="O1800" s="17"/>
      <c r="P1800" s="29" t="s">
        <v>168</v>
      </c>
      <c r="Q1800" s="12"/>
      <c r="R1800" s="12"/>
      <c r="S1800" s="12"/>
      <c r="T1800" s="12"/>
      <c r="U1800" s="12"/>
      <c r="V1800" s="12"/>
      <c r="Z1800" s="12"/>
      <c r="AA1800" s="12"/>
      <c r="AB1800" s="49"/>
      <c r="AC1800" s="12"/>
      <c r="AD1800" s="12"/>
      <c r="AE1800" s="12"/>
    </row>
    <row r="1801" customFormat="false" ht="15.75" hidden="false" customHeight="false" outlineLevel="0" collapsed="false">
      <c r="A1801" s="12"/>
      <c r="B1801" s="13"/>
      <c r="C1801" s="16" t="s">
        <v>7245</v>
      </c>
      <c r="D1801" s="24"/>
      <c r="E1801" s="16" t="s">
        <v>7246</v>
      </c>
      <c r="F1801" s="16" t="s">
        <v>7247</v>
      </c>
      <c r="G1801" s="17"/>
      <c r="H1801" s="17"/>
      <c r="I1801" s="26" t="s">
        <v>166</v>
      </c>
      <c r="J1801" s="32"/>
      <c r="K1801" s="17"/>
      <c r="L1801" s="38"/>
      <c r="M1801" s="36"/>
      <c r="N1801" s="17"/>
      <c r="O1801" s="17"/>
      <c r="P1801" s="29" t="s">
        <v>168</v>
      </c>
      <c r="Q1801" s="12"/>
      <c r="R1801" s="12"/>
      <c r="S1801" s="12"/>
      <c r="T1801" s="12"/>
      <c r="U1801" s="12"/>
      <c r="V1801" s="12"/>
      <c r="Z1801" s="12"/>
      <c r="AA1801" s="12"/>
      <c r="AB1801" s="36"/>
      <c r="AC1801" s="12"/>
      <c r="AD1801" s="12"/>
      <c r="AE1801" s="12"/>
    </row>
    <row r="1802" customFormat="false" ht="15.75" hidden="false" customHeight="false" outlineLevel="0" collapsed="false">
      <c r="A1802" s="12"/>
      <c r="B1802" s="20"/>
      <c r="C1802" s="49" t="s">
        <v>7248</v>
      </c>
      <c r="D1802" s="24"/>
      <c r="E1802" s="49" t="s">
        <v>7249</v>
      </c>
      <c r="F1802" s="49" t="s">
        <v>7250</v>
      </c>
      <c r="G1802" s="17"/>
      <c r="H1802" s="17"/>
      <c r="I1802" s="26" t="s">
        <v>166</v>
      </c>
      <c r="J1802" s="32"/>
      <c r="K1802" s="17"/>
      <c r="L1802" s="38"/>
      <c r="M1802" s="49"/>
      <c r="N1802" s="17"/>
      <c r="O1802" s="17"/>
      <c r="P1802" s="29" t="s">
        <v>168</v>
      </c>
      <c r="Q1802" s="12"/>
      <c r="R1802" s="12"/>
      <c r="S1802" s="12"/>
      <c r="T1802" s="12"/>
      <c r="U1802" s="12"/>
      <c r="V1802" s="12"/>
      <c r="Z1802" s="12"/>
      <c r="AA1802" s="12"/>
      <c r="AB1802" s="49" t="s">
        <v>7251</v>
      </c>
      <c r="AC1802" s="12"/>
      <c r="AD1802" s="12"/>
      <c r="AE1802" s="12"/>
    </row>
    <row r="1803" customFormat="false" ht="15.75" hidden="false" customHeight="false" outlineLevel="0" collapsed="false">
      <c r="A1803" s="12"/>
      <c r="B1803" s="12"/>
      <c r="C1803" s="17" t="s">
        <v>7252</v>
      </c>
      <c r="D1803" s="24"/>
      <c r="E1803" s="25" t="s">
        <v>7253</v>
      </c>
      <c r="F1803" s="17" t="s">
        <v>7254</v>
      </c>
      <c r="G1803" s="17" t="s">
        <v>637</v>
      </c>
      <c r="H1803" s="17"/>
      <c r="I1803" s="26" t="s">
        <v>82</v>
      </c>
      <c r="J1803" s="32"/>
      <c r="K1803" s="17"/>
      <c r="L1803" s="38"/>
      <c r="M1803" s="17"/>
      <c r="N1803" s="17"/>
      <c r="O1803" s="17"/>
      <c r="P1803" s="29" t="s">
        <v>638</v>
      </c>
      <c r="Q1803" s="12"/>
      <c r="R1803" s="12" t="s">
        <v>7255</v>
      </c>
      <c r="S1803" s="12"/>
      <c r="T1803" s="12" t="s">
        <v>7256</v>
      </c>
      <c r="U1803" s="12"/>
      <c r="V1803" s="12" t="s">
        <v>31</v>
      </c>
      <c r="Z1803" s="12"/>
      <c r="AA1803" s="12"/>
      <c r="AB1803" s="26"/>
      <c r="AC1803" s="12"/>
      <c r="AD1803" s="12"/>
      <c r="AE1803" s="12"/>
    </row>
    <row r="1804" customFormat="false" ht="15.75" hidden="false" customHeight="false" outlineLevel="0" collapsed="false">
      <c r="A1804" s="12"/>
      <c r="B1804" s="20"/>
      <c r="C1804" s="49" t="s">
        <v>7257</v>
      </c>
      <c r="D1804" s="24"/>
      <c r="E1804" s="49" t="s">
        <v>7258</v>
      </c>
      <c r="F1804" s="49" t="s">
        <v>7259</v>
      </c>
      <c r="G1804" s="17"/>
      <c r="H1804" s="17"/>
      <c r="I1804" s="26" t="s">
        <v>166</v>
      </c>
      <c r="J1804" s="32"/>
      <c r="K1804" s="17"/>
      <c r="L1804" s="38"/>
      <c r="M1804" s="36"/>
      <c r="N1804" s="17"/>
      <c r="O1804" s="17"/>
      <c r="P1804" s="29" t="s">
        <v>168</v>
      </c>
      <c r="Q1804" s="12"/>
      <c r="R1804" s="12"/>
      <c r="S1804" s="12"/>
      <c r="T1804" s="12"/>
      <c r="U1804" s="12"/>
      <c r="V1804" s="12"/>
      <c r="Z1804" s="12"/>
      <c r="AA1804" s="12"/>
      <c r="AB1804" s="36"/>
      <c r="AC1804" s="12"/>
      <c r="AD1804" s="12"/>
      <c r="AE1804" s="12"/>
    </row>
    <row r="1805" customFormat="false" ht="15.75" hidden="false" customHeight="false" outlineLevel="0" collapsed="false">
      <c r="A1805" s="12"/>
      <c r="B1805" s="12"/>
      <c r="C1805" s="17" t="s">
        <v>7260</v>
      </c>
      <c r="D1805" s="24"/>
      <c r="E1805" s="25" t="s">
        <v>7261</v>
      </c>
      <c r="F1805" s="17" t="s">
        <v>7262</v>
      </c>
      <c r="G1805" s="17" t="s">
        <v>2629</v>
      </c>
      <c r="H1805" s="17"/>
      <c r="I1805" s="26" t="s">
        <v>82</v>
      </c>
      <c r="J1805" s="32"/>
      <c r="K1805" s="17"/>
      <c r="L1805" s="38"/>
      <c r="M1805" s="17"/>
      <c r="N1805" s="17"/>
      <c r="O1805" s="17"/>
      <c r="P1805" s="29" t="s">
        <v>638</v>
      </c>
      <c r="Q1805" s="17"/>
      <c r="R1805" s="17" t="s">
        <v>7263</v>
      </c>
      <c r="S1805" s="17"/>
      <c r="T1805" s="17" t="s">
        <v>7264</v>
      </c>
      <c r="U1805" s="17"/>
      <c r="V1805" s="12" t="s">
        <v>31</v>
      </c>
      <c r="Z1805" s="17"/>
      <c r="AA1805" s="12"/>
      <c r="AB1805" s="26"/>
      <c r="AC1805" s="17"/>
      <c r="AD1805" s="17"/>
      <c r="AE1805" s="17"/>
    </row>
    <row r="1806" customFormat="false" ht="15.75" hidden="false" customHeight="false" outlineLevel="0" collapsed="false">
      <c r="A1806" s="12"/>
      <c r="B1806" s="12"/>
      <c r="C1806" s="17" t="s">
        <v>7265</v>
      </c>
      <c r="D1806" s="24"/>
      <c r="E1806" s="25" t="s">
        <v>7266</v>
      </c>
      <c r="F1806" s="17" t="s">
        <v>7267</v>
      </c>
      <c r="G1806" s="17" t="s">
        <v>4858</v>
      </c>
      <c r="H1806" s="17"/>
      <c r="I1806" s="26" t="s">
        <v>82</v>
      </c>
      <c r="J1806" s="32"/>
      <c r="K1806" s="17"/>
      <c r="L1806" s="38"/>
      <c r="M1806" s="17"/>
      <c r="N1806" s="17"/>
      <c r="O1806" s="17"/>
      <c r="P1806" s="29" t="s">
        <v>638</v>
      </c>
      <c r="Q1806" s="12"/>
      <c r="R1806" s="12" t="s">
        <v>7268</v>
      </c>
      <c r="S1806" s="12"/>
      <c r="T1806" s="12" t="s">
        <v>7269</v>
      </c>
      <c r="U1806" s="12"/>
      <c r="V1806" s="12" t="s">
        <v>31</v>
      </c>
      <c r="Z1806" s="12"/>
      <c r="AA1806" s="12"/>
      <c r="AB1806" s="26"/>
      <c r="AC1806" s="12"/>
      <c r="AD1806" s="12"/>
      <c r="AE1806" s="12"/>
    </row>
    <row r="1807" customFormat="false" ht="15.75" hidden="false" customHeight="false" outlineLevel="0" collapsed="false">
      <c r="A1807" s="12"/>
      <c r="B1807" s="20"/>
      <c r="C1807" s="49" t="s">
        <v>7270</v>
      </c>
      <c r="D1807" s="24"/>
      <c r="E1807" s="49" t="s">
        <v>7271</v>
      </c>
      <c r="F1807" s="49" t="s">
        <v>7272</v>
      </c>
      <c r="G1807" s="17"/>
      <c r="H1807" s="17"/>
      <c r="I1807" s="26" t="s">
        <v>166</v>
      </c>
      <c r="J1807" s="32"/>
      <c r="K1807" s="17"/>
      <c r="L1807" s="38"/>
      <c r="M1807" s="49"/>
      <c r="N1807" s="17"/>
      <c r="O1807" s="17"/>
      <c r="P1807" s="29" t="s">
        <v>168</v>
      </c>
      <c r="Q1807" s="12"/>
      <c r="R1807" s="12"/>
      <c r="S1807" s="12"/>
      <c r="T1807" s="12"/>
      <c r="U1807" s="12"/>
      <c r="V1807" s="12"/>
      <c r="Z1807" s="12"/>
      <c r="AA1807" s="12"/>
      <c r="AB1807" s="49" t="s">
        <v>7273</v>
      </c>
      <c r="AC1807" s="12"/>
      <c r="AD1807" s="12"/>
      <c r="AE1807" s="12"/>
    </row>
    <row r="1808" customFormat="false" ht="15.75" hidden="false" customHeight="false" outlineLevel="0" collapsed="false">
      <c r="A1808" s="12"/>
      <c r="B1808" s="20"/>
      <c r="C1808" s="49" t="s">
        <v>747</v>
      </c>
      <c r="D1808" s="24"/>
      <c r="E1808" s="49" t="s">
        <v>7274</v>
      </c>
      <c r="F1808" s="49" t="s">
        <v>7275</v>
      </c>
      <c r="G1808" s="17"/>
      <c r="H1808" s="17"/>
      <c r="I1808" s="26" t="s">
        <v>166</v>
      </c>
      <c r="J1808" s="32"/>
      <c r="K1808" s="17"/>
      <c r="L1808" s="38"/>
      <c r="M1808" s="49"/>
      <c r="N1808" s="17"/>
      <c r="O1808" s="17"/>
      <c r="P1808" s="29" t="s">
        <v>168</v>
      </c>
      <c r="Q1808" s="20"/>
      <c r="R1808" s="20"/>
      <c r="S1808" s="20"/>
      <c r="T1808" s="20"/>
      <c r="U1808" s="20"/>
      <c r="V1808" s="20"/>
      <c r="Z1808" s="20"/>
      <c r="AA1808" s="20"/>
      <c r="AB1808" s="49"/>
      <c r="AC1808" s="20"/>
      <c r="AD1808" s="20"/>
      <c r="AE1808" s="20"/>
    </row>
    <row r="1809" customFormat="false" ht="15.75" hidden="false" customHeight="false" outlineLevel="0" collapsed="false">
      <c r="A1809" s="12"/>
      <c r="B1809" s="20"/>
      <c r="C1809" s="49" t="s">
        <v>7276</v>
      </c>
      <c r="D1809" s="24"/>
      <c r="E1809" s="49" t="s">
        <v>7277</v>
      </c>
      <c r="F1809" s="49" t="s">
        <v>7278</v>
      </c>
      <c r="G1809" s="17"/>
      <c r="H1809" s="17"/>
      <c r="I1809" s="26" t="s">
        <v>166</v>
      </c>
      <c r="J1809" s="32"/>
      <c r="K1809" s="17"/>
      <c r="L1809" s="38"/>
      <c r="M1809" s="49"/>
      <c r="N1809" s="17"/>
      <c r="O1809" s="17"/>
      <c r="P1809" s="29" t="s">
        <v>168</v>
      </c>
      <c r="Q1809" s="20"/>
      <c r="R1809" s="20"/>
      <c r="S1809" s="20"/>
      <c r="T1809" s="20"/>
      <c r="U1809" s="20"/>
      <c r="V1809" s="20"/>
      <c r="Z1809" s="20"/>
      <c r="AA1809" s="20"/>
      <c r="AB1809" s="49" t="s">
        <v>7279</v>
      </c>
      <c r="AC1809" s="20"/>
      <c r="AD1809" s="20"/>
      <c r="AE1809" s="20"/>
    </row>
    <row r="1810" customFormat="false" ht="15.75" hidden="false" customHeight="false" outlineLevel="0" collapsed="false">
      <c r="A1810" s="12"/>
      <c r="B1810" s="13"/>
      <c r="C1810" s="16" t="s">
        <v>7280</v>
      </c>
      <c r="D1810" s="24"/>
      <c r="E1810" s="16" t="s">
        <v>7281</v>
      </c>
      <c r="F1810" s="16" t="s">
        <v>7282</v>
      </c>
      <c r="G1810" s="17"/>
      <c r="H1810" s="17"/>
      <c r="I1810" s="26" t="s">
        <v>166</v>
      </c>
      <c r="J1810" s="32"/>
      <c r="K1810" s="17"/>
      <c r="L1810" s="38"/>
      <c r="M1810" s="16"/>
      <c r="N1810" s="17"/>
      <c r="O1810" s="17"/>
      <c r="P1810" s="29" t="s">
        <v>168</v>
      </c>
      <c r="Q1810" s="12"/>
      <c r="R1810" s="12"/>
      <c r="S1810" s="12"/>
      <c r="T1810" s="12"/>
      <c r="U1810" s="12"/>
      <c r="V1810" s="12"/>
      <c r="Z1810" s="12"/>
      <c r="AA1810" s="12"/>
      <c r="AB1810" s="16" t="s">
        <v>6449</v>
      </c>
      <c r="AC1810" s="12"/>
      <c r="AD1810" s="12"/>
      <c r="AE1810" s="12"/>
    </row>
    <row r="1811" customFormat="false" ht="15.75" hidden="false" customHeight="false" outlineLevel="0" collapsed="false">
      <c r="A1811" s="12"/>
      <c r="B1811" s="12"/>
      <c r="C1811" s="17" t="s">
        <v>7283</v>
      </c>
      <c r="D1811" s="24"/>
      <c r="E1811" s="25" t="s">
        <v>7284</v>
      </c>
      <c r="F1811" s="17" t="s">
        <v>7285</v>
      </c>
      <c r="G1811" s="17" t="s">
        <v>1600</v>
      </c>
      <c r="H1811" s="17"/>
      <c r="I1811" s="26" t="s">
        <v>82</v>
      </c>
      <c r="J1811" s="32"/>
      <c r="K1811" s="17"/>
      <c r="L1811" s="38"/>
      <c r="M1811" s="17"/>
      <c r="N1811" s="17"/>
      <c r="O1811" s="17"/>
      <c r="P1811" s="29" t="s">
        <v>638</v>
      </c>
      <c r="Q1811" s="12"/>
      <c r="R1811" s="12" t="s">
        <v>7286</v>
      </c>
      <c r="S1811" s="12"/>
      <c r="T1811" s="12" t="s">
        <v>7287</v>
      </c>
      <c r="U1811" s="12"/>
      <c r="V1811" s="12" t="s">
        <v>31</v>
      </c>
      <c r="Z1811" s="12"/>
      <c r="AA1811" s="12"/>
      <c r="AB1811" s="12"/>
      <c r="AC1811" s="12"/>
      <c r="AD1811" s="12"/>
      <c r="AE1811" s="12"/>
    </row>
    <row r="1812" customFormat="false" ht="15.75" hidden="false" customHeight="false" outlineLevel="0" collapsed="false">
      <c r="A1812" s="12"/>
      <c r="B1812" s="20"/>
      <c r="C1812" s="48" t="s">
        <v>7288</v>
      </c>
      <c r="D1812" s="24"/>
      <c r="E1812" s="49" t="s">
        <v>7289</v>
      </c>
      <c r="F1812" s="49" t="s">
        <v>7290</v>
      </c>
      <c r="G1812" s="17"/>
      <c r="H1812" s="17"/>
      <c r="I1812" s="26" t="s">
        <v>166</v>
      </c>
      <c r="J1812" s="32"/>
      <c r="K1812" s="17"/>
      <c r="L1812" s="38"/>
      <c r="M1812" s="36"/>
      <c r="N1812" s="17"/>
      <c r="O1812" s="17"/>
      <c r="P1812" s="40" t="s">
        <v>168</v>
      </c>
      <c r="Q1812" s="12"/>
      <c r="R1812" s="12"/>
      <c r="S1812" s="12"/>
      <c r="T1812" s="12"/>
      <c r="U1812" s="12"/>
      <c r="V1812" s="12"/>
      <c r="Z1812" s="12"/>
      <c r="AA1812" s="12"/>
      <c r="AB1812" s="12"/>
      <c r="AC1812" s="12"/>
      <c r="AD1812" s="12"/>
      <c r="AE1812" s="12"/>
    </row>
    <row r="1813" customFormat="false" ht="15.75" hidden="false" customHeight="false" outlineLevel="0" collapsed="false">
      <c r="A1813" s="12"/>
      <c r="B1813" s="20"/>
      <c r="C1813" s="49" t="s">
        <v>7291</v>
      </c>
      <c r="D1813" s="24"/>
      <c r="E1813" s="49" t="s">
        <v>7292</v>
      </c>
      <c r="F1813" s="49" t="s">
        <v>7293</v>
      </c>
      <c r="G1813" s="17"/>
      <c r="H1813" s="17"/>
      <c r="I1813" s="26" t="s">
        <v>166</v>
      </c>
      <c r="J1813" s="32"/>
      <c r="K1813" s="17"/>
      <c r="L1813" s="38"/>
      <c r="M1813" s="49"/>
      <c r="N1813" s="17"/>
      <c r="O1813" s="17"/>
      <c r="P1813" s="12" t="s">
        <v>168</v>
      </c>
      <c r="Q1813" s="12"/>
      <c r="R1813" s="12"/>
      <c r="S1813" s="12"/>
      <c r="T1813" s="12"/>
      <c r="U1813" s="12"/>
      <c r="V1813" s="12"/>
      <c r="Z1813" s="12"/>
      <c r="AA1813" s="12"/>
      <c r="AB1813" s="12"/>
      <c r="AC1813" s="12"/>
      <c r="AD1813" s="12"/>
      <c r="AE1813" s="12"/>
    </row>
    <row r="1814" customFormat="false" ht="15.75" hidden="false" customHeight="false" outlineLevel="0" collapsed="false">
      <c r="A1814" s="12"/>
      <c r="B1814" s="12"/>
      <c r="C1814" s="17" t="s">
        <v>7294</v>
      </c>
      <c r="D1814" s="24"/>
      <c r="E1814" s="25" t="s">
        <v>7295</v>
      </c>
      <c r="F1814" s="17" t="s">
        <v>7296</v>
      </c>
      <c r="G1814" s="17" t="s">
        <v>1600</v>
      </c>
      <c r="H1814" s="17"/>
      <c r="I1814" s="26" t="s">
        <v>82</v>
      </c>
      <c r="J1814" s="32"/>
      <c r="K1814" s="17"/>
      <c r="L1814" s="38"/>
      <c r="M1814" s="17"/>
      <c r="N1814" s="17"/>
      <c r="O1814" s="17"/>
      <c r="P1814" s="12" t="s">
        <v>638</v>
      </c>
      <c r="Q1814" s="20"/>
      <c r="R1814" s="20" t="s">
        <v>7297</v>
      </c>
      <c r="S1814" s="20"/>
      <c r="T1814" s="20" t="s">
        <v>7298</v>
      </c>
      <c r="U1814" s="20"/>
      <c r="V1814" s="12" t="s">
        <v>31</v>
      </c>
      <c r="Z1814" s="20"/>
      <c r="AA1814" s="20"/>
      <c r="AB1814" s="20"/>
      <c r="AC1814" s="20"/>
      <c r="AD1814" s="20"/>
      <c r="AE1814" s="20"/>
    </row>
    <row r="1815" customFormat="false" ht="15.75" hidden="false" customHeight="false" outlineLevel="0" collapsed="false">
      <c r="A1815" s="12"/>
      <c r="B1815" s="20"/>
      <c r="C1815" s="49" t="s">
        <v>7299</v>
      </c>
      <c r="D1815" s="24"/>
      <c r="E1815" s="49" t="s">
        <v>7300</v>
      </c>
      <c r="F1815" s="49" t="s">
        <v>7301</v>
      </c>
      <c r="G1815" s="17"/>
      <c r="H1815" s="17"/>
      <c r="I1815" s="26" t="s">
        <v>166</v>
      </c>
      <c r="J1815" s="32"/>
      <c r="K1815" s="17"/>
      <c r="L1815" s="38"/>
      <c r="M1815" s="49"/>
      <c r="N1815" s="17"/>
      <c r="O1815" s="17"/>
      <c r="P1815" s="12" t="s">
        <v>168</v>
      </c>
      <c r="Q1815" s="12"/>
      <c r="R1815" s="12"/>
      <c r="S1815" s="12"/>
      <c r="T1815" s="12"/>
      <c r="U1815" s="12"/>
      <c r="V1815" s="12"/>
      <c r="Z1815" s="12"/>
      <c r="AA1815" s="12"/>
      <c r="AB1815" s="49" t="s">
        <v>7302</v>
      </c>
      <c r="AC1815" s="12"/>
      <c r="AD1815" s="12"/>
      <c r="AE1815" s="12"/>
    </row>
    <row r="1816" customFormat="false" ht="15.75" hidden="false" customHeight="false" outlineLevel="0" collapsed="false">
      <c r="A1816" s="12"/>
      <c r="B1816" s="20"/>
      <c r="C1816" s="49" t="s">
        <v>7303</v>
      </c>
      <c r="D1816" s="24"/>
      <c r="E1816" s="49" t="s">
        <v>7304</v>
      </c>
      <c r="F1816" s="49" t="s">
        <v>7305</v>
      </c>
      <c r="G1816" s="17"/>
      <c r="H1816" s="17"/>
      <c r="I1816" s="26" t="s">
        <v>166</v>
      </c>
      <c r="J1816" s="32"/>
      <c r="K1816" s="17"/>
      <c r="L1816" s="38"/>
      <c r="M1816" s="49"/>
      <c r="N1816" s="17"/>
      <c r="O1816" s="17"/>
      <c r="P1816" s="12" t="s">
        <v>168</v>
      </c>
      <c r="Q1816" s="17"/>
      <c r="R1816" s="17"/>
      <c r="S1816" s="17"/>
      <c r="T1816" s="17"/>
      <c r="U1816" s="17"/>
      <c r="V1816" s="17"/>
      <c r="Z1816" s="17"/>
      <c r="AA1816" s="12"/>
      <c r="AB1816" s="49" t="s">
        <v>7306</v>
      </c>
      <c r="AC1816" s="17"/>
      <c r="AD1816" s="17"/>
      <c r="AE1816" s="17"/>
    </row>
    <row r="1817" customFormat="false" ht="15.75" hidden="false" customHeight="false" outlineLevel="0" collapsed="false">
      <c r="A1817" s="12"/>
      <c r="B1817" s="54"/>
      <c r="C1817" s="15"/>
      <c r="D1817" s="24"/>
      <c r="E1817" s="119" t="s">
        <v>7307</v>
      </c>
      <c r="F1817" s="15"/>
      <c r="G1817" s="15"/>
      <c r="H1817" s="15"/>
      <c r="I1817" s="26" t="s">
        <v>266</v>
      </c>
      <c r="J1817" s="15"/>
      <c r="K1817" s="17"/>
      <c r="L1817" s="38"/>
      <c r="M1817" s="15"/>
      <c r="N1817" s="17"/>
      <c r="O1817" s="17"/>
      <c r="P1817" s="20" t="s">
        <v>39</v>
      </c>
      <c r="Q1817" s="12"/>
      <c r="R1817" s="12"/>
      <c r="S1817" s="12"/>
      <c r="T1817" s="12"/>
      <c r="U1817" s="12"/>
      <c r="V1817" s="12"/>
      <c r="Z1817" s="12"/>
      <c r="AA1817" s="12"/>
      <c r="AB1817" s="26"/>
      <c r="AC1817" s="12"/>
      <c r="AD1817" s="12"/>
      <c r="AE1817" s="12"/>
    </row>
    <row r="1818" customFormat="false" ht="15.75" hidden="false" customHeight="false" outlineLevel="0" collapsed="false">
      <c r="A1818" s="12"/>
      <c r="B1818" s="13"/>
      <c r="C1818" s="16"/>
      <c r="D1818" s="24"/>
      <c r="E1818" s="120" t="s">
        <v>7308</v>
      </c>
      <c r="F1818" s="15" t="s">
        <v>7309</v>
      </c>
      <c r="G1818" s="15"/>
      <c r="H1818" s="15"/>
      <c r="I1818" s="26" t="s">
        <v>266</v>
      </c>
      <c r="J1818" s="15"/>
      <c r="K1818" s="17"/>
      <c r="L1818" s="38"/>
      <c r="M1818" s="15"/>
      <c r="N1818" s="17"/>
      <c r="O1818" s="17"/>
      <c r="P1818" s="20" t="s">
        <v>39</v>
      </c>
      <c r="Q1818" s="12"/>
      <c r="R1818" s="12"/>
      <c r="S1818" s="12"/>
      <c r="T1818" s="12"/>
      <c r="U1818" s="12"/>
      <c r="V1818" s="12"/>
      <c r="Z1818" s="12"/>
      <c r="AA1818" s="12"/>
      <c r="AB1818" s="26"/>
      <c r="AC1818" s="12"/>
      <c r="AD1818" s="12"/>
      <c r="AE1818" s="12"/>
    </row>
    <row r="1819" customFormat="false" ht="15.75" hidden="false" customHeight="false" outlineLevel="0" collapsed="false">
      <c r="A1819" s="12"/>
      <c r="B1819" s="13"/>
      <c r="C1819" s="16"/>
      <c r="D1819" s="24"/>
      <c r="E1819" s="121"/>
      <c r="F1819" s="15" t="s">
        <v>7310</v>
      </c>
      <c r="G1819" s="15"/>
      <c r="H1819" s="15"/>
      <c r="I1819" s="26" t="s">
        <v>266</v>
      </c>
      <c r="J1819" s="15"/>
      <c r="K1819" s="17"/>
      <c r="L1819" s="38"/>
      <c r="M1819" s="15"/>
      <c r="N1819" s="17"/>
      <c r="O1819" s="17"/>
      <c r="P1819" s="20" t="s">
        <v>39</v>
      </c>
      <c r="Q1819" s="12"/>
      <c r="R1819" s="12"/>
      <c r="S1819" s="12"/>
      <c r="T1819" s="12"/>
      <c r="U1819" s="12"/>
      <c r="V1819" s="12"/>
      <c r="Z1819" s="12"/>
      <c r="AA1819" s="12"/>
      <c r="AB1819" s="26"/>
      <c r="AC1819" s="12"/>
      <c r="AD1819" s="12"/>
      <c r="AE1819" s="12"/>
    </row>
    <row r="1820" customFormat="false" ht="15.75" hidden="false" customHeight="false" outlineLevel="0" collapsed="false">
      <c r="A1820" s="12"/>
      <c r="B1820" s="13"/>
      <c r="C1820" s="16"/>
      <c r="D1820" s="24"/>
      <c r="E1820" s="57" t="s">
        <v>7311</v>
      </c>
      <c r="F1820" s="15" t="s">
        <v>7312</v>
      </c>
      <c r="G1820" s="15"/>
      <c r="H1820" s="15"/>
      <c r="I1820" s="26" t="s">
        <v>266</v>
      </c>
      <c r="J1820" s="15"/>
      <c r="K1820" s="17"/>
      <c r="L1820" s="38"/>
      <c r="M1820" s="15"/>
      <c r="N1820" s="17"/>
      <c r="O1820" s="17"/>
      <c r="P1820" s="20" t="s">
        <v>39</v>
      </c>
      <c r="Q1820" s="20"/>
      <c r="R1820" s="20"/>
      <c r="S1820" s="20"/>
      <c r="T1820" s="20"/>
      <c r="U1820" s="20"/>
      <c r="V1820" s="20"/>
      <c r="Z1820" s="20"/>
      <c r="AA1820" s="20"/>
      <c r="AB1820" s="26"/>
      <c r="AC1820" s="20"/>
      <c r="AD1820" s="20"/>
      <c r="AE1820" s="20"/>
    </row>
    <row r="1821" customFormat="false" ht="15.75" hidden="false" customHeight="false" outlineLevel="0" collapsed="false">
      <c r="A1821" s="12"/>
      <c r="B1821" s="13"/>
      <c r="C1821" s="16"/>
      <c r="D1821" s="15"/>
      <c r="E1821" s="16" t="s">
        <v>7313</v>
      </c>
      <c r="F1821" s="15" t="s">
        <v>7314</v>
      </c>
      <c r="G1821" s="15"/>
      <c r="H1821" s="15"/>
      <c r="I1821" s="26" t="s">
        <v>166</v>
      </c>
      <c r="J1821" s="32"/>
      <c r="K1821" s="15" t="n">
        <v>2015</v>
      </c>
      <c r="L1821" s="38"/>
      <c r="M1821" s="15"/>
      <c r="N1821" s="17"/>
      <c r="O1821" s="17"/>
      <c r="P1821" s="20" t="s">
        <v>39</v>
      </c>
      <c r="Q1821" s="12"/>
      <c r="R1821" s="12" t="s">
        <v>7315</v>
      </c>
      <c r="S1821" s="12"/>
      <c r="T1821" s="12" t="s">
        <v>7316</v>
      </c>
      <c r="U1821" s="12"/>
      <c r="V1821" s="12" t="s">
        <v>31</v>
      </c>
      <c r="Z1821" s="12"/>
      <c r="AA1821" s="12"/>
      <c r="AB1821" s="15" t="s">
        <v>7317</v>
      </c>
      <c r="AC1821" s="12"/>
      <c r="AD1821" s="12"/>
      <c r="AE1821" s="12"/>
    </row>
    <row r="1822" customFormat="false" ht="15.75" hidden="false" customHeight="false" outlineLevel="0" collapsed="false">
      <c r="A1822" s="12"/>
      <c r="B1822" s="13"/>
      <c r="C1822" s="16" t="s">
        <v>7318</v>
      </c>
      <c r="D1822" s="24"/>
      <c r="E1822" s="17"/>
      <c r="F1822" s="15"/>
      <c r="G1822" s="17"/>
      <c r="H1822" s="17"/>
      <c r="I1822" s="17"/>
      <c r="J1822" s="32"/>
      <c r="K1822" s="17"/>
      <c r="L1822" s="38"/>
      <c r="M1822" s="17"/>
      <c r="N1822" s="39" t="s">
        <v>7319</v>
      </c>
      <c r="O1822" s="17"/>
      <c r="P1822" s="12" t="s">
        <v>7320</v>
      </c>
      <c r="Q1822" s="12"/>
      <c r="R1822" s="12"/>
      <c r="S1822" s="12"/>
      <c r="T1822" s="12"/>
      <c r="U1822" s="12"/>
      <c r="V1822" s="12"/>
      <c r="Z1822" s="12"/>
      <c r="AA1822" s="12"/>
      <c r="AB1822" s="12"/>
      <c r="AC1822" s="12"/>
      <c r="AD1822" s="12"/>
      <c r="AE1822" s="12"/>
    </row>
    <row r="1823" customFormat="false" ht="15.75" hidden="false" customHeight="false" outlineLevel="0" collapsed="false">
      <c r="A1823" s="12" t="str">
        <f aca="false">IF((AA1823&gt;=4), "Y", "N")</f>
        <v>Y</v>
      </c>
      <c r="B1823" s="13"/>
      <c r="C1823" s="16" t="s">
        <v>7321</v>
      </c>
      <c r="D1823" s="47" t="s">
        <v>94</v>
      </c>
      <c r="E1823" s="25" t="s">
        <v>7322</v>
      </c>
      <c r="F1823" s="15"/>
      <c r="G1823" s="17" t="s">
        <v>130</v>
      </c>
      <c r="H1823" s="17"/>
      <c r="I1823" s="17" t="s">
        <v>131</v>
      </c>
      <c r="J1823" s="32"/>
      <c r="K1823" s="17"/>
      <c r="L1823" s="38"/>
      <c r="M1823" s="17"/>
      <c r="N1823" s="17"/>
      <c r="O1823" s="17"/>
      <c r="P1823" s="12" t="s">
        <v>7323</v>
      </c>
      <c r="Q1823" s="12"/>
      <c r="R1823" s="12"/>
      <c r="S1823" s="12"/>
      <c r="T1823" s="12"/>
      <c r="U1823" s="12"/>
      <c r="V1823" s="12"/>
      <c r="Z1823" s="12"/>
      <c r="AA1823" s="12" t="n">
        <v>5</v>
      </c>
      <c r="AB1823" s="59" t="s">
        <v>7324</v>
      </c>
      <c r="AC1823" s="12"/>
      <c r="AD1823" s="12"/>
      <c r="AE1823" s="12"/>
    </row>
    <row r="1824" customFormat="false" ht="15.75" hidden="false" customHeight="false" outlineLevel="0" collapsed="false">
      <c r="A1824" s="12" t="str">
        <f aca="false">IF((AA1824&gt;=4), "Y", "N")</f>
        <v>Y</v>
      </c>
      <c r="B1824" s="13"/>
      <c r="C1824" s="16" t="s">
        <v>7325</v>
      </c>
      <c r="D1824" s="47" t="s">
        <v>94</v>
      </c>
      <c r="E1824" s="25" t="s">
        <v>7326</v>
      </c>
      <c r="F1824" s="15" t="s">
        <v>7327</v>
      </c>
      <c r="G1824" s="17" t="s">
        <v>130</v>
      </c>
      <c r="H1824" s="17"/>
      <c r="I1824" s="17" t="s">
        <v>131</v>
      </c>
      <c r="J1824" s="32"/>
      <c r="K1824" s="17"/>
      <c r="L1824" s="38"/>
      <c r="M1824" s="17"/>
      <c r="N1824" s="17"/>
      <c r="O1824" s="17"/>
      <c r="P1824" s="12" t="s">
        <v>7323</v>
      </c>
      <c r="Q1824" s="12"/>
      <c r="R1824" s="12" t="s">
        <v>7328</v>
      </c>
      <c r="S1824" s="12"/>
      <c r="T1824" s="12" t="s">
        <v>7329</v>
      </c>
      <c r="U1824" s="12"/>
      <c r="V1824" s="12" t="s">
        <v>31</v>
      </c>
      <c r="Z1824" s="12"/>
      <c r="AA1824" s="12" t="n">
        <v>9</v>
      </c>
      <c r="AB1824" s="122" t="s">
        <v>7330</v>
      </c>
      <c r="AC1824" s="123"/>
      <c r="AD1824" s="123"/>
      <c r="AE1824" s="123"/>
    </row>
    <row r="1825" customFormat="false" ht="15.75" hidden="false" customHeight="false" outlineLevel="0" collapsed="false">
      <c r="A1825" s="12" t="str">
        <f aca="false">IF((AA1825&gt;=4), "Y", "N")</f>
        <v>Y</v>
      </c>
      <c r="B1825" s="13"/>
      <c r="C1825" s="16" t="s">
        <v>7331</v>
      </c>
      <c r="D1825" s="47" t="s">
        <v>94</v>
      </c>
      <c r="E1825" s="25" t="s">
        <v>7332</v>
      </c>
      <c r="F1825" s="15"/>
      <c r="G1825" s="17" t="s">
        <v>130</v>
      </c>
      <c r="H1825" s="17"/>
      <c r="I1825" s="17" t="s">
        <v>131</v>
      </c>
      <c r="J1825" s="32"/>
      <c r="K1825" s="17"/>
      <c r="L1825" s="38"/>
      <c r="M1825" s="17"/>
      <c r="N1825" s="17"/>
      <c r="O1825" s="17"/>
      <c r="P1825" s="12" t="s">
        <v>7323</v>
      </c>
      <c r="Q1825" s="12"/>
      <c r="R1825" s="12"/>
      <c r="S1825" s="12"/>
      <c r="T1825" s="12" t="s">
        <v>7333</v>
      </c>
      <c r="U1825" s="12"/>
      <c r="V1825" s="12" t="s">
        <v>31</v>
      </c>
      <c r="Z1825" s="12"/>
      <c r="AA1825" s="12" t="n">
        <v>9</v>
      </c>
      <c r="AB1825" s="59" t="s">
        <v>7334</v>
      </c>
      <c r="AC1825" s="12"/>
      <c r="AD1825" s="12"/>
      <c r="AE1825" s="12"/>
    </row>
    <row r="1826" customFormat="false" ht="15.75" hidden="false" customHeight="false" outlineLevel="0" collapsed="false">
      <c r="A1826" s="12" t="str">
        <f aca="false">IF((AA1826&gt;=4), "Y", "N")</f>
        <v>Y</v>
      </c>
      <c r="B1826" s="13"/>
      <c r="C1826" s="16" t="s">
        <v>7335</v>
      </c>
      <c r="D1826" s="47" t="s">
        <v>94</v>
      </c>
      <c r="E1826" s="25" t="s">
        <v>7336</v>
      </c>
      <c r="F1826" s="15" t="s">
        <v>7337</v>
      </c>
      <c r="G1826" s="17" t="s">
        <v>130</v>
      </c>
      <c r="H1826" s="17"/>
      <c r="I1826" s="17" t="s">
        <v>131</v>
      </c>
      <c r="J1826" s="32"/>
      <c r="K1826" s="17"/>
      <c r="L1826" s="38"/>
      <c r="M1826" s="17"/>
      <c r="N1826" s="17"/>
      <c r="O1826" s="17"/>
      <c r="P1826" s="12" t="s">
        <v>7323</v>
      </c>
      <c r="Q1826" s="12"/>
      <c r="R1826" s="12"/>
      <c r="S1826" s="12"/>
      <c r="T1826" s="12" t="s">
        <v>7338</v>
      </c>
      <c r="U1826" s="12"/>
      <c r="V1826" s="12" t="s">
        <v>31</v>
      </c>
      <c r="Z1826" s="12"/>
      <c r="AA1826" s="12" t="n">
        <v>9</v>
      </c>
      <c r="AB1826" s="59" t="s">
        <v>7339</v>
      </c>
      <c r="AC1826" s="12"/>
      <c r="AD1826" s="12"/>
      <c r="AE1826" s="12"/>
    </row>
    <row r="1827" customFormat="false" ht="15.75" hidden="false" customHeight="false" outlineLevel="0" collapsed="false">
      <c r="A1827" s="12" t="str">
        <f aca="false">IF((AA1827&gt;=4), "Y", "N")</f>
        <v>Y</v>
      </c>
      <c r="B1827" s="13"/>
      <c r="C1827" s="16" t="s">
        <v>7340</v>
      </c>
      <c r="D1827" s="16" t="s">
        <v>51</v>
      </c>
      <c r="E1827" s="25" t="s">
        <v>7341</v>
      </c>
      <c r="F1827" s="15"/>
      <c r="G1827" s="17"/>
      <c r="H1827" s="17"/>
      <c r="I1827" s="17" t="s">
        <v>131</v>
      </c>
      <c r="J1827" s="32"/>
      <c r="K1827" s="17"/>
      <c r="L1827" s="38"/>
      <c r="M1827" s="17"/>
      <c r="N1827" s="17"/>
      <c r="O1827" s="17"/>
      <c r="P1827" s="12" t="s">
        <v>7323</v>
      </c>
      <c r="Q1827" s="12"/>
      <c r="R1827" s="12"/>
      <c r="S1827" s="12"/>
      <c r="T1827" s="12" t="s">
        <v>7342</v>
      </c>
      <c r="U1827" s="12"/>
      <c r="V1827" s="12" t="s">
        <v>31</v>
      </c>
      <c r="Z1827" s="12"/>
      <c r="AA1827" s="12" t="n">
        <v>9</v>
      </c>
      <c r="AB1827" s="59" t="s">
        <v>7343</v>
      </c>
      <c r="AC1827" s="12"/>
      <c r="AD1827" s="12"/>
      <c r="AE1827" s="12"/>
    </row>
    <row r="1828" customFormat="false" ht="15.75" hidden="false" customHeight="false" outlineLevel="0" collapsed="false">
      <c r="A1828" s="12" t="str">
        <f aca="false">IF((AA1828&gt;=4), "Y", "N")</f>
        <v>Y</v>
      </c>
      <c r="B1828" s="13"/>
      <c r="C1828" s="16" t="s">
        <v>7344</v>
      </c>
      <c r="D1828" s="47" t="s">
        <v>94</v>
      </c>
      <c r="E1828" s="25" t="s">
        <v>7345</v>
      </c>
      <c r="F1828" s="15" t="s">
        <v>7346</v>
      </c>
      <c r="G1828" s="17"/>
      <c r="H1828" s="17"/>
      <c r="I1828" s="17" t="s">
        <v>131</v>
      </c>
      <c r="J1828" s="32"/>
      <c r="K1828" s="17"/>
      <c r="L1828" s="38"/>
      <c r="M1828" s="17"/>
      <c r="N1828" s="17"/>
      <c r="O1828" s="17"/>
      <c r="P1828" s="12" t="s">
        <v>7323</v>
      </c>
      <c r="Q1828" s="12"/>
      <c r="R1828" s="12"/>
      <c r="S1828" s="12"/>
      <c r="T1828" s="12" t="s">
        <v>7347</v>
      </c>
      <c r="U1828" s="12" t="s">
        <v>7348</v>
      </c>
      <c r="V1828" s="12" t="s">
        <v>31</v>
      </c>
      <c r="Z1828" s="12"/>
      <c r="AA1828" s="12" t="n">
        <v>9</v>
      </c>
      <c r="AB1828" s="59" t="s">
        <v>7349</v>
      </c>
      <c r="AC1828" s="12"/>
      <c r="AD1828" s="12"/>
      <c r="AE1828" s="12"/>
    </row>
    <row r="1829" customFormat="false" ht="15.75" hidden="false" customHeight="false" outlineLevel="0" collapsed="false">
      <c r="A1829" s="12" t="str">
        <f aca="false">IF((AA1829&gt;=4), "Y", "N")</f>
        <v>Y</v>
      </c>
      <c r="B1829" s="13"/>
      <c r="C1829" s="16" t="s">
        <v>7350</v>
      </c>
      <c r="D1829" s="47" t="s">
        <v>94</v>
      </c>
      <c r="E1829" s="25" t="s">
        <v>7351</v>
      </c>
      <c r="F1829" s="15" t="s">
        <v>7352</v>
      </c>
      <c r="G1829" s="17"/>
      <c r="H1829" s="17"/>
      <c r="I1829" s="17" t="s">
        <v>131</v>
      </c>
      <c r="J1829" s="32"/>
      <c r="K1829" s="17"/>
      <c r="L1829" s="38"/>
      <c r="M1829" s="17"/>
      <c r="N1829" s="17"/>
      <c r="O1829" s="17"/>
      <c r="P1829" s="12" t="s">
        <v>7323</v>
      </c>
      <c r="Q1829" s="12"/>
      <c r="R1829" s="12"/>
      <c r="S1829" s="12"/>
      <c r="T1829" s="12"/>
      <c r="U1829" s="12"/>
      <c r="V1829" s="12"/>
      <c r="Z1829" s="12"/>
      <c r="AA1829" s="12" t="n">
        <v>8</v>
      </c>
      <c r="AB1829" s="59" t="s">
        <v>7353</v>
      </c>
      <c r="AC1829" s="12"/>
      <c r="AD1829" s="12"/>
      <c r="AE1829" s="12"/>
    </row>
    <row r="1830" customFormat="false" ht="15.75" hidden="false" customHeight="false" outlineLevel="0" collapsed="false">
      <c r="A1830" s="12" t="str">
        <f aca="false">IF((AA1830&gt;=4), "Y", "N")</f>
        <v>Y</v>
      </c>
      <c r="B1830" s="13"/>
      <c r="C1830" s="16" t="s">
        <v>7354</v>
      </c>
      <c r="D1830" s="16" t="s">
        <v>51</v>
      </c>
      <c r="E1830" s="25" t="s">
        <v>7355</v>
      </c>
      <c r="F1830" s="15" t="s">
        <v>7356</v>
      </c>
      <c r="G1830" s="17"/>
      <c r="H1830" s="17"/>
      <c r="I1830" s="17" t="s">
        <v>131</v>
      </c>
      <c r="J1830" s="32"/>
      <c r="K1830" s="17"/>
      <c r="L1830" s="38"/>
      <c r="M1830" s="17"/>
      <c r="N1830" s="17"/>
      <c r="O1830" s="17"/>
      <c r="P1830" s="12" t="s">
        <v>7323</v>
      </c>
      <c r="Q1830" s="12"/>
      <c r="R1830" s="12"/>
      <c r="S1830" s="123"/>
      <c r="T1830" s="123" t="s">
        <v>7357</v>
      </c>
      <c r="U1830" s="12"/>
      <c r="V1830" s="12" t="s">
        <v>31</v>
      </c>
      <c r="Z1830" s="12"/>
      <c r="AA1830" s="12" t="n">
        <v>9</v>
      </c>
      <c r="AB1830" s="59" t="s">
        <v>7358</v>
      </c>
      <c r="AC1830" s="12"/>
      <c r="AD1830" s="12"/>
      <c r="AE1830" s="12"/>
    </row>
    <row r="1831" customFormat="false" ht="15.75" hidden="false" customHeight="false" outlineLevel="0" collapsed="false">
      <c r="A1831" s="12"/>
      <c r="B1831" s="13"/>
      <c r="C1831" s="16" t="s">
        <v>7359</v>
      </c>
      <c r="D1831" s="16" t="s">
        <v>620</v>
      </c>
      <c r="E1831" s="25" t="s">
        <v>7360</v>
      </c>
      <c r="F1831" s="15" t="s">
        <v>7361</v>
      </c>
      <c r="G1831" s="17" t="s">
        <v>130</v>
      </c>
      <c r="H1831" s="17"/>
      <c r="I1831" s="17" t="s">
        <v>131</v>
      </c>
      <c r="J1831" s="32"/>
      <c r="K1831" s="17"/>
      <c r="L1831" s="38"/>
      <c r="M1831" s="17"/>
      <c r="N1831" s="17"/>
      <c r="O1831" s="17"/>
      <c r="P1831" s="12" t="s">
        <v>7323</v>
      </c>
      <c r="Q1831" s="12"/>
      <c r="R1831" s="12"/>
      <c r="S1831" s="12"/>
      <c r="T1831" s="12"/>
      <c r="U1831" s="12"/>
      <c r="V1831" s="12"/>
      <c r="Z1831" s="12"/>
      <c r="AA1831" s="12"/>
      <c r="AB1831" s="12"/>
      <c r="AC1831" s="12"/>
      <c r="AD1831" s="12"/>
      <c r="AE1831" s="12"/>
    </row>
    <row r="1832" customFormat="false" ht="15.75" hidden="false" customHeight="false" outlineLevel="0" collapsed="false">
      <c r="A1832" s="12" t="str">
        <f aca="false">IF((AA1832&gt;=4), "Y", "N")</f>
        <v>Y</v>
      </c>
      <c r="B1832" s="13"/>
      <c r="C1832" s="16"/>
      <c r="D1832" s="24"/>
      <c r="E1832" s="17"/>
      <c r="F1832" s="17"/>
      <c r="G1832" s="17"/>
      <c r="H1832" s="17"/>
      <c r="I1832" s="17"/>
      <c r="J1832" s="32"/>
      <c r="K1832" s="17"/>
      <c r="L1832" s="38"/>
      <c r="M1832" s="17"/>
      <c r="N1832" s="17"/>
      <c r="O1832" s="17"/>
      <c r="P1832" s="12" t="s">
        <v>7323</v>
      </c>
      <c r="Q1832" s="12"/>
      <c r="R1832" s="12"/>
      <c r="S1832" s="12"/>
      <c r="T1832" s="12"/>
      <c r="U1832" s="12"/>
      <c r="V1832" s="12"/>
      <c r="Z1832" s="12"/>
      <c r="AA1832" s="12" t="n">
        <v>8</v>
      </c>
      <c r="AB1832" s="59" t="s">
        <v>7362</v>
      </c>
      <c r="AC1832" s="12"/>
      <c r="AD1832" s="12"/>
      <c r="AE1832" s="12"/>
    </row>
    <row r="1833" customFormat="false" ht="15.75" hidden="false" customHeight="false" outlineLevel="0" collapsed="false">
      <c r="A1833" s="12" t="str">
        <f aca="false">IF((AA1833&gt;=4), "Y", "N")</f>
        <v>Y</v>
      </c>
      <c r="B1833" s="13"/>
      <c r="C1833" s="16" t="s">
        <v>7363</v>
      </c>
      <c r="D1833" s="47" t="s">
        <v>94</v>
      </c>
      <c r="E1833" s="25" t="s">
        <v>7364</v>
      </c>
      <c r="F1833" s="124" t="s">
        <v>7365</v>
      </c>
      <c r="G1833" s="17" t="s">
        <v>130</v>
      </c>
      <c r="H1833" s="17"/>
      <c r="I1833" s="17" t="s">
        <v>131</v>
      </c>
      <c r="J1833" s="32"/>
      <c r="K1833" s="17"/>
      <c r="L1833" s="38"/>
      <c r="M1833" s="17"/>
      <c r="N1833" s="17"/>
      <c r="O1833" s="17"/>
      <c r="P1833" s="12" t="s">
        <v>7323</v>
      </c>
      <c r="Q1833" s="12"/>
      <c r="R1833" s="12"/>
      <c r="S1833" s="12"/>
      <c r="T1833" s="12"/>
      <c r="U1833" s="12"/>
      <c r="V1833" s="12"/>
      <c r="Z1833" s="12"/>
      <c r="AA1833" s="12" t="n">
        <v>10</v>
      </c>
      <c r="AB1833" s="59" t="s">
        <v>7366</v>
      </c>
      <c r="AC1833" s="12"/>
      <c r="AD1833" s="12"/>
      <c r="AE1833" s="12"/>
    </row>
    <row r="1834" customFormat="false" ht="15.75" hidden="false" customHeight="false" outlineLevel="0" collapsed="false">
      <c r="A1834" s="12" t="str">
        <f aca="false">IF((AA1834&gt;=4), "Y", "N")</f>
        <v>Y</v>
      </c>
      <c r="B1834" s="13"/>
      <c r="C1834" s="16" t="s">
        <v>7367</v>
      </c>
      <c r="D1834" s="24" t="s">
        <v>51</v>
      </c>
      <c r="E1834" s="25" t="s">
        <v>7368</v>
      </c>
      <c r="F1834" s="17" t="s">
        <v>7369</v>
      </c>
      <c r="G1834" s="17"/>
      <c r="H1834" s="17"/>
      <c r="I1834" s="26" t="s">
        <v>7370</v>
      </c>
      <c r="L1834" s="38"/>
      <c r="N1834" s="17"/>
      <c r="O1834" s="17"/>
      <c r="P1834" s="12" t="s">
        <v>526</v>
      </c>
      <c r="Q1834" s="32"/>
      <c r="R1834" s="32" t="s">
        <v>7371</v>
      </c>
      <c r="S1834" s="17"/>
      <c r="T1834" s="17" t="s">
        <v>7372</v>
      </c>
      <c r="U1834" s="17"/>
      <c r="AA1834" s="12" t="n">
        <v>10</v>
      </c>
      <c r="AB1834" s="17"/>
      <c r="AC1834" s="17"/>
      <c r="AD1834" s="17"/>
      <c r="AE1834" s="17"/>
    </row>
    <row r="1835" customFormat="false" ht="15.75" hidden="false" customHeight="false" outlineLevel="0" collapsed="false">
      <c r="A1835" s="12" t="str">
        <f aca="false">IF((AA1835&gt;=4), "Y", "N")</f>
        <v>Y</v>
      </c>
      <c r="B1835" s="13"/>
      <c r="C1835" s="16" t="s">
        <v>7373</v>
      </c>
      <c r="D1835" s="24" t="s">
        <v>51</v>
      </c>
      <c r="E1835" s="25" t="s">
        <v>7374</v>
      </c>
      <c r="F1835" s="17" t="s">
        <v>7375</v>
      </c>
      <c r="G1835" s="17"/>
      <c r="H1835" s="17"/>
      <c r="I1835" s="26" t="s">
        <v>7370</v>
      </c>
      <c r="L1835" s="38"/>
      <c r="N1835" s="17"/>
      <c r="O1835" s="17"/>
      <c r="P1835" s="12" t="s">
        <v>526</v>
      </c>
      <c r="Q1835" s="32"/>
      <c r="R1835" s="32"/>
      <c r="S1835" s="17"/>
      <c r="T1835" s="17" t="s">
        <v>7376</v>
      </c>
      <c r="U1835" s="17"/>
      <c r="AA1835" s="12" t="n">
        <v>10</v>
      </c>
      <c r="AB1835" s="17" t="s">
        <v>7377</v>
      </c>
      <c r="AC1835" s="17"/>
      <c r="AD1835" s="17"/>
      <c r="AE1835" s="17"/>
    </row>
    <row r="1836" customFormat="false" ht="15.75" hidden="false" customHeight="false" outlineLevel="0" collapsed="false">
      <c r="A1836" s="12" t="str">
        <f aca="false">IF((AA1836&gt;=4), "Y", "N")</f>
        <v>Y</v>
      </c>
      <c r="B1836" s="13"/>
      <c r="C1836" s="16" t="s">
        <v>7378</v>
      </c>
      <c r="D1836" s="24" t="s">
        <v>7379</v>
      </c>
      <c r="E1836" s="25" t="s">
        <v>7380</v>
      </c>
      <c r="F1836" s="17" t="s">
        <v>7381</v>
      </c>
      <c r="G1836" s="17" t="s">
        <v>7382</v>
      </c>
      <c r="H1836" s="17"/>
      <c r="I1836" s="26" t="s">
        <v>7370</v>
      </c>
      <c r="L1836" s="38"/>
      <c r="N1836" s="17"/>
      <c r="O1836" s="17"/>
      <c r="P1836" s="12" t="s">
        <v>526</v>
      </c>
      <c r="Q1836" s="32"/>
      <c r="R1836" s="32"/>
      <c r="S1836" s="17"/>
      <c r="T1836" s="25" t="s">
        <v>7383</v>
      </c>
      <c r="U1836" s="17"/>
      <c r="AA1836" s="12" t="n">
        <v>4</v>
      </c>
      <c r="AB1836" s="17"/>
      <c r="AC1836" s="17"/>
      <c r="AD1836" s="17"/>
      <c r="AE1836" s="17"/>
    </row>
    <row r="1837" customFormat="false" ht="15.75" hidden="false" customHeight="false" outlineLevel="0" collapsed="false">
      <c r="A1837" s="12" t="str">
        <f aca="false">IF((AA1837&gt;=4), "Y", "N")</f>
        <v>Y</v>
      </c>
      <c r="B1837" s="13"/>
      <c r="C1837" s="16" t="s">
        <v>7384</v>
      </c>
      <c r="D1837" s="24" t="s">
        <v>61</v>
      </c>
      <c r="E1837" s="25" t="s">
        <v>7385</v>
      </c>
      <c r="F1837" s="17" t="s">
        <v>7386</v>
      </c>
      <c r="G1837" s="17" t="s">
        <v>7387</v>
      </c>
      <c r="H1837" s="17"/>
      <c r="I1837" s="26" t="s">
        <v>7370</v>
      </c>
      <c r="L1837" s="38"/>
      <c r="N1837" s="17"/>
      <c r="O1837" s="17"/>
      <c r="P1837" s="12" t="s">
        <v>526</v>
      </c>
      <c r="Q1837" s="32"/>
      <c r="R1837" s="32" t="s">
        <v>7388</v>
      </c>
      <c r="S1837" s="17"/>
      <c r="T1837" s="17" t="s">
        <v>7389</v>
      </c>
      <c r="U1837" s="17" t="s">
        <v>7390</v>
      </c>
      <c r="AA1837" s="12" t="n">
        <v>7</v>
      </c>
      <c r="AB1837" s="17" t="s">
        <v>7391</v>
      </c>
      <c r="AC1837" s="17"/>
      <c r="AD1837" s="17"/>
      <c r="AE1837" s="17"/>
    </row>
    <row r="1838" customFormat="false" ht="15.75" hidden="false" customHeight="false" outlineLevel="0" collapsed="false">
      <c r="A1838" s="12" t="str">
        <f aca="false">IF((AA1838&gt;=4), "Y", "N")</f>
        <v>Y</v>
      </c>
      <c r="B1838" s="13"/>
      <c r="C1838" s="16" t="s">
        <v>7392</v>
      </c>
      <c r="D1838" s="24" t="s">
        <v>51</v>
      </c>
      <c r="E1838" s="25" t="s">
        <v>7393</v>
      </c>
      <c r="F1838" s="17" t="s">
        <v>7394</v>
      </c>
      <c r="G1838" s="17"/>
      <c r="H1838" s="17"/>
      <c r="I1838" s="26" t="s">
        <v>7370</v>
      </c>
      <c r="L1838" s="38"/>
      <c r="N1838" s="17"/>
      <c r="O1838" s="17"/>
      <c r="P1838" s="12" t="s">
        <v>526</v>
      </c>
      <c r="Q1838" s="32"/>
      <c r="R1838" s="32" t="s">
        <v>7395</v>
      </c>
      <c r="S1838" s="17"/>
      <c r="T1838" s="17" t="s">
        <v>7396</v>
      </c>
      <c r="U1838" s="17" t="s">
        <v>7397</v>
      </c>
      <c r="AA1838" s="12" t="n">
        <v>10</v>
      </c>
      <c r="AB1838" s="17"/>
      <c r="AC1838" s="17"/>
      <c r="AD1838" s="17"/>
      <c r="AE1838" s="17"/>
    </row>
    <row r="1839" customFormat="false" ht="15.75" hidden="false" customHeight="false" outlineLevel="0" collapsed="false">
      <c r="A1839" s="12" t="str">
        <f aca="false">IF((AA1839&gt;=4), "Y", "N")</f>
        <v>Y</v>
      </c>
      <c r="B1839" s="13"/>
      <c r="C1839" s="16" t="s">
        <v>7398</v>
      </c>
      <c r="D1839" s="24" t="s">
        <v>61</v>
      </c>
      <c r="E1839" s="25" t="s">
        <v>7399</v>
      </c>
      <c r="F1839" s="17" t="s">
        <v>7400</v>
      </c>
      <c r="G1839" s="17" t="s">
        <v>7387</v>
      </c>
      <c r="H1839" s="17"/>
      <c r="I1839" s="26" t="s">
        <v>7370</v>
      </c>
      <c r="L1839" s="38"/>
      <c r="N1839" s="17"/>
      <c r="O1839" s="17"/>
      <c r="P1839" s="12" t="s">
        <v>526</v>
      </c>
      <c r="Q1839" s="32"/>
      <c r="R1839" s="32" t="s">
        <v>7401</v>
      </c>
      <c r="S1839" s="17"/>
      <c r="T1839" s="25" t="s">
        <v>7402</v>
      </c>
      <c r="U1839" s="17"/>
      <c r="AA1839" s="12" t="n">
        <v>7</v>
      </c>
      <c r="AB1839" s="17"/>
      <c r="AC1839" s="17"/>
      <c r="AD1839" s="17"/>
      <c r="AE1839" s="17"/>
    </row>
    <row r="1840" customFormat="false" ht="15.75" hidden="false" customHeight="false" outlineLevel="0" collapsed="false">
      <c r="A1840" s="12" t="str">
        <f aca="false">IF((AA1840&gt;=4), "Y", "N")</f>
        <v>Y</v>
      </c>
      <c r="B1840" s="13"/>
      <c r="C1840" s="16" t="s">
        <v>7403</v>
      </c>
      <c r="D1840" s="24" t="s">
        <v>51</v>
      </c>
      <c r="E1840" s="25" t="s">
        <v>7404</v>
      </c>
      <c r="F1840" s="17" t="s">
        <v>7405</v>
      </c>
      <c r="G1840" s="17" t="s">
        <v>7387</v>
      </c>
      <c r="H1840" s="17"/>
      <c r="I1840" s="26" t="s">
        <v>7370</v>
      </c>
      <c r="L1840" s="38"/>
      <c r="N1840" s="17"/>
      <c r="O1840" s="17"/>
      <c r="P1840" s="12" t="s">
        <v>526</v>
      </c>
      <c r="Q1840" s="32"/>
      <c r="R1840" s="32"/>
      <c r="S1840" s="17"/>
      <c r="T1840" s="17" t="s">
        <v>7406</v>
      </c>
      <c r="U1840" s="17" t="s">
        <v>7407</v>
      </c>
      <c r="AA1840" s="12" t="n">
        <v>8</v>
      </c>
      <c r="AB1840" s="17"/>
      <c r="AC1840" s="17"/>
      <c r="AD1840" s="17"/>
      <c r="AE1840" s="17"/>
    </row>
    <row r="1841" customFormat="false" ht="15.75" hidden="false" customHeight="false" outlineLevel="0" collapsed="false">
      <c r="A1841" s="12" t="str">
        <f aca="false">IF((AA1841&gt;=4), "Y", "N")</f>
        <v>Y</v>
      </c>
      <c r="B1841" s="13"/>
      <c r="C1841" s="57" t="s">
        <v>7408</v>
      </c>
      <c r="D1841" s="24" t="s">
        <v>51</v>
      </c>
      <c r="E1841" s="25" t="s">
        <v>7409</v>
      </c>
      <c r="F1841" s="17" t="s">
        <v>7410</v>
      </c>
      <c r="G1841" s="17"/>
      <c r="H1841" s="17"/>
      <c r="I1841" s="26" t="s">
        <v>7411</v>
      </c>
      <c r="L1841" s="38"/>
      <c r="N1841" s="17"/>
      <c r="O1841" s="17"/>
      <c r="P1841" s="12" t="s">
        <v>526</v>
      </c>
      <c r="Q1841" s="32"/>
      <c r="R1841" s="32"/>
      <c r="S1841" s="17"/>
      <c r="T1841" s="17" t="s">
        <v>7412</v>
      </c>
      <c r="U1841" s="17"/>
      <c r="AA1841" s="12" t="n">
        <v>9</v>
      </c>
      <c r="AB1841" s="17"/>
      <c r="AC1841" s="17"/>
      <c r="AD1841" s="17"/>
      <c r="AE1841" s="17"/>
    </row>
    <row r="1842" customFormat="false" ht="15.75" hidden="false" customHeight="false" outlineLevel="0" collapsed="false">
      <c r="A1842" s="12" t="str">
        <f aca="false">IF((AA1842&gt;=4), "Y", "N")</f>
        <v>Y</v>
      </c>
      <c r="B1842" s="13"/>
      <c r="C1842" s="57" t="s">
        <v>7413</v>
      </c>
      <c r="D1842" s="24" t="s">
        <v>51</v>
      </c>
      <c r="E1842" s="25" t="s">
        <v>7414</v>
      </c>
      <c r="F1842" s="17" t="s">
        <v>7415</v>
      </c>
      <c r="G1842" s="17"/>
      <c r="H1842" s="17"/>
      <c r="I1842" s="26" t="s">
        <v>7411</v>
      </c>
      <c r="L1842" s="38"/>
      <c r="N1842" s="17"/>
      <c r="O1842" s="17"/>
      <c r="P1842" s="12" t="s">
        <v>526</v>
      </c>
      <c r="Q1842" s="32"/>
      <c r="R1842" s="32"/>
      <c r="S1842" s="17"/>
      <c r="T1842" s="17" t="s">
        <v>7416</v>
      </c>
      <c r="U1842" s="17"/>
      <c r="AA1842" s="12" t="n">
        <v>10</v>
      </c>
      <c r="AB1842" s="17"/>
      <c r="AC1842" s="17"/>
      <c r="AD1842" s="17"/>
      <c r="AE1842" s="17"/>
    </row>
    <row r="1843" customFormat="false" ht="15.75" hidden="false" customHeight="false" outlineLevel="0" collapsed="false">
      <c r="A1843" s="12" t="str">
        <f aca="false">IF((AA1843&gt;=4), "Y", "N")</f>
        <v>Y</v>
      </c>
      <c r="B1843" s="13"/>
      <c r="C1843" s="16" t="s">
        <v>7417</v>
      </c>
      <c r="D1843" s="24" t="s">
        <v>51</v>
      </c>
      <c r="E1843" s="25" t="s">
        <v>7418</v>
      </c>
      <c r="F1843" s="17" t="s">
        <v>7419</v>
      </c>
      <c r="G1843" s="17" t="s">
        <v>7420</v>
      </c>
      <c r="H1843" s="17"/>
      <c r="I1843" s="26" t="s">
        <v>7411</v>
      </c>
      <c r="L1843" s="38"/>
      <c r="N1843" s="17"/>
      <c r="O1843" s="17"/>
      <c r="P1843" s="12" t="s">
        <v>526</v>
      </c>
      <c r="Q1843" s="32"/>
      <c r="R1843" s="32"/>
      <c r="S1843" s="17"/>
      <c r="T1843" s="17" t="s">
        <v>7421</v>
      </c>
      <c r="U1843" s="17" t="s">
        <v>7422</v>
      </c>
      <c r="AA1843" s="12" t="n">
        <v>9</v>
      </c>
      <c r="AB1843" s="17"/>
      <c r="AC1843" s="17"/>
      <c r="AD1843" s="17"/>
      <c r="AE1843" s="17"/>
    </row>
    <row r="1844" customFormat="false" ht="15.75" hidden="false" customHeight="false" outlineLevel="0" collapsed="false">
      <c r="A1844" s="12" t="str">
        <f aca="false">IF((AA1844&gt;=4), "Y", "N")</f>
        <v>Y</v>
      </c>
      <c r="B1844" s="13"/>
      <c r="C1844" s="16" t="s">
        <v>7423</v>
      </c>
      <c r="D1844" s="24" t="s">
        <v>51</v>
      </c>
      <c r="E1844" s="25" t="s">
        <v>7424</v>
      </c>
      <c r="F1844" s="17" t="s">
        <v>7425</v>
      </c>
      <c r="G1844" s="17"/>
      <c r="H1844" s="17"/>
      <c r="I1844" s="26" t="s">
        <v>7411</v>
      </c>
      <c r="L1844" s="38"/>
      <c r="N1844" s="17"/>
      <c r="O1844" s="17"/>
      <c r="P1844" s="12" t="s">
        <v>526</v>
      </c>
      <c r="Q1844" s="32"/>
      <c r="R1844" s="32" t="s">
        <v>7426</v>
      </c>
      <c r="S1844" s="17"/>
      <c r="T1844" s="17" t="s">
        <v>7427</v>
      </c>
      <c r="U1844" s="17"/>
      <c r="AA1844" s="12" t="n">
        <v>10</v>
      </c>
      <c r="AB1844" s="17"/>
      <c r="AC1844" s="17"/>
      <c r="AD1844" s="17"/>
      <c r="AE1844" s="17"/>
    </row>
    <row r="1845" customFormat="false" ht="15.75" hidden="false" customHeight="false" outlineLevel="0" collapsed="false">
      <c r="A1845" s="12" t="str">
        <f aca="false">IF((AA1845&gt;=4), "Y", "N")</f>
        <v>Y</v>
      </c>
      <c r="B1845" s="13"/>
      <c r="C1845" s="16" t="s">
        <v>7428</v>
      </c>
      <c r="D1845" s="24" t="s">
        <v>51</v>
      </c>
      <c r="E1845" s="25" t="s">
        <v>7429</v>
      </c>
      <c r="F1845" s="17" t="s">
        <v>7430</v>
      </c>
      <c r="G1845" s="17"/>
      <c r="H1845" s="17"/>
      <c r="I1845" s="26" t="s">
        <v>7370</v>
      </c>
      <c r="L1845" s="38"/>
      <c r="N1845" s="17"/>
      <c r="O1845" s="17"/>
      <c r="P1845" s="12" t="s">
        <v>526</v>
      </c>
      <c r="Q1845" s="32"/>
      <c r="R1845" s="32"/>
      <c r="S1845" s="17"/>
      <c r="T1845" s="17" t="s">
        <v>7431</v>
      </c>
      <c r="U1845" s="17" t="s">
        <v>7432</v>
      </c>
      <c r="AA1845" s="12" t="n">
        <v>8</v>
      </c>
      <c r="AB1845" s="17"/>
      <c r="AC1845" s="17"/>
      <c r="AD1845" s="17"/>
      <c r="AE1845" s="17"/>
    </row>
    <row r="1846" customFormat="false" ht="15.75" hidden="false" customHeight="false" outlineLevel="0" collapsed="false">
      <c r="A1846" s="12" t="str">
        <f aca="false">IF((AA1846&gt;=4), "Y", "N")</f>
        <v>Y</v>
      </c>
      <c r="B1846" s="13"/>
      <c r="C1846" s="16" t="s">
        <v>7433</v>
      </c>
      <c r="D1846" s="24" t="s">
        <v>51</v>
      </c>
      <c r="E1846" s="25" t="s">
        <v>7434</v>
      </c>
      <c r="F1846" s="17" t="s">
        <v>7435</v>
      </c>
      <c r="G1846" s="17" t="s">
        <v>7420</v>
      </c>
      <c r="H1846" s="17"/>
      <c r="I1846" s="26" t="s">
        <v>7411</v>
      </c>
      <c r="L1846" s="38"/>
      <c r="N1846" s="17"/>
      <c r="O1846" s="17"/>
      <c r="P1846" s="12" t="s">
        <v>526</v>
      </c>
      <c r="Q1846" s="32"/>
      <c r="R1846" s="32"/>
      <c r="S1846" s="17"/>
      <c r="T1846" s="17" t="s">
        <v>7436</v>
      </c>
      <c r="U1846" s="17" t="s">
        <v>7437</v>
      </c>
      <c r="AA1846" s="12" t="n">
        <v>8</v>
      </c>
      <c r="AB1846" s="17"/>
      <c r="AC1846" s="17"/>
      <c r="AD1846" s="17"/>
      <c r="AE1846" s="17"/>
    </row>
    <row r="1847" customFormat="false" ht="15.75" hidden="false" customHeight="false" outlineLevel="0" collapsed="false">
      <c r="A1847" s="12"/>
      <c r="B1847" s="13"/>
      <c r="C1847" s="16" t="s">
        <v>7438</v>
      </c>
      <c r="D1847" s="24" t="s">
        <v>51</v>
      </c>
      <c r="E1847" s="25" t="s">
        <v>7439</v>
      </c>
      <c r="F1847" s="17" t="s">
        <v>7440</v>
      </c>
      <c r="G1847" s="17" t="s">
        <v>7441</v>
      </c>
      <c r="H1847" s="17"/>
      <c r="I1847" s="26" t="s">
        <v>7411</v>
      </c>
      <c r="J1847" s="47" t="s">
        <v>4416</v>
      </c>
      <c r="L1847" s="38"/>
      <c r="M1847" s="47" t="s">
        <v>57</v>
      </c>
      <c r="N1847" s="17"/>
      <c r="O1847" s="17"/>
      <c r="P1847" s="12" t="s">
        <v>526</v>
      </c>
      <c r="Q1847" s="32"/>
      <c r="R1847" s="32"/>
      <c r="S1847" s="17"/>
      <c r="T1847" s="25" t="s">
        <v>7442</v>
      </c>
      <c r="U1847" s="17"/>
      <c r="AA1847" s="12" t="n">
        <v>3</v>
      </c>
      <c r="AB1847" s="17" t="s">
        <v>7443</v>
      </c>
      <c r="AC1847" s="17"/>
      <c r="AD1847" s="17"/>
      <c r="AE1847" s="17"/>
    </row>
    <row r="1848" customFormat="false" ht="15.75" hidden="false" customHeight="false" outlineLevel="0" collapsed="false">
      <c r="A1848" s="12" t="str">
        <f aca="false">IF((AA1848&gt;=4), "Y", "N")</f>
        <v>Y</v>
      </c>
      <c r="B1848" s="13" t="s">
        <v>49</v>
      </c>
      <c r="C1848" s="57" t="s">
        <v>7444</v>
      </c>
      <c r="D1848" s="24" t="s">
        <v>51</v>
      </c>
      <c r="E1848" s="25" t="s">
        <v>7445</v>
      </c>
      <c r="F1848" s="17" t="s">
        <v>7446</v>
      </c>
      <c r="G1848" s="17"/>
      <c r="H1848" s="17"/>
      <c r="I1848" s="26" t="s">
        <v>7447</v>
      </c>
      <c r="J1848" s="47" t="s">
        <v>3260</v>
      </c>
      <c r="L1848" s="38"/>
      <c r="M1848" s="47" t="s">
        <v>57</v>
      </c>
      <c r="N1848" s="17"/>
      <c r="O1848" s="17"/>
      <c r="P1848" s="12" t="s">
        <v>526</v>
      </c>
      <c r="Q1848" s="32"/>
      <c r="R1848" s="32"/>
      <c r="S1848" s="17"/>
      <c r="T1848" s="17" t="s">
        <v>7448</v>
      </c>
      <c r="U1848" s="17" t="s">
        <v>7449</v>
      </c>
      <c r="AA1848" s="12" t="n">
        <v>8</v>
      </c>
      <c r="AB1848" s="17"/>
      <c r="AC1848" s="17"/>
      <c r="AD1848" s="17"/>
      <c r="AE1848" s="17"/>
    </row>
    <row r="1849" customFormat="false" ht="15.75" hidden="false" customHeight="false" outlineLevel="0" collapsed="false">
      <c r="A1849" s="12" t="str">
        <f aca="false">IF((AA1849&gt;=4), "Y", "N")</f>
        <v>Y</v>
      </c>
      <c r="B1849" s="13" t="s">
        <v>49</v>
      </c>
      <c r="C1849" s="16" t="s">
        <v>7450</v>
      </c>
      <c r="D1849" s="24" t="s">
        <v>61</v>
      </c>
      <c r="E1849" s="25" t="s">
        <v>7451</v>
      </c>
      <c r="F1849" s="17" t="s">
        <v>7452</v>
      </c>
      <c r="G1849" s="17" t="s">
        <v>7387</v>
      </c>
      <c r="H1849" s="17"/>
      <c r="I1849" s="26" t="s">
        <v>7370</v>
      </c>
      <c r="J1849" s="47" t="s">
        <v>1816</v>
      </c>
      <c r="L1849" s="38"/>
      <c r="M1849" s="47" t="s">
        <v>74</v>
      </c>
      <c r="N1849" s="17"/>
      <c r="O1849" s="17"/>
      <c r="P1849" s="12" t="s">
        <v>526</v>
      </c>
      <c r="Q1849" s="32"/>
      <c r="R1849" s="32" t="s">
        <v>7453</v>
      </c>
      <c r="S1849" s="17"/>
      <c r="T1849" s="17" t="s">
        <v>7454</v>
      </c>
      <c r="U1849" s="17" t="s">
        <v>7455</v>
      </c>
      <c r="AA1849" s="12" t="n">
        <v>8</v>
      </c>
      <c r="AB1849" s="17"/>
      <c r="AC1849" s="17"/>
      <c r="AD1849" s="17"/>
      <c r="AE1849" s="17"/>
    </row>
    <row r="1850" customFormat="false" ht="15.75" hidden="false" customHeight="false" outlineLevel="0" collapsed="false">
      <c r="A1850" s="12" t="str">
        <f aca="false">IF((AA1850&gt;=4), "Y", "N")</f>
        <v>Y</v>
      </c>
      <c r="B1850" s="13" t="s">
        <v>49</v>
      </c>
      <c r="C1850" s="16" t="s">
        <v>7456</v>
      </c>
      <c r="D1850" s="24" t="s">
        <v>61</v>
      </c>
      <c r="E1850" s="25" t="s">
        <v>7457</v>
      </c>
      <c r="F1850" s="17" t="s">
        <v>7458</v>
      </c>
      <c r="G1850" s="17"/>
      <c r="H1850" s="17"/>
      <c r="I1850" s="26" t="s">
        <v>7370</v>
      </c>
      <c r="J1850" s="47" t="s">
        <v>611</v>
      </c>
      <c r="L1850" s="38"/>
      <c r="M1850" s="47" t="s">
        <v>57</v>
      </c>
      <c r="N1850" s="17"/>
      <c r="O1850" s="17"/>
      <c r="P1850" s="12" t="s">
        <v>526</v>
      </c>
      <c r="Q1850" s="32"/>
      <c r="R1850" s="32" t="s">
        <v>7459</v>
      </c>
      <c r="S1850" s="17"/>
      <c r="T1850" s="17" t="s">
        <v>7460</v>
      </c>
      <c r="U1850" s="17" t="s">
        <v>7461</v>
      </c>
      <c r="AA1850" s="12" t="n">
        <v>8</v>
      </c>
      <c r="AB1850" s="17"/>
      <c r="AC1850" s="17"/>
      <c r="AD1850" s="17"/>
      <c r="AE1850" s="17"/>
    </row>
    <row r="1851" customFormat="false" ht="15.75" hidden="false" customHeight="false" outlineLevel="0" collapsed="false">
      <c r="A1851" s="12" t="str">
        <f aca="false">IF((AA1851&gt;=4), "Y", "N")</f>
        <v>Y</v>
      </c>
      <c r="B1851" s="13" t="s">
        <v>49</v>
      </c>
      <c r="C1851" s="16" t="s">
        <v>7462</v>
      </c>
      <c r="D1851" s="24" t="s">
        <v>61</v>
      </c>
      <c r="E1851" s="25" t="s">
        <v>7463</v>
      </c>
      <c r="F1851" s="17" t="s">
        <v>7464</v>
      </c>
      <c r="G1851" s="17"/>
      <c r="H1851" s="17"/>
      <c r="I1851" s="26" t="s">
        <v>7370</v>
      </c>
      <c r="J1851" s="47" t="s">
        <v>611</v>
      </c>
      <c r="L1851" s="38"/>
      <c r="M1851" s="47" t="s">
        <v>147</v>
      </c>
      <c r="N1851" s="17"/>
      <c r="O1851" s="17"/>
      <c r="P1851" s="12" t="s">
        <v>526</v>
      </c>
      <c r="Q1851" s="32"/>
      <c r="R1851" s="32" t="s">
        <v>7465</v>
      </c>
      <c r="S1851" s="17"/>
      <c r="T1851" s="17" t="s">
        <v>7466</v>
      </c>
      <c r="U1851" s="17"/>
      <c r="AA1851" s="12" t="n">
        <v>10</v>
      </c>
      <c r="AB1851" s="17"/>
      <c r="AC1851" s="17"/>
      <c r="AD1851" s="17"/>
      <c r="AE1851" s="17"/>
    </row>
    <row r="1852" customFormat="false" ht="15.75" hidden="false" customHeight="false" outlineLevel="0" collapsed="false">
      <c r="A1852" s="12" t="str">
        <f aca="false">IF((AA1852&gt;=4), "Y", "N")</f>
        <v>Y</v>
      </c>
      <c r="B1852" s="13" t="s">
        <v>49</v>
      </c>
      <c r="C1852" s="16" t="s">
        <v>7467</v>
      </c>
      <c r="D1852" s="24" t="s">
        <v>61</v>
      </c>
      <c r="E1852" s="25" t="s">
        <v>7468</v>
      </c>
      <c r="F1852" s="17" t="s">
        <v>7469</v>
      </c>
      <c r="G1852" s="17"/>
      <c r="H1852" s="17"/>
      <c r="I1852" s="26" t="s">
        <v>7411</v>
      </c>
      <c r="J1852" s="47" t="s">
        <v>1816</v>
      </c>
      <c r="L1852" s="38"/>
      <c r="M1852" s="47" t="s">
        <v>57</v>
      </c>
      <c r="N1852" s="17"/>
      <c r="O1852" s="17"/>
      <c r="P1852" s="12" t="s">
        <v>526</v>
      </c>
      <c r="Q1852" s="32"/>
      <c r="R1852" s="32" t="s">
        <v>7470</v>
      </c>
      <c r="S1852" s="17"/>
      <c r="T1852" s="17" t="s">
        <v>7471</v>
      </c>
      <c r="U1852" s="17" t="s">
        <v>7472</v>
      </c>
      <c r="AA1852" s="12" t="n">
        <v>10</v>
      </c>
      <c r="AB1852" s="17"/>
      <c r="AC1852" s="17"/>
      <c r="AD1852" s="17"/>
      <c r="AE1852" s="17"/>
    </row>
    <row r="1853" customFormat="false" ht="15.75" hidden="false" customHeight="false" outlineLevel="0" collapsed="false">
      <c r="A1853" s="12" t="str">
        <f aca="false">IF((AA1853&gt;=4), "Y", "N")</f>
        <v>Y</v>
      </c>
      <c r="B1853" s="13" t="s">
        <v>49</v>
      </c>
      <c r="C1853" s="16" t="s">
        <v>7473</v>
      </c>
      <c r="D1853" s="24" t="s">
        <v>61</v>
      </c>
      <c r="E1853" s="25" t="s">
        <v>7474</v>
      </c>
      <c r="F1853" s="17" t="s">
        <v>7475</v>
      </c>
      <c r="G1853" s="17" t="s">
        <v>7476</v>
      </c>
      <c r="H1853" s="17"/>
      <c r="I1853" s="26" t="s">
        <v>7411</v>
      </c>
      <c r="J1853" s="47" t="s">
        <v>3260</v>
      </c>
      <c r="L1853" s="38"/>
      <c r="M1853" s="47" t="s">
        <v>74</v>
      </c>
      <c r="N1853" s="17"/>
      <c r="O1853" s="17"/>
      <c r="P1853" s="12" t="s">
        <v>526</v>
      </c>
      <c r="Q1853" s="32"/>
      <c r="R1853" s="32" t="s">
        <v>7477</v>
      </c>
      <c r="S1853" s="17"/>
      <c r="T1853" s="17" t="s">
        <v>7478</v>
      </c>
      <c r="U1853" s="17" t="s">
        <v>7479</v>
      </c>
      <c r="AA1853" s="12" t="n">
        <v>8</v>
      </c>
      <c r="AB1853" s="17"/>
      <c r="AC1853" s="17"/>
      <c r="AD1853" s="17"/>
      <c r="AE1853" s="17"/>
    </row>
    <row r="1854" customFormat="false" ht="15.75" hidden="false" customHeight="false" outlineLevel="0" collapsed="false">
      <c r="A1854" s="12" t="str">
        <f aca="false">IF((AA1854&gt;=4), "Y", "N")</f>
        <v>Y</v>
      </c>
      <c r="B1854" s="13" t="s">
        <v>49</v>
      </c>
      <c r="C1854" s="16" t="s">
        <v>7480</v>
      </c>
      <c r="D1854" s="24" t="s">
        <v>61</v>
      </c>
      <c r="E1854" s="25" t="s">
        <v>7481</v>
      </c>
      <c r="F1854" s="17" t="s">
        <v>7482</v>
      </c>
      <c r="G1854" s="17" t="s">
        <v>7420</v>
      </c>
      <c r="H1854" s="17"/>
      <c r="I1854" s="26" t="s">
        <v>7411</v>
      </c>
      <c r="J1854" s="47" t="s">
        <v>3260</v>
      </c>
      <c r="L1854" s="38"/>
      <c r="M1854" s="47" t="s">
        <v>57</v>
      </c>
      <c r="N1854" s="17"/>
      <c r="O1854" s="17"/>
      <c r="P1854" s="12" t="s">
        <v>526</v>
      </c>
      <c r="Q1854" s="32"/>
      <c r="R1854" s="32" t="s">
        <v>7483</v>
      </c>
      <c r="S1854" s="17"/>
      <c r="T1854" s="17" t="s">
        <v>7484</v>
      </c>
      <c r="U1854" s="17"/>
      <c r="AA1854" s="12" t="n">
        <v>8</v>
      </c>
      <c r="AB1854" s="17"/>
      <c r="AC1854" s="17"/>
      <c r="AD1854" s="17"/>
      <c r="AE1854" s="17"/>
    </row>
    <row r="1855" customFormat="false" ht="15.75" hidden="false" customHeight="false" outlineLevel="0" collapsed="false">
      <c r="A1855" s="12"/>
      <c r="B1855" s="13"/>
      <c r="C1855" s="16" t="s">
        <v>7485</v>
      </c>
      <c r="D1855" s="16" t="s">
        <v>620</v>
      </c>
      <c r="E1855" s="25" t="s">
        <v>7486</v>
      </c>
      <c r="F1855" s="17"/>
      <c r="G1855" s="17"/>
      <c r="H1855" s="17"/>
      <c r="I1855" s="17"/>
      <c r="J1855" s="32"/>
      <c r="K1855" s="17"/>
      <c r="L1855" s="38"/>
      <c r="M1855" s="17"/>
      <c r="N1855" s="17"/>
      <c r="O1855" s="17"/>
      <c r="P1855" s="59" t="s">
        <v>3105</v>
      </c>
      <c r="Q1855" s="12"/>
      <c r="R1855" s="12"/>
      <c r="S1855" s="12"/>
      <c r="T1855" s="12"/>
      <c r="U1855" s="12"/>
      <c r="V1855" s="12"/>
      <c r="Z1855" s="12"/>
      <c r="AA1855" s="12" t="n">
        <v>0</v>
      </c>
      <c r="AB1855" s="12"/>
      <c r="AC1855" s="12"/>
      <c r="AD1855" s="12"/>
      <c r="AE1855" s="12"/>
    </row>
    <row r="1856" customFormat="false" ht="15.75" hidden="false" customHeight="false" outlineLevel="0" collapsed="false">
      <c r="A1856" s="12"/>
      <c r="B1856" s="13"/>
      <c r="C1856" s="16" t="s">
        <v>7487</v>
      </c>
      <c r="D1856" s="16" t="s">
        <v>620</v>
      </c>
      <c r="E1856" s="17"/>
      <c r="F1856" s="17"/>
      <c r="G1856" s="17"/>
      <c r="H1856" s="17"/>
      <c r="I1856" s="17" t="s">
        <v>36</v>
      </c>
      <c r="J1856" s="32"/>
      <c r="K1856" s="17"/>
      <c r="L1856" s="38"/>
      <c r="M1856" s="17"/>
      <c r="N1856" s="17"/>
      <c r="O1856" s="17"/>
      <c r="P1856" s="59" t="s">
        <v>3105</v>
      </c>
      <c r="Q1856" s="12"/>
      <c r="R1856" s="12"/>
      <c r="S1856" s="12"/>
      <c r="T1856" s="12"/>
      <c r="U1856" s="12"/>
      <c r="V1856" s="12"/>
      <c r="Z1856" s="12"/>
      <c r="AA1856" s="12"/>
      <c r="AB1856" s="12"/>
      <c r="AC1856" s="12"/>
      <c r="AD1856" s="12"/>
      <c r="AE1856" s="12"/>
    </row>
    <row r="1857" customFormat="false" ht="15.75" hidden="false" customHeight="false" outlineLevel="0" collapsed="false">
      <c r="A1857" s="12"/>
      <c r="B1857" s="13"/>
      <c r="C1857" s="16" t="s">
        <v>7488</v>
      </c>
      <c r="D1857" s="16" t="s">
        <v>620</v>
      </c>
      <c r="E1857" s="17"/>
      <c r="F1857" s="17"/>
      <c r="G1857" s="17"/>
      <c r="H1857" s="17"/>
      <c r="I1857" s="17"/>
      <c r="J1857" s="32"/>
      <c r="K1857" s="17"/>
      <c r="L1857" s="38"/>
      <c r="M1857" s="17"/>
      <c r="N1857" s="17"/>
      <c r="O1857" s="17"/>
      <c r="P1857" s="59" t="s">
        <v>3105</v>
      </c>
      <c r="Q1857" s="12"/>
      <c r="R1857" s="12"/>
      <c r="S1857" s="12"/>
      <c r="T1857" s="12"/>
      <c r="U1857" s="12"/>
      <c r="V1857" s="12"/>
      <c r="Z1857" s="12"/>
      <c r="AA1857" s="12" t="n">
        <v>0</v>
      </c>
      <c r="AB1857" s="12" t="s">
        <v>7489</v>
      </c>
      <c r="AC1857" s="12"/>
      <c r="AD1857" s="12"/>
      <c r="AE1857" s="12"/>
    </row>
    <row r="1858" customFormat="false" ht="15.75" hidden="false" customHeight="false" outlineLevel="0" collapsed="false">
      <c r="A1858" s="12"/>
      <c r="B1858" s="13"/>
      <c r="C1858" s="16" t="s">
        <v>7490</v>
      </c>
      <c r="D1858" s="16" t="s">
        <v>620</v>
      </c>
      <c r="E1858" s="17"/>
      <c r="F1858" s="17"/>
      <c r="G1858" s="17"/>
      <c r="H1858" s="17"/>
      <c r="I1858" s="17"/>
      <c r="J1858" s="32"/>
      <c r="K1858" s="17"/>
      <c r="L1858" s="38"/>
      <c r="M1858" s="17"/>
      <c r="N1858" s="17"/>
      <c r="O1858" s="17"/>
      <c r="P1858" s="59" t="s">
        <v>3105</v>
      </c>
      <c r="Q1858" s="12"/>
      <c r="R1858" s="12"/>
      <c r="S1858" s="12"/>
      <c r="T1858" s="12"/>
      <c r="U1858" s="12"/>
      <c r="V1858" s="12"/>
      <c r="Z1858" s="12"/>
      <c r="AA1858" s="12"/>
      <c r="AB1858" s="12" t="s">
        <v>7489</v>
      </c>
      <c r="AC1858" s="12"/>
      <c r="AD1858" s="12"/>
      <c r="AE1858" s="12"/>
    </row>
    <row r="1859" customFormat="false" ht="15.75" hidden="false" customHeight="false" outlineLevel="0" collapsed="false">
      <c r="A1859" s="12" t="str">
        <f aca="false">IF((AA1859&gt;=4), "Y", "N")</f>
        <v>Y</v>
      </c>
      <c r="B1859" s="13" t="s">
        <v>49</v>
      </c>
      <c r="C1859" s="16" t="s">
        <v>7491</v>
      </c>
      <c r="D1859" s="16" t="s">
        <v>620</v>
      </c>
      <c r="E1859" s="25" t="s">
        <v>7492</v>
      </c>
      <c r="F1859" s="98" t="s">
        <v>7493</v>
      </c>
      <c r="G1859" s="17"/>
      <c r="H1859" s="17"/>
      <c r="I1859" s="26" t="s">
        <v>557</v>
      </c>
      <c r="J1859" s="32" t="s">
        <v>3260</v>
      </c>
      <c r="K1859" s="17"/>
      <c r="L1859" s="38"/>
      <c r="M1859" s="17" t="s">
        <v>58</v>
      </c>
      <c r="N1859" s="17"/>
      <c r="O1859" s="17"/>
      <c r="P1859" s="59" t="s">
        <v>3105</v>
      </c>
      <c r="Q1859" s="12"/>
      <c r="R1859" s="12"/>
      <c r="S1859" s="12"/>
      <c r="T1859" s="12"/>
      <c r="U1859" s="12"/>
      <c r="V1859" s="12"/>
      <c r="Z1859" s="12"/>
      <c r="AA1859" s="12" t="n">
        <v>5</v>
      </c>
      <c r="AB1859" s="12"/>
      <c r="AC1859" s="12"/>
      <c r="AD1859" s="12"/>
      <c r="AE1859" s="12"/>
    </row>
    <row r="1860" customFormat="false" ht="15.75" hidden="false" customHeight="false" outlineLevel="0" collapsed="false">
      <c r="A1860" s="12"/>
      <c r="B1860" s="13"/>
      <c r="C1860" s="16"/>
      <c r="D1860" s="24"/>
      <c r="E1860" s="17"/>
      <c r="F1860" s="17"/>
      <c r="G1860" s="17"/>
      <c r="H1860" s="17"/>
      <c r="I1860" s="17"/>
      <c r="J1860" s="32"/>
      <c r="K1860" s="17"/>
      <c r="L1860" s="38"/>
      <c r="M1860" s="17"/>
      <c r="N1860" s="17"/>
      <c r="O1860" s="17"/>
      <c r="P1860" s="59" t="s">
        <v>185</v>
      </c>
      <c r="Q1860" s="12"/>
      <c r="R1860" s="12"/>
      <c r="S1860" s="12"/>
      <c r="T1860" s="12"/>
      <c r="U1860" s="12"/>
      <c r="V1860" s="12"/>
      <c r="Z1860" s="12"/>
      <c r="AA1860" s="12"/>
      <c r="AB1860" s="12"/>
      <c r="AC1860" s="12"/>
      <c r="AD1860" s="12"/>
      <c r="AE1860" s="12"/>
    </row>
    <row r="1861" customFormat="false" ht="15.75" hidden="false" customHeight="false" outlineLevel="0" collapsed="false">
      <c r="A1861" s="12"/>
      <c r="B1861" s="13"/>
      <c r="C1861" s="16" t="s">
        <v>7494</v>
      </c>
      <c r="D1861" s="16" t="s">
        <v>620</v>
      </c>
      <c r="E1861" s="25" t="s">
        <v>7495</v>
      </c>
      <c r="F1861" s="17" t="s">
        <v>7496</v>
      </c>
      <c r="G1861" s="17"/>
      <c r="H1861" s="17"/>
      <c r="I1861" s="17"/>
      <c r="J1861" s="32"/>
      <c r="K1861" s="17"/>
      <c r="L1861" s="38"/>
      <c r="M1861" s="17"/>
      <c r="N1861" s="17"/>
      <c r="O1861" s="17"/>
      <c r="P1861" s="59" t="s">
        <v>185</v>
      </c>
      <c r="Q1861" s="12"/>
      <c r="R1861" s="12"/>
      <c r="S1861" s="12"/>
      <c r="T1861" s="12"/>
      <c r="U1861" s="12"/>
      <c r="V1861" s="12"/>
      <c r="Z1861" s="12"/>
      <c r="AA1861" s="12" t="n">
        <v>1</v>
      </c>
      <c r="AB1861" s="12"/>
      <c r="AC1861" s="12"/>
      <c r="AD1861" s="12"/>
      <c r="AE1861" s="12"/>
    </row>
    <row r="1862" customFormat="false" ht="15.75" hidden="false" customHeight="false" outlineLevel="0" collapsed="false">
      <c r="A1862" s="12" t="str">
        <f aca="false">IF((AA1862&gt;=4), "Y", "N")</f>
        <v>Y</v>
      </c>
      <c r="B1862" s="13" t="s">
        <v>49</v>
      </c>
      <c r="C1862" s="16" t="s">
        <v>7497</v>
      </c>
      <c r="D1862" s="24" t="s">
        <v>51</v>
      </c>
      <c r="E1862" s="25" t="s">
        <v>7498</v>
      </c>
      <c r="F1862" s="17" t="s">
        <v>7499</v>
      </c>
      <c r="G1862" s="17" t="s">
        <v>476</v>
      </c>
      <c r="H1862" s="17" t="s">
        <v>477</v>
      </c>
      <c r="I1862" s="17" t="s">
        <v>36</v>
      </c>
      <c r="J1862" s="32" t="s">
        <v>3260</v>
      </c>
      <c r="K1862" s="17" t="n">
        <v>1978</v>
      </c>
      <c r="L1862" s="38"/>
      <c r="M1862" s="17" t="s">
        <v>74</v>
      </c>
      <c r="N1862" s="17"/>
      <c r="O1862" s="17"/>
      <c r="P1862" s="59" t="s">
        <v>185</v>
      </c>
      <c r="Q1862" s="12"/>
      <c r="R1862" s="12"/>
      <c r="S1862" s="12"/>
      <c r="T1862" s="12"/>
      <c r="U1862" s="12"/>
      <c r="V1862" s="12"/>
      <c r="Z1862" s="12"/>
      <c r="AA1862" s="12" t="n">
        <v>4</v>
      </c>
      <c r="AB1862" s="12" t="s">
        <v>7500</v>
      </c>
      <c r="AC1862" s="12"/>
      <c r="AD1862" s="12"/>
      <c r="AE1862" s="12"/>
    </row>
    <row r="1863" customFormat="false" ht="15.75" hidden="false" customHeight="false" outlineLevel="0" collapsed="false">
      <c r="A1863" s="12"/>
      <c r="B1863" s="13"/>
      <c r="C1863" s="16" t="s">
        <v>7501</v>
      </c>
      <c r="D1863" s="24"/>
      <c r="E1863" s="17"/>
      <c r="F1863" s="17"/>
      <c r="G1863" s="17"/>
      <c r="H1863" s="17"/>
      <c r="I1863" s="17"/>
      <c r="J1863" s="32"/>
      <c r="K1863" s="17"/>
      <c r="L1863" s="38"/>
      <c r="M1863" s="17"/>
      <c r="N1863" s="17"/>
      <c r="O1863" s="17"/>
      <c r="P1863" s="59" t="s">
        <v>185</v>
      </c>
      <c r="Q1863" s="12"/>
      <c r="R1863" s="12"/>
      <c r="S1863" s="12"/>
      <c r="T1863" s="12"/>
      <c r="U1863" s="12"/>
      <c r="V1863" s="12"/>
      <c r="Z1863" s="12"/>
      <c r="AA1863" s="12"/>
      <c r="AB1863" s="12"/>
      <c r="AC1863" s="12"/>
      <c r="AD1863" s="12"/>
      <c r="AE1863" s="12"/>
    </row>
    <row r="1864" customFormat="false" ht="15.75" hidden="false" customHeight="false" outlineLevel="0" collapsed="false">
      <c r="A1864" s="12" t="s">
        <v>135</v>
      </c>
      <c r="B1864" s="13" t="s">
        <v>32</v>
      </c>
      <c r="C1864" s="16" t="s">
        <v>3107</v>
      </c>
      <c r="D1864" s="24" t="s">
        <v>620</v>
      </c>
      <c r="E1864" s="25" t="s">
        <v>3108</v>
      </c>
      <c r="F1864" s="17"/>
      <c r="G1864" s="17" t="s">
        <v>478</v>
      </c>
      <c r="H1864" s="17" t="s">
        <v>478</v>
      </c>
      <c r="I1864" s="26" t="s">
        <v>610</v>
      </c>
      <c r="K1864" s="17"/>
      <c r="L1864" s="38"/>
      <c r="M1864" s="17"/>
      <c r="N1864" s="17" t="s">
        <v>7502</v>
      </c>
      <c r="O1864" s="17" t="s">
        <v>7503</v>
      </c>
      <c r="P1864" s="12" t="s">
        <v>526</v>
      </c>
      <c r="Q1864" s="12"/>
      <c r="R1864" s="12"/>
      <c r="S1864" s="12"/>
      <c r="T1864" s="12"/>
      <c r="U1864" s="12"/>
      <c r="V1864" s="12"/>
      <c r="Z1864" s="12"/>
      <c r="AA1864" s="12" t="n">
        <v>5</v>
      </c>
      <c r="AB1864" s="12" t="s">
        <v>7504</v>
      </c>
      <c r="AC1864" s="12"/>
      <c r="AD1864" s="12"/>
      <c r="AE1864" s="12"/>
    </row>
    <row r="1865" customFormat="false" ht="15.75" hidden="false" customHeight="false" outlineLevel="0" collapsed="false">
      <c r="A1865" s="12"/>
      <c r="B1865" s="13"/>
      <c r="C1865" s="16" t="s">
        <v>7505</v>
      </c>
      <c r="D1865" s="24" t="s">
        <v>51</v>
      </c>
      <c r="E1865" s="25" t="s">
        <v>7506</v>
      </c>
      <c r="F1865" s="17" t="s">
        <v>7507</v>
      </c>
      <c r="G1865" s="17" t="s">
        <v>183</v>
      </c>
      <c r="H1865" s="17"/>
      <c r="I1865" s="26" t="s">
        <v>7508</v>
      </c>
      <c r="J1865" s="32"/>
      <c r="K1865" s="17" t="n">
        <v>2011</v>
      </c>
      <c r="L1865" s="38"/>
      <c r="M1865" s="17"/>
      <c r="N1865" s="17"/>
      <c r="O1865" s="17"/>
      <c r="P1865" s="59" t="s">
        <v>185</v>
      </c>
      <c r="Q1865" s="12"/>
      <c r="R1865" s="12"/>
      <c r="S1865" s="12"/>
      <c r="T1865" s="12" t="s">
        <v>7509</v>
      </c>
      <c r="U1865" s="12"/>
      <c r="V1865" s="12"/>
      <c r="Z1865" s="12"/>
      <c r="AA1865" s="12" t="n">
        <v>2</v>
      </c>
      <c r="AB1865" s="12"/>
      <c r="AC1865" s="12"/>
      <c r="AD1865" s="12"/>
      <c r="AE1865" s="12"/>
    </row>
    <row r="1866" customFormat="false" ht="15.75" hidden="false" customHeight="false" outlineLevel="0" collapsed="false">
      <c r="A1866" s="12"/>
      <c r="B1866" s="13"/>
      <c r="C1866" s="16" t="s">
        <v>7510</v>
      </c>
      <c r="D1866" s="24" t="s">
        <v>51</v>
      </c>
      <c r="E1866" s="25" t="s">
        <v>7511</v>
      </c>
      <c r="F1866" s="17" t="s">
        <v>7512</v>
      </c>
      <c r="G1866" s="17" t="s">
        <v>183</v>
      </c>
      <c r="H1866" s="17"/>
      <c r="I1866" s="26" t="s">
        <v>3234</v>
      </c>
      <c r="J1866" s="32"/>
      <c r="K1866" s="17"/>
      <c r="L1866" s="38"/>
      <c r="M1866" s="17"/>
      <c r="N1866" s="17"/>
      <c r="O1866" s="17"/>
      <c r="P1866" s="59" t="s">
        <v>185</v>
      </c>
      <c r="Q1866" s="12"/>
      <c r="R1866" s="12"/>
      <c r="S1866" s="12"/>
      <c r="T1866" s="12" t="s">
        <v>7513</v>
      </c>
      <c r="U1866" s="12"/>
      <c r="V1866" s="12"/>
      <c r="Z1866" s="12"/>
      <c r="AA1866" s="12" t="n">
        <v>2</v>
      </c>
      <c r="AB1866" s="12"/>
      <c r="AC1866" s="12"/>
      <c r="AD1866" s="12"/>
      <c r="AE1866" s="12"/>
    </row>
    <row r="1867" customFormat="false" ht="15.75" hidden="false" customHeight="false" outlineLevel="0" collapsed="false">
      <c r="A1867" s="12" t="str">
        <f aca="false">IF((AA1867&gt;=4), "Y", "N")</f>
        <v>Y</v>
      </c>
      <c r="B1867" s="74"/>
      <c r="C1867" s="26" t="s">
        <v>7514</v>
      </c>
      <c r="D1867" s="24"/>
      <c r="E1867" s="17"/>
      <c r="F1867" s="17"/>
      <c r="G1867" s="17"/>
      <c r="H1867" s="17"/>
      <c r="I1867" s="26" t="s">
        <v>209</v>
      </c>
      <c r="J1867" s="32"/>
      <c r="K1867" s="17"/>
      <c r="L1867" s="38"/>
      <c r="M1867" s="17"/>
      <c r="N1867" s="17"/>
      <c r="O1867" s="17"/>
      <c r="P1867" s="59" t="s">
        <v>7515</v>
      </c>
      <c r="Q1867" s="12"/>
      <c r="R1867" s="12"/>
      <c r="S1867" s="12"/>
      <c r="T1867" s="12"/>
      <c r="U1867" s="12"/>
      <c r="V1867" s="12"/>
      <c r="Z1867" s="12"/>
      <c r="AA1867" s="12" t="n">
        <v>5</v>
      </c>
      <c r="AB1867" s="12"/>
      <c r="AC1867" s="12"/>
      <c r="AD1867" s="12"/>
      <c r="AE1867" s="12"/>
    </row>
    <row r="1868" customFormat="false" ht="15.75" hidden="false" customHeight="false" outlineLevel="0" collapsed="false">
      <c r="A1868" s="12" t="str">
        <f aca="false">IF((AA1868&gt;=4), "Y", "N")</f>
        <v>Y</v>
      </c>
      <c r="B1868" s="74"/>
      <c r="C1868" s="26" t="s">
        <v>7516</v>
      </c>
      <c r="D1868" s="24"/>
      <c r="E1868" s="17"/>
      <c r="F1868" s="17"/>
      <c r="G1868" s="17"/>
      <c r="H1868" s="17"/>
      <c r="I1868" s="26" t="s">
        <v>209</v>
      </c>
      <c r="J1868" s="32"/>
      <c r="K1868" s="17"/>
      <c r="L1868" s="38"/>
      <c r="M1868" s="17"/>
      <c r="N1868" s="17"/>
      <c r="O1868" s="17"/>
      <c r="P1868" s="59" t="s">
        <v>7515</v>
      </c>
      <c r="Q1868" s="12"/>
      <c r="R1868" s="12"/>
      <c r="S1868" s="12"/>
      <c r="T1868" s="12"/>
      <c r="U1868" s="12"/>
      <c r="V1868" s="12"/>
      <c r="Z1868" s="12"/>
      <c r="AA1868" s="12" t="n">
        <v>5</v>
      </c>
      <c r="AB1868" s="12"/>
      <c r="AC1868" s="12"/>
      <c r="AD1868" s="12"/>
      <c r="AE1868" s="12"/>
    </row>
    <row r="1869" customFormat="false" ht="15.75" hidden="false" customHeight="false" outlineLevel="0" collapsed="false">
      <c r="A1869" s="12" t="str">
        <f aca="false">IF((AA1869&gt;=4), "Y", "N")</f>
        <v>Y</v>
      </c>
      <c r="B1869" s="74"/>
      <c r="C1869" s="26" t="s">
        <v>7517</v>
      </c>
      <c r="D1869" s="24"/>
      <c r="E1869" s="17"/>
      <c r="F1869" s="17"/>
      <c r="G1869" s="17"/>
      <c r="H1869" s="17"/>
      <c r="I1869" s="26" t="s">
        <v>209</v>
      </c>
      <c r="J1869" s="32"/>
      <c r="K1869" s="17"/>
      <c r="L1869" s="38"/>
      <c r="M1869" s="17"/>
      <c r="N1869" s="17"/>
      <c r="O1869" s="17"/>
      <c r="P1869" s="59" t="s">
        <v>7515</v>
      </c>
      <c r="Q1869" s="12"/>
      <c r="R1869" s="12"/>
      <c r="S1869" s="12"/>
      <c r="T1869" s="12"/>
      <c r="U1869" s="12"/>
      <c r="V1869" s="12"/>
      <c r="Z1869" s="12"/>
      <c r="AA1869" s="12" t="n">
        <v>5</v>
      </c>
      <c r="AB1869" s="12"/>
      <c r="AC1869" s="12"/>
      <c r="AD1869" s="12"/>
      <c r="AE1869" s="12"/>
    </row>
    <row r="1870" customFormat="false" ht="15.75" hidden="false" customHeight="false" outlineLevel="0" collapsed="false">
      <c r="A1870" s="12" t="str">
        <f aca="false">IF((AA1870&gt;=4), "Y", "N")</f>
        <v>Y</v>
      </c>
      <c r="B1870" s="74"/>
      <c r="C1870" s="26" t="s">
        <v>7518</v>
      </c>
      <c r="D1870" s="24"/>
      <c r="E1870" s="17"/>
      <c r="F1870" s="17"/>
      <c r="G1870" s="17"/>
      <c r="H1870" s="17"/>
      <c r="I1870" s="26" t="s">
        <v>209</v>
      </c>
      <c r="J1870" s="32"/>
      <c r="K1870" s="17"/>
      <c r="L1870" s="38"/>
      <c r="M1870" s="17"/>
      <c r="N1870" s="17"/>
      <c r="O1870" s="17"/>
      <c r="P1870" s="59" t="s">
        <v>7515</v>
      </c>
      <c r="Q1870" s="12"/>
      <c r="R1870" s="12"/>
      <c r="S1870" s="12"/>
      <c r="T1870" s="12"/>
      <c r="U1870" s="12"/>
      <c r="V1870" s="12"/>
      <c r="Z1870" s="12"/>
      <c r="AA1870" s="12" t="n">
        <v>5</v>
      </c>
      <c r="AB1870" s="12"/>
      <c r="AC1870" s="12"/>
      <c r="AD1870" s="12"/>
      <c r="AE1870" s="12"/>
    </row>
    <row r="1871" customFormat="false" ht="15.75" hidden="false" customHeight="false" outlineLevel="0" collapsed="false">
      <c r="A1871" s="12" t="str">
        <f aca="false">IF((AA1871&gt;=4), "Y", "N")</f>
        <v>Y</v>
      </c>
      <c r="B1871" s="74"/>
      <c r="C1871" s="26" t="s">
        <v>7519</v>
      </c>
      <c r="D1871" s="24"/>
      <c r="E1871" s="17"/>
      <c r="F1871" s="17"/>
      <c r="G1871" s="17"/>
      <c r="H1871" s="17"/>
      <c r="I1871" s="26" t="s">
        <v>209</v>
      </c>
      <c r="J1871" s="32"/>
      <c r="K1871" s="17"/>
      <c r="L1871" s="38"/>
      <c r="M1871" s="17"/>
      <c r="N1871" s="17"/>
      <c r="O1871" s="17"/>
      <c r="P1871" s="59" t="s">
        <v>7515</v>
      </c>
      <c r="Q1871" s="12"/>
      <c r="R1871" s="12"/>
      <c r="S1871" s="12"/>
      <c r="T1871" s="12"/>
      <c r="U1871" s="12"/>
      <c r="V1871" s="12"/>
      <c r="Z1871" s="12"/>
      <c r="AA1871" s="12" t="n">
        <v>5</v>
      </c>
      <c r="AB1871" s="12"/>
      <c r="AC1871" s="12"/>
      <c r="AD1871" s="12"/>
      <c r="AE1871" s="12"/>
    </row>
    <row r="1872" customFormat="false" ht="15.75" hidden="false" customHeight="false" outlineLevel="0" collapsed="false">
      <c r="A1872" s="12" t="str">
        <f aca="false">IF((AA1872&gt;=4), "Y", "N")</f>
        <v>Y</v>
      </c>
      <c r="B1872" s="74"/>
      <c r="C1872" s="26" t="s">
        <v>7520</v>
      </c>
      <c r="D1872" s="24"/>
      <c r="E1872" s="17"/>
      <c r="F1872" s="17"/>
      <c r="G1872" s="17"/>
      <c r="H1872" s="17"/>
      <c r="I1872" s="26" t="s">
        <v>209</v>
      </c>
      <c r="J1872" s="32"/>
      <c r="K1872" s="17"/>
      <c r="L1872" s="38"/>
      <c r="M1872" s="17"/>
      <c r="N1872" s="17"/>
      <c r="O1872" s="17"/>
      <c r="P1872" s="59" t="s">
        <v>7515</v>
      </c>
      <c r="Q1872" s="12"/>
      <c r="R1872" s="12"/>
      <c r="S1872" s="12"/>
      <c r="T1872" s="12"/>
      <c r="U1872" s="12"/>
      <c r="V1872" s="12"/>
      <c r="Z1872" s="12"/>
      <c r="AA1872" s="12" t="n">
        <v>5</v>
      </c>
      <c r="AB1872" s="12"/>
      <c r="AC1872" s="12"/>
      <c r="AD1872" s="12"/>
      <c r="AE1872" s="12"/>
    </row>
    <row r="1873" customFormat="false" ht="15.75" hidden="false" customHeight="false" outlineLevel="0" collapsed="false">
      <c r="A1873" s="12" t="str">
        <f aca="false">IF((AA1873&gt;=4), "Y", "N")</f>
        <v>Y</v>
      </c>
      <c r="B1873" s="74"/>
      <c r="C1873" s="26" t="s">
        <v>7521</v>
      </c>
      <c r="D1873" s="24"/>
      <c r="E1873" s="17"/>
      <c r="F1873" s="17"/>
      <c r="G1873" s="17"/>
      <c r="H1873" s="17"/>
      <c r="I1873" s="26" t="s">
        <v>209</v>
      </c>
      <c r="J1873" s="32"/>
      <c r="K1873" s="17"/>
      <c r="L1873" s="38"/>
      <c r="M1873" s="17"/>
      <c r="N1873" s="17"/>
      <c r="O1873" s="17"/>
      <c r="P1873" s="59" t="s">
        <v>7515</v>
      </c>
      <c r="Q1873" s="12"/>
      <c r="R1873" s="12"/>
      <c r="S1873" s="12"/>
      <c r="T1873" s="12"/>
      <c r="U1873" s="12"/>
      <c r="V1873" s="12"/>
      <c r="Z1873" s="12"/>
      <c r="AA1873" s="12" t="n">
        <v>5</v>
      </c>
      <c r="AB1873" s="12"/>
      <c r="AC1873" s="12"/>
      <c r="AD1873" s="12"/>
      <c r="AE1873" s="12"/>
    </row>
    <row r="1874" customFormat="false" ht="15.75" hidden="false" customHeight="false" outlineLevel="0" collapsed="false">
      <c r="A1874" s="12" t="str">
        <f aca="false">IF((AA1874&gt;=4), "Y", "N")</f>
        <v>Y</v>
      </c>
      <c r="B1874" s="74"/>
      <c r="C1874" s="26" t="s">
        <v>7522</v>
      </c>
      <c r="D1874" s="24"/>
      <c r="E1874" s="17"/>
      <c r="F1874" s="17"/>
      <c r="G1874" s="17"/>
      <c r="H1874" s="17"/>
      <c r="I1874" s="26" t="s">
        <v>209</v>
      </c>
      <c r="J1874" s="32"/>
      <c r="K1874" s="17"/>
      <c r="L1874" s="38"/>
      <c r="M1874" s="17"/>
      <c r="N1874" s="17"/>
      <c r="O1874" s="17"/>
      <c r="P1874" s="59" t="s">
        <v>7515</v>
      </c>
      <c r="Q1874" s="12"/>
      <c r="R1874" s="12"/>
      <c r="S1874" s="12"/>
      <c r="T1874" s="12"/>
      <c r="U1874" s="12"/>
      <c r="V1874" s="12"/>
      <c r="Z1874" s="12"/>
      <c r="AA1874" s="12" t="n">
        <v>5</v>
      </c>
      <c r="AB1874" s="12"/>
      <c r="AC1874" s="12"/>
      <c r="AD1874" s="12"/>
      <c r="AE1874" s="12"/>
    </row>
    <row r="1875" customFormat="false" ht="15.75" hidden="false" customHeight="false" outlineLevel="0" collapsed="false">
      <c r="A1875" s="12" t="str">
        <f aca="false">IF((AA1875&gt;=4), "Y", "N")</f>
        <v>Y</v>
      </c>
      <c r="B1875" s="74"/>
      <c r="C1875" s="26" t="s">
        <v>7523</v>
      </c>
      <c r="D1875" s="24"/>
      <c r="E1875" s="17"/>
      <c r="F1875" s="17"/>
      <c r="G1875" s="17"/>
      <c r="H1875" s="17"/>
      <c r="I1875" s="26" t="s">
        <v>209</v>
      </c>
      <c r="J1875" s="32"/>
      <c r="K1875" s="17"/>
      <c r="L1875" s="38"/>
      <c r="M1875" s="17"/>
      <c r="N1875" s="17"/>
      <c r="O1875" s="17"/>
      <c r="P1875" s="59" t="s">
        <v>7515</v>
      </c>
      <c r="Q1875" s="12"/>
      <c r="R1875" s="12"/>
      <c r="S1875" s="12"/>
      <c r="T1875" s="12"/>
      <c r="U1875" s="12"/>
      <c r="V1875" s="12"/>
      <c r="Z1875" s="12"/>
      <c r="AA1875" s="12" t="n">
        <v>5</v>
      </c>
      <c r="AB1875" s="12"/>
      <c r="AC1875" s="12"/>
      <c r="AD1875" s="12"/>
      <c r="AE1875" s="12"/>
    </row>
    <row r="1876" customFormat="false" ht="15.75" hidden="false" customHeight="false" outlineLevel="0" collapsed="false">
      <c r="A1876" s="12" t="str">
        <f aca="false">IF((AA1876&gt;=4), "Y", "N")</f>
        <v>Y</v>
      </c>
      <c r="B1876" s="74"/>
      <c r="C1876" s="26" t="s">
        <v>7524</v>
      </c>
      <c r="D1876" s="24"/>
      <c r="E1876" s="17"/>
      <c r="F1876" s="17"/>
      <c r="G1876" s="17"/>
      <c r="H1876" s="17"/>
      <c r="I1876" s="26" t="s">
        <v>209</v>
      </c>
      <c r="J1876" s="32"/>
      <c r="K1876" s="17"/>
      <c r="L1876" s="38"/>
      <c r="M1876" s="17"/>
      <c r="N1876" s="17"/>
      <c r="O1876" s="17"/>
      <c r="P1876" s="59" t="s">
        <v>7515</v>
      </c>
      <c r="Q1876" s="12"/>
      <c r="R1876" s="12"/>
      <c r="S1876" s="12"/>
      <c r="T1876" s="12"/>
      <c r="U1876" s="12"/>
      <c r="V1876" s="12"/>
      <c r="Z1876" s="12"/>
      <c r="AA1876" s="12" t="n">
        <v>5</v>
      </c>
      <c r="AB1876" s="12"/>
      <c r="AC1876" s="12"/>
      <c r="AD1876" s="12"/>
      <c r="AE1876" s="12"/>
    </row>
    <row r="1877" customFormat="false" ht="15.75" hidden="false" customHeight="false" outlineLevel="0" collapsed="false">
      <c r="A1877" s="12" t="str">
        <f aca="false">IF((AA1877&gt;=4), "Y", "N")</f>
        <v>Y</v>
      </c>
      <c r="B1877" s="74"/>
      <c r="C1877" s="26" t="s">
        <v>7525</v>
      </c>
      <c r="D1877" s="24"/>
      <c r="E1877" s="17"/>
      <c r="F1877" s="17"/>
      <c r="G1877" s="17"/>
      <c r="H1877" s="17"/>
      <c r="I1877" s="26" t="s">
        <v>209</v>
      </c>
      <c r="J1877" s="32"/>
      <c r="K1877" s="17"/>
      <c r="L1877" s="38"/>
      <c r="M1877" s="17"/>
      <c r="N1877" s="17"/>
      <c r="O1877" s="17"/>
      <c r="P1877" s="59" t="s">
        <v>7515</v>
      </c>
      <c r="Q1877" s="12"/>
      <c r="R1877" s="12"/>
      <c r="S1877" s="12"/>
      <c r="T1877" s="12"/>
      <c r="U1877" s="12"/>
      <c r="V1877" s="12"/>
      <c r="Z1877" s="12"/>
      <c r="AA1877" s="12" t="n">
        <v>5</v>
      </c>
      <c r="AB1877" s="12"/>
      <c r="AC1877" s="12"/>
      <c r="AD1877" s="12"/>
      <c r="AE1877" s="12"/>
    </row>
    <row r="1878" customFormat="false" ht="15.75" hidden="false" customHeight="false" outlineLevel="0" collapsed="false">
      <c r="A1878" s="12" t="str">
        <f aca="false">IF((AA1878&gt;=4), "Y", "N")</f>
        <v>Y</v>
      </c>
      <c r="B1878" s="74"/>
      <c r="C1878" s="26" t="s">
        <v>7526</v>
      </c>
      <c r="D1878" s="24"/>
      <c r="E1878" s="17"/>
      <c r="F1878" s="17"/>
      <c r="G1878" s="17"/>
      <c r="H1878" s="17"/>
      <c r="I1878" s="26" t="s">
        <v>209</v>
      </c>
      <c r="J1878" s="32"/>
      <c r="K1878" s="17"/>
      <c r="L1878" s="38"/>
      <c r="M1878" s="17"/>
      <c r="N1878" s="17"/>
      <c r="O1878" s="17"/>
      <c r="P1878" s="59" t="s">
        <v>7515</v>
      </c>
      <c r="Q1878" s="12"/>
      <c r="R1878" s="12"/>
      <c r="S1878" s="12"/>
      <c r="T1878" s="12"/>
      <c r="U1878" s="12"/>
      <c r="V1878" s="12"/>
      <c r="Z1878" s="12"/>
      <c r="AA1878" s="12" t="n">
        <v>5</v>
      </c>
      <c r="AB1878" s="12"/>
      <c r="AC1878" s="12"/>
      <c r="AD1878" s="12"/>
      <c r="AE1878" s="12"/>
    </row>
    <row r="1879" customFormat="false" ht="15.75" hidden="false" customHeight="false" outlineLevel="0" collapsed="false">
      <c r="A1879" s="12" t="str">
        <f aca="false">IF((AA1879&gt;=4), "Y", "N")</f>
        <v>Y</v>
      </c>
      <c r="B1879" s="74"/>
      <c r="C1879" s="26" t="s">
        <v>7527</v>
      </c>
      <c r="D1879" s="24"/>
      <c r="E1879" s="17"/>
      <c r="F1879" s="17"/>
      <c r="G1879" s="17"/>
      <c r="H1879" s="17"/>
      <c r="I1879" s="26" t="s">
        <v>209</v>
      </c>
      <c r="J1879" s="32"/>
      <c r="K1879" s="17"/>
      <c r="L1879" s="38"/>
      <c r="M1879" s="17"/>
      <c r="N1879" s="17"/>
      <c r="O1879" s="17"/>
      <c r="P1879" s="59" t="s">
        <v>7515</v>
      </c>
      <c r="Q1879" s="12"/>
      <c r="R1879" s="12"/>
      <c r="S1879" s="12"/>
      <c r="T1879" s="12"/>
      <c r="U1879" s="12"/>
      <c r="V1879" s="12"/>
      <c r="Z1879" s="12"/>
      <c r="AA1879" s="12" t="n">
        <v>5</v>
      </c>
      <c r="AB1879" s="12"/>
      <c r="AC1879" s="12"/>
      <c r="AD1879" s="12"/>
      <c r="AE1879" s="12"/>
    </row>
    <row r="1880" customFormat="false" ht="15.75" hidden="false" customHeight="false" outlineLevel="0" collapsed="false">
      <c r="A1880" s="12" t="str">
        <f aca="false">IF((AA1880&gt;=4), "Y", "N")</f>
        <v>Y</v>
      </c>
      <c r="B1880" s="74"/>
      <c r="C1880" s="26" t="s">
        <v>7528</v>
      </c>
      <c r="D1880" s="24"/>
      <c r="E1880" s="17"/>
      <c r="F1880" s="17"/>
      <c r="G1880" s="17"/>
      <c r="H1880" s="17"/>
      <c r="I1880" s="26" t="s">
        <v>209</v>
      </c>
      <c r="J1880" s="32"/>
      <c r="K1880" s="17"/>
      <c r="L1880" s="38"/>
      <c r="M1880" s="17"/>
      <c r="N1880" s="17"/>
      <c r="O1880" s="17"/>
      <c r="P1880" s="59" t="s">
        <v>7515</v>
      </c>
      <c r="Q1880" s="12"/>
      <c r="R1880" s="12"/>
      <c r="S1880" s="12"/>
      <c r="T1880" s="12"/>
      <c r="U1880" s="12"/>
      <c r="V1880" s="12"/>
      <c r="Z1880" s="12"/>
      <c r="AA1880" s="12" t="n">
        <v>5</v>
      </c>
      <c r="AB1880" s="12"/>
      <c r="AC1880" s="12"/>
      <c r="AD1880" s="12"/>
      <c r="AE1880" s="12"/>
    </row>
    <row r="1881" customFormat="false" ht="15.75" hidden="false" customHeight="false" outlineLevel="0" collapsed="false">
      <c r="A1881" s="12" t="str">
        <f aca="false">IF((AA1881&gt;=4), "Y", "N")</f>
        <v>Y</v>
      </c>
      <c r="B1881" s="74"/>
      <c r="C1881" s="26" t="s">
        <v>7529</v>
      </c>
      <c r="D1881" s="24"/>
      <c r="E1881" s="17"/>
      <c r="F1881" s="17"/>
      <c r="G1881" s="17"/>
      <c r="H1881" s="17"/>
      <c r="I1881" s="26" t="s">
        <v>209</v>
      </c>
      <c r="J1881" s="32"/>
      <c r="K1881" s="17"/>
      <c r="L1881" s="38"/>
      <c r="M1881" s="17"/>
      <c r="N1881" s="17"/>
      <c r="O1881" s="17"/>
      <c r="P1881" s="59" t="s">
        <v>7515</v>
      </c>
      <c r="Q1881" s="12"/>
      <c r="R1881" s="12"/>
      <c r="S1881" s="12"/>
      <c r="T1881" s="12"/>
      <c r="U1881" s="12"/>
      <c r="V1881" s="12"/>
      <c r="Z1881" s="12"/>
      <c r="AA1881" s="12" t="n">
        <v>5</v>
      </c>
      <c r="AB1881" s="12"/>
      <c r="AC1881" s="12"/>
      <c r="AD1881" s="12"/>
      <c r="AE1881" s="12"/>
    </row>
    <row r="1882" customFormat="false" ht="15.75" hidden="false" customHeight="false" outlineLevel="0" collapsed="false">
      <c r="A1882" s="12" t="str">
        <f aca="false">IF((AA1882&gt;=4), "Y", "N")</f>
        <v>Y</v>
      </c>
      <c r="B1882" s="74"/>
      <c r="C1882" s="26" t="s">
        <v>7530</v>
      </c>
      <c r="D1882" s="24"/>
      <c r="E1882" s="17"/>
      <c r="F1882" s="17"/>
      <c r="G1882" s="17"/>
      <c r="H1882" s="17"/>
      <c r="I1882" s="26" t="s">
        <v>209</v>
      </c>
      <c r="J1882" s="32"/>
      <c r="K1882" s="17"/>
      <c r="L1882" s="38"/>
      <c r="M1882" s="17"/>
      <c r="N1882" s="17"/>
      <c r="O1882" s="17"/>
      <c r="P1882" s="59" t="s">
        <v>7515</v>
      </c>
      <c r="Q1882" s="12"/>
      <c r="R1882" s="12"/>
      <c r="S1882" s="12"/>
      <c r="T1882" s="12"/>
      <c r="U1882" s="12"/>
      <c r="V1882" s="12"/>
      <c r="Z1882" s="12"/>
      <c r="AA1882" s="12" t="n">
        <v>5</v>
      </c>
      <c r="AB1882" s="12"/>
      <c r="AC1882" s="12"/>
      <c r="AD1882" s="12"/>
      <c r="AE1882" s="12"/>
    </row>
    <row r="1883" customFormat="false" ht="15.75" hidden="false" customHeight="false" outlineLevel="0" collapsed="false">
      <c r="A1883" s="12" t="str">
        <f aca="false">IF((AA1883&gt;=4), "Y", "N")</f>
        <v>Y</v>
      </c>
      <c r="B1883" s="74"/>
      <c r="C1883" s="26" t="s">
        <v>7531</v>
      </c>
      <c r="D1883" s="24"/>
      <c r="E1883" s="17"/>
      <c r="F1883" s="17"/>
      <c r="G1883" s="17"/>
      <c r="H1883" s="17"/>
      <c r="I1883" s="26" t="s">
        <v>209</v>
      </c>
      <c r="J1883" s="32"/>
      <c r="K1883" s="17"/>
      <c r="L1883" s="38"/>
      <c r="M1883" s="17"/>
      <c r="N1883" s="17"/>
      <c r="O1883" s="17"/>
      <c r="P1883" s="59" t="s">
        <v>7515</v>
      </c>
      <c r="Q1883" s="12"/>
      <c r="R1883" s="12"/>
      <c r="S1883" s="12"/>
      <c r="T1883" s="12"/>
      <c r="U1883" s="12"/>
      <c r="V1883" s="12"/>
      <c r="Z1883" s="12"/>
      <c r="AA1883" s="12" t="n">
        <v>5</v>
      </c>
      <c r="AB1883" s="12"/>
      <c r="AC1883" s="12"/>
      <c r="AD1883" s="12"/>
      <c r="AE1883" s="12"/>
    </row>
    <row r="1884" customFormat="false" ht="15.75" hidden="false" customHeight="false" outlineLevel="0" collapsed="false">
      <c r="A1884" s="12" t="str">
        <f aca="false">IF((AA1884&gt;=4), "Y", "N")</f>
        <v>Y</v>
      </c>
      <c r="B1884" s="74"/>
      <c r="C1884" s="26" t="s">
        <v>7532</v>
      </c>
      <c r="D1884" s="24"/>
      <c r="E1884" s="17"/>
      <c r="F1884" s="17"/>
      <c r="G1884" s="17"/>
      <c r="H1884" s="17"/>
      <c r="I1884" s="26" t="s">
        <v>209</v>
      </c>
      <c r="J1884" s="32"/>
      <c r="K1884" s="17"/>
      <c r="L1884" s="38"/>
      <c r="M1884" s="17"/>
      <c r="N1884" s="17"/>
      <c r="O1884" s="17"/>
      <c r="P1884" s="59" t="s">
        <v>7515</v>
      </c>
      <c r="Q1884" s="12"/>
      <c r="R1884" s="12"/>
      <c r="S1884" s="12"/>
      <c r="T1884" s="12"/>
      <c r="U1884" s="12"/>
      <c r="V1884" s="12"/>
      <c r="Z1884" s="12"/>
      <c r="AA1884" s="12" t="n">
        <v>5</v>
      </c>
      <c r="AB1884" s="12"/>
      <c r="AC1884" s="12"/>
      <c r="AD1884" s="12"/>
      <c r="AE1884" s="12"/>
    </row>
    <row r="1885" customFormat="false" ht="15.75" hidden="false" customHeight="false" outlineLevel="0" collapsed="false">
      <c r="A1885" s="12" t="str">
        <f aca="false">IF((AA1885&gt;=4), "Y", "N")</f>
        <v>Y</v>
      </c>
      <c r="B1885" s="74"/>
      <c r="C1885" s="26" t="s">
        <v>7533</v>
      </c>
      <c r="D1885" s="24"/>
      <c r="E1885" s="17"/>
      <c r="F1885" s="17"/>
      <c r="G1885" s="17"/>
      <c r="H1885" s="17"/>
      <c r="I1885" s="26" t="s">
        <v>209</v>
      </c>
      <c r="J1885" s="32"/>
      <c r="K1885" s="17"/>
      <c r="L1885" s="38"/>
      <c r="M1885" s="17"/>
      <c r="N1885" s="17"/>
      <c r="O1885" s="17"/>
      <c r="P1885" s="59" t="s">
        <v>7515</v>
      </c>
      <c r="Q1885" s="12"/>
      <c r="R1885" s="12"/>
      <c r="S1885" s="12"/>
      <c r="T1885" s="12"/>
      <c r="U1885" s="12"/>
      <c r="V1885" s="12"/>
      <c r="Z1885" s="12"/>
      <c r="AA1885" s="12" t="n">
        <v>5</v>
      </c>
      <c r="AB1885" s="12"/>
      <c r="AC1885" s="12"/>
      <c r="AD1885" s="12"/>
      <c r="AE1885" s="12"/>
    </row>
    <row r="1886" customFormat="false" ht="15.75" hidden="false" customHeight="false" outlineLevel="0" collapsed="false">
      <c r="A1886" s="12" t="str">
        <f aca="false">IF((AA1886&gt;=4), "Y", "N")</f>
        <v>Y</v>
      </c>
      <c r="B1886" s="74"/>
      <c r="C1886" s="26" t="s">
        <v>7534</v>
      </c>
      <c r="D1886" s="24"/>
      <c r="E1886" s="17"/>
      <c r="F1886" s="17"/>
      <c r="G1886" s="17"/>
      <c r="H1886" s="17"/>
      <c r="I1886" s="26" t="s">
        <v>209</v>
      </c>
      <c r="J1886" s="32"/>
      <c r="K1886" s="17"/>
      <c r="L1886" s="38"/>
      <c r="M1886" s="17"/>
      <c r="N1886" s="17"/>
      <c r="O1886" s="17"/>
      <c r="P1886" s="59" t="s">
        <v>7515</v>
      </c>
      <c r="Q1886" s="12"/>
      <c r="R1886" s="12"/>
      <c r="S1886" s="12"/>
      <c r="T1886" s="12"/>
      <c r="U1886" s="12"/>
      <c r="V1886" s="12"/>
      <c r="Z1886" s="12"/>
      <c r="AA1886" s="12" t="n">
        <v>5</v>
      </c>
      <c r="AB1886" s="12"/>
      <c r="AC1886" s="12"/>
      <c r="AD1886" s="12"/>
      <c r="AE1886" s="12"/>
    </row>
    <row r="1887" customFormat="false" ht="15.75" hidden="false" customHeight="false" outlineLevel="0" collapsed="false">
      <c r="A1887" s="12" t="str">
        <f aca="false">IF((AA1887&gt;=4), "Y", "N")</f>
        <v>Y</v>
      </c>
      <c r="B1887" s="74"/>
      <c r="C1887" s="26" t="s">
        <v>7535</v>
      </c>
      <c r="D1887" s="24"/>
      <c r="E1887" s="17"/>
      <c r="F1887" s="17"/>
      <c r="G1887" s="17"/>
      <c r="H1887" s="17"/>
      <c r="I1887" s="26" t="s">
        <v>209</v>
      </c>
      <c r="J1887" s="32"/>
      <c r="K1887" s="17"/>
      <c r="L1887" s="38"/>
      <c r="M1887" s="17"/>
      <c r="N1887" s="17"/>
      <c r="O1887" s="17"/>
      <c r="P1887" s="59" t="s">
        <v>7515</v>
      </c>
      <c r="Q1887" s="12"/>
      <c r="R1887" s="12"/>
      <c r="S1887" s="12"/>
      <c r="T1887" s="12"/>
      <c r="U1887" s="12"/>
      <c r="V1887" s="12"/>
      <c r="Z1887" s="12"/>
      <c r="AA1887" s="12" t="n">
        <v>5</v>
      </c>
      <c r="AB1887" s="12"/>
      <c r="AC1887" s="12"/>
      <c r="AD1887" s="12"/>
      <c r="AE1887" s="12"/>
    </row>
    <row r="1888" customFormat="false" ht="15.75" hidden="false" customHeight="false" outlineLevel="0" collapsed="false">
      <c r="A1888" s="12" t="str">
        <f aca="false">IF((AA1888&gt;=4), "Y", "N")</f>
        <v>Y</v>
      </c>
      <c r="B1888" s="74"/>
      <c r="C1888" s="26" t="s">
        <v>7536</v>
      </c>
      <c r="D1888" s="24"/>
      <c r="E1888" s="17"/>
      <c r="F1888" s="17"/>
      <c r="G1888" s="17"/>
      <c r="H1888" s="17"/>
      <c r="I1888" s="26" t="s">
        <v>209</v>
      </c>
      <c r="J1888" s="32"/>
      <c r="K1888" s="17"/>
      <c r="L1888" s="38"/>
      <c r="M1888" s="17"/>
      <c r="N1888" s="17"/>
      <c r="O1888" s="17"/>
      <c r="P1888" s="59" t="s">
        <v>7515</v>
      </c>
      <c r="Q1888" s="12"/>
      <c r="R1888" s="12"/>
      <c r="S1888" s="12"/>
      <c r="T1888" s="12"/>
      <c r="U1888" s="12"/>
      <c r="V1888" s="12"/>
      <c r="Z1888" s="12"/>
      <c r="AA1888" s="12" t="n">
        <v>5</v>
      </c>
      <c r="AB1888" s="12"/>
      <c r="AC1888" s="12"/>
      <c r="AD1888" s="12"/>
      <c r="AE1888" s="12"/>
    </row>
    <row r="1889" customFormat="false" ht="15.75" hidden="false" customHeight="false" outlineLevel="0" collapsed="false">
      <c r="A1889" s="12" t="str">
        <f aca="false">IF((AA1889&gt;=4), "Y", "N")</f>
        <v>Y</v>
      </c>
      <c r="B1889" s="74"/>
      <c r="C1889" s="26" t="s">
        <v>7537</v>
      </c>
      <c r="D1889" s="24"/>
      <c r="E1889" s="17"/>
      <c r="F1889" s="17"/>
      <c r="G1889" s="17"/>
      <c r="H1889" s="17"/>
      <c r="I1889" s="26" t="s">
        <v>209</v>
      </c>
      <c r="J1889" s="32"/>
      <c r="K1889" s="17"/>
      <c r="L1889" s="38"/>
      <c r="M1889" s="17"/>
      <c r="N1889" s="17"/>
      <c r="O1889" s="17"/>
      <c r="P1889" s="59" t="s">
        <v>7515</v>
      </c>
      <c r="Q1889" s="12"/>
      <c r="R1889" s="12"/>
      <c r="S1889" s="12"/>
      <c r="T1889" s="12"/>
      <c r="U1889" s="12"/>
      <c r="V1889" s="12"/>
      <c r="Z1889" s="12"/>
      <c r="AA1889" s="12" t="n">
        <v>5</v>
      </c>
      <c r="AB1889" s="12"/>
      <c r="AC1889" s="12"/>
      <c r="AD1889" s="12"/>
      <c r="AE1889" s="12"/>
    </row>
    <row r="1890" customFormat="false" ht="15.75" hidden="false" customHeight="false" outlineLevel="0" collapsed="false">
      <c r="A1890" s="12" t="str">
        <f aca="false">IF((AA1890&gt;=4), "Y", "N")</f>
        <v>Y</v>
      </c>
      <c r="B1890" s="74"/>
      <c r="C1890" s="26" t="s">
        <v>7538</v>
      </c>
      <c r="D1890" s="24"/>
      <c r="E1890" s="17"/>
      <c r="F1890" s="17"/>
      <c r="G1890" s="17"/>
      <c r="H1890" s="17"/>
      <c r="I1890" s="26" t="s">
        <v>209</v>
      </c>
      <c r="J1890" s="32"/>
      <c r="K1890" s="17"/>
      <c r="L1890" s="38"/>
      <c r="M1890" s="17"/>
      <c r="N1890" s="17"/>
      <c r="O1890" s="17"/>
      <c r="P1890" s="59" t="s">
        <v>7515</v>
      </c>
      <c r="Q1890" s="12"/>
      <c r="R1890" s="12"/>
      <c r="S1890" s="12"/>
      <c r="T1890" s="12"/>
      <c r="U1890" s="12"/>
      <c r="V1890" s="12"/>
      <c r="Z1890" s="12"/>
      <c r="AA1890" s="12" t="n">
        <v>5</v>
      </c>
      <c r="AB1890" s="12"/>
      <c r="AC1890" s="12"/>
      <c r="AD1890" s="12"/>
      <c r="AE1890" s="12"/>
    </row>
    <row r="1891" customFormat="false" ht="15.75" hidden="false" customHeight="false" outlineLevel="0" collapsed="false">
      <c r="A1891" s="12" t="str">
        <f aca="false">IF((AA1891&gt;=4), "Y", "N")</f>
        <v>Y</v>
      </c>
      <c r="B1891" s="74"/>
      <c r="C1891" s="26" t="s">
        <v>7539</v>
      </c>
      <c r="D1891" s="24"/>
      <c r="E1891" s="17"/>
      <c r="F1891" s="17"/>
      <c r="G1891" s="17"/>
      <c r="H1891" s="17"/>
      <c r="I1891" s="26" t="s">
        <v>209</v>
      </c>
      <c r="J1891" s="32"/>
      <c r="K1891" s="17"/>
      <c r="L1891" s="38"/>
      <c r="M1891" s="17"/>
      <c r="N1891" s="17"/>
      <c r="O1891" s="17"/>
      <c r="P1891" s="59" t="s">
        <v>7515</v>
      </c>
      <c r="Q1891" s="12"/>
      <c r="R1891" s="12"/>
      <c r="S1891" s="12"/>
      <c r="T1891" s="12"/>
      <c r="U1891" s="12"/>
      <c r="V1891" s="12"/>
      <c r="Z1891" s="12"/>
      <c r="AA1891" s="12" t="n">
        <v>5</v>
      </c>
      <c r="AB1891" s="12"/>
      <c r="AC1891" s="12"/>
      <c r="AD1891" s="12"/>
      <c r="AE1891" s="12"/>
    </row>
    <row r="1892" customFormat="false" ht="15.75" hidden="false" customHeight="false" outlineLevel="0" collapsed="false">
      <c r="A1892" s="12" t="str">
        <f aca="false">IF((AA1892&gt;=4), "Y", "N")</f>
        <v>Y</v>
      </c>
      <c r="B1892" s="74"/>
      <c r="C1892" s="26" t="s">
        <v>7540</v>
      </c>
      <c r="D1892" s="24"/>
      <c r="E1892" s="17"/>
      <c r="F1892" s="17"/>
      <c r="G1892" s="17"/>
      <c r="H1892" s="17"/>
      <c r="I1892" s="26" t="s">
        <v>209</v>
      </c>
      <c r="J1892" s="32"/>
      <c r="K1892" s="17"/>
      <c r="L1892" s="38"/>
      <c r="M1892" s="17"/>
      <c r="N1892" s="17"/>
      <c r="O1892" s="17"/>
      <c r="P1892" s="59" t="s">
        <v>7515</v>
      </c>
      <c r="Q1892" s="12"/>
      <c r="R1892" s="12"/>
      <c r="S1892" s="12"/>
      <c r="T1892" s="12"/>
      <c r="U1892" s="12"/>
      <c r="V1892" s="12"/>
      <c r="Z1892" s="12"/>
      <c r="AA1892" s="12" t="n">
        <v>5</v>
      </c>
      <c r="AB1892" s="12"/>
      <c r="AC1892" s="12"/>
      <c r="AD1892" s="12"/>
      <c r="AE1892" s="12"/>
    </row>
    <row r="1893" customFormat="false" ht="15.75" hidden="false" customHeight="false" outlineLevel="0" collapsed="false">
      <c r="A1893" s="12" t="str">
        <f aca="false">IF((AA1893&gt;=4), "Y", "N")</f>
        <v>Y</v>
      </c>
      <c r="B1893" s="74"/>
      <c r="C1893" s="26" t="s">
        <v>7541</v>
      </c>
      <c r="D1893" s="24"/>
      <c r="E1893" s="17"/>
      <c r="F1893" s="17"/>
      <c r="G1893" s="17"/>
      <c r="H1893" s="17"/>
      <c r="I1893" s="26" t="s">
        <v>209</v>
      </c>
      <c r="J1893" s="32"/>
      <c r="K1893" s="17"/>
      <c r="L1893" s="38"/>
      <c r="M1893" s="17"/>
      <c r="N1893" s="17"/>
      <c r="O1893" s="17"/>
      <c r="P1893" s="59" t="s">
        <v>7515</v>
      </c>
      <c r="Q1893" s="12"/>
      <c r="R1893" s="12"/>
      <c r="S1893" s="12"/>
      <c r="T1893" s="12"/>
      <c r="U1893" s="12"/>
      <c r="V1893" s="12"/>
      <c r="Z1893" s="12"/>
      <c r="AA1893" s="12" t="n">
        <v>5</v>
      </c>
      <c r="AB1893" s="12"/>
      <c r="AC1893" s="12"/>
      <c r="AD1893" s="12"/>
      <c r="AE1893" s="12"/>
    </row>
    <row r="1894" customFormat="false" ht="15.75" hidden="false" customHeight="false" outlineLevel="0" collapsed="false">
      <c r="A1894" s="12" t="str">
        <f aca="false">IF((AA1894&gt;=4), "Y", "N")</f>
        <v>Y</v>
      </c>
      <c r="B1894" s="74"/>
      <c r="C1894" s="26" t="s">
        <v>7542</v>
      </c>
      <c r="D1894" s="24"/>
      <c r="E1894" s="17"/>
      <c r="F1894" s="17"/>
      <c r="G1894" s="17"/>
      <c r="H1894" s="17"/>
      <c r="I1894" s="26" t="s">
        <v>209</v>
      </c>
      <c r="J1894" s="32"/>
      <c r="K1894" s="17"/>
      <c r="L1894" s="38"/>
      <c r="M1894" s="17"/>
      <c r="N1894" s="17"/>
      <c r="O1894" s="17"/>
      <c r="P1894" s="59" t="s">
        <v>7515</v>
      </c>
      <c r="Q1894" s="12"/>
      <c r="R1894" s="12"/>
      <c r="S1894" s="12"/>
      <c r="T1894" s="12"/>
      <c r="U1894" s="12"/>
      <c r="V1894" s="12"/>
      <c r="Z1894" s="12"/>
      <c r="AA1894" s="12" t="n">
        <v>5</v>
      </c>
      <c r="AB1894" s="12"/>
      <c r="AC1894" s="12"/>
      <c r="AD1894" s="12"/>
      <c r="AE1894" s="12"/>
    </row>
    <row r="1895" customFormat="false" ht="15.75" hidden="false" customHeight="false" outlineLevel="0" collapsed="false">
      <c r="A1895" s="12" t="str">
        <f aca="false">IF((AA1895&gt;=4), "Y", "N")</f>
        <v>Y</v>
      </c>
      <c r="B1895" s="74"/>
      <c r="C1895" s="26" t="s">
        <v>7543</v>
      </c>
      <c r="D1895" s="24"/>
      <c r="E1895" s="17"/>
      <c r="F1895" s="17"/>
      <c r="G1895" s="17"/>
      <c r="H1895" s="17"/>
      <c r="I1895" s="26" t="s">
        <v>209</v>
      </c>
      <c r="J1895" s="32"/>
      <c r="K1895" s="17"/>
      <c r="L1895" s="38"/>
      <c r="M1895" s="17"/>
      <c r="N1895" s="17"/>
      <c r="O1895" s="17"/>
      <c r="P1895" s="59" t="s">
        <v>7515</v>
      </c>
      <c r="Q1895" s="12"/>
      <c r="R1895" s="12"/>
      <c r="S1895" s="12"/>
      <c r="T1895" s="12"/>
      <c r="U1895" s="12"/>
      <c r="V1895" s="12"/>
      <c r="Z1895" s="12"/>
      <c r="AA1895" s="12" t="n">
        <v>5</v>
      </c>
      <c r="AB1895" s="12"/>
      <c r="AC1895" s="12"/>
      <c r="AD1895" s="12"/>
      <c r="AE1895" s="12"/>
    </row>
    <row r="1896" customFormat="false" ht="15.75" hidden="false" customHeight="false" outlineLevel="0" collapsed="false">
      <c r="A1896" s="12" t="str">
        <f aca="false">IF((AA1896&gt;=4), "Y", "N")</f>
        <v>Y</v>
      </c>
      <c r="B1896" s="74"/>
      <c r="C1896" s="26" t="s">
        <v>7544</v>
      </c>
      <c r="D1896" s="24"/>
      <c r="E1896" s="17"/>
      <c r="F1896" s="17"/>
      <c r="G1896" s="17"/>
      <c r="H1896" s="17"/>
      <c r="I1896" s="26" t="s">
        <v>209</v>
      </c>
      <c r="J1896" s="32"/>
      <c r="K1896" s="17"/>
      <c r="L1896" s="38"/>
      <c r="M1896" s="17"/>
      <c r="N1896" s="17"/>
      <c r="O1896" s="17"/>
      <c r="P1896" s="59" t="s">
        <v>7515</v>
      </c>
      <c r="Q1896" s="12"/>
      <c r="R1896" s="12"/>
      <c r="S1896" s="12"/>
      <c r="T1896" s="12"/>
      <c r="U1896" s="12"/>
      <c r="V1896" s="12"/>
      <c r="Z1896" s="12"/>
      <c r="AA1896" s="12" t="n">
        <v>5</v>
      </c>
      <c r="AB1896" s="12"/>
      <c r="AC1896" s="12"/>
      <c r="AD1896" s="12"/>
      <c r="AE1896" s="12"/>
    </row>
    <row r="1897" customFormat="false" ht="15.75" hidden="false" customHeight="false" outlineLevel="0" collapsed="false">
      <c r="A1897" s="12" t="str">
        <f aca="false">IF((AA1897&gt;=4), "Y", "N")</f>
        <v>Y</v>
      </c>
      <c r="B1897" s="74"/>
      <c r="C1897" s="26" t="s">
        <v>7545</v>
      </c>
      <c r="D1897" s="24"/>
      <c r="E1897" s="17"/>
      <c r="F1897" s="17"/>
      <c r="G1897" s="17"/>
      <c r="H1897" s="17"/>
      <c r="I1897" s="26" t="s">
        <v>209</v>
      </c>
      <c r="J1897" s="32"/>
      <c r="K1897" s="17"/>
      <c r="L1897" s="38"/>
      <c r="M1897" s="17"/>
      <c r="N1897" s="17"/>
      <c r="O1897" s="17"/>
      <c r="P1897" s="59" t="s">
        <v>7515</v>
      </c>
      <c r="Q1897" s="12"/>
      <c r="R1897" s="12"/>
      <c r="S1897" s="12"/>
      <c r="T1897" s="12"/>
      <c r="U1897" s="12"/>
      <c r="V1897" s="12"/>
      <c r="Z1897" s="12"/>
      <c r="AA1897" s="12" t="n">
        <v>5</v>
      </c>
      <c r="AB1897" s="12"/>
      <c r="AC1897" s="12"/>
      <c r="AD1897" s="12"/>
      <c r="AE1897" s="12"/>
    </row>
    <row r="1898" customFormat="false" ht="15.75" hidden="false" customHeight="false" outlineLevel="0" collapsed="false">
      <c r="A1898" s="12" t="str">
        <f aca="false">IF((AA1898&gt;=4), "Y", "N")</f>
        <v>Y</v>
      </c>
      <c r="B1898" s="74"/>
      <c r="C1898" s="26" t="s">
        <v>7546</v>
      </c>
      <c r="D1898" s="24"/>
      <c r="E1898" s="17"/>
      <c r="F1898" s="17"/>
      <c r="G1898" s="17"/>
      <c r="H1898" s="17"/>
      <c r="I1898" s="26" t="s">
        <v>209</v>
      </c>
      <c r="J1898" s="32"/>
      <c r="K1898" s="17"/>
      <c r="L1898" s="38"/>
      <c r="M1898" s="17"/>
      <c r="N1898" s="17"/>
      <c r="O1898" s="17"/>
      <c r="P1898" s="59" t="s">
        <v>7515</v>
      </c>
      <c r="Q1898" s="12"/>
      <c r="R1898" s="12"/>
      <c r="S1898" s="12"/>
      <c r="T1898" s="12"/>
      <c r="U1898" s="12"/>
      <c r="V1898" s="12"/>
      <c r="Z1898" s="12"/>
      <c r="AA1898" s="12" t="n">
        <v>5</v>
      </c>
      <c r="AB1898" s="12"/>
      <c r="AC1898" s="12"/>
      <c r="AD1898" s="12"/>
      <c r="AE1898" s="12"/>
    </row>
    <row r="1899" customFormat="false" ht="15.75" hidden="false" customHeight="false" outlineLevel="0" collapsed="false">
      <c r="A1899" s="12" t="str">
        <f aca="false">IF((AA1899&gt;=4), "Y", "N")</f>
        <v>Y</v>
      </c>
      <c r="B1899" s="74"/>
      <c r="C1899" s="26" t="s">
        <v>7547</v>
      </c>
      <c r="D1899" s="24"/>
      <c r="E1899" s="17"/>
      <c r="F1899" s="17"/>
      <c r="G1899" s="17"/>
      <c r="H1899" s="17"/>
      <c r="I1899" s="26" t="s">
        <v>209</v>
      </c>
      <c r="J1899" s="32"/>
      <c r="K1899" s="17"/>
      <c r="L1899" s="38"/>
      <c r="M1899" s="17"/>
      <c r="N1899" s="17"/>
      <c r="O1899" s="17"/>
      <c r="P1899" s="59" t="s">
        <v>7515</v>
      </c>
      <c r="Q1899" s="12"/>
      <c r="R1899" s="12"/>
      <c r="S1899" s="12"/>
      <c r="T1899" s="12"/>
      <c r="U1899" s="12"/>
      <c r="V1899" s="12"/>
      <c r="Z1899" s="12"/>
      <c r="AA1899" s="12" t="n">
        <v>5</v>
      </c>
      <c r="AB1899" s="12"/>
      <c r="AC1899" s="12"/>
      <c r="AD1899" s="12"/>
      <c r="AE1899" s="12"/>
    </row>
    <row r="1900" customFormat="false" ht="15.75" hidden="false" customHeight="false" outlineLevel="0" collapsed="false">
      <c r="A1900" s="12" t="str">
        <f aca="false">IF((AA1900&gt;=4), "Y", "N")</f>
        <v>Y</v>
      </c>
      <c r="B1900" s="74"/>
      <c r="C1900" s="26" t="s">
        <v>7548</v>
      </c>
      <c r="D1900" s="24"/>
      <c r="E1900" s="17"/>
      <c r="F1900" s="17"/>
      <c r="G1900" s="17"/>
      <c r="H1900" s="17"/>
      <c r="I1900" s="26" t="s">
        <v>209</v>
      </c>
      <c r="J1900" s="32"/>
      <c r="K1900" s="17"/>
      <c r="L1900" s="38"/>
      <c r="M1900" s="17"/>
      <c r="N1900" s="17"/>
      <c r="O1900" s="17"/>
      <c r="P1900" s="59" t="s">
        <v>7515</v>
      </c>
      <c r="Q1900" s="12"/>
      <c r="R1900" s="12"/>
      <c r="S1900" s="12"/>
      <c r="T1900" s="12"/>
      <c r="U1900" s="12"/>
      <c r="V1900" s="12"/>
      <c r="Z1900" s="12"/>
      <c r="AA1900" s="12" t="n">
        <v>5</v>
      </c>
      <c r="AB1900" s="12"/>
      <c r="AC1900" s="12"/>
      <c r="AD1900" s="12"/>
      <c r="AE1900" s="12"/>
    </row>
    <row r="1901" customFormat="false" ht="15.75" hidden="false" customHeight="false" outlineLevel="0" collapsed="false">
      <c r="A1901" s="12" t="str">
        <f aca="false">IF((AA1901&gt;=4), "Y", "N")</f>
        <v>Y</v>
      </c>
      <c r="B1901" s="74"/>
      <c r="C1901" s="26" t="s">
        <v>7549</v>
      </c>
      <c r="D1901" s="24"/>
      <c r="E1901" s="17"/>
      <c r="F1901" s="17"/>
      <c r="G1901" s="17"/>
      <c r="H1901" s="17"/>
      <c r="I1901" s="26" t="s">
        <v>209</v>
      </c>
      <c r="J1901" s="32"/>
      <c r="K1901" s="17"/>
      <c r="L1901" s="38"/>
      <c r="M1901" s="17"/>
      <c r="N1901" s="17"/>
      <c r="O1901" s="17"/>
      <c r="P1901" s="59" t="s">
        <v>7515</v>
      </c>
      <c r="Q1901" s="12"/>
      <c r="R1901" s="12"/>
      <c r="S1901" s="12"/>
      <c r="T1901" s="12"/>
      <c r="U1901" s="12"/>
      <c r="V1901" s="12"/>
      <c r="Z1901" s="12"/>
      <c r="AA1901" s="12" t="n">
        <v>5</v>
      </c>
      <c r="AB1901" s="12"/>
      <c r="AC1901" s="12"/>
      <c r="AD1901" s="12"/>
      <c r="AE1901" s="12"/>
    </row>
    <row r="1902" customFormat="false" ht="15.75" hidden="false" customHeight="false" outlineLevel="0" collapsed="false">
      <c r="A1902" s="12" t="str">
        <f aca="false">IF((AA1902&gt;=4), "Y", "N")</f>
        <v>Y</v>
      </c>
      <c r="B1902" s="74"/>
      <c r="C1902" s="26" t="s">
        <v>272</v>
      </c>
      <c r="D1902" s="24"/>
      <c r="E1902" s="17"/>
      <c r="F1902" s="17"/>
      <c r="G1902" s="17"/>
      <c r="H1902" s="17"/>
      <c r="I1902" s="26" t="s">
        <v>209</v>
      </c>
      <c r="J1902" s="32"/>
      <c r="K1902" s="17"/>
      <c r="L1902" s="38"/>
      <c r="M1902" s="17"/>
      <c r="N1902" s="17"/>
      <c r="O1902" s="17"/>
      <c r="P1902" s="59" t="s">
        <v>7515</v>
      </c>
      <c r="Q1902" s="12"/>
      <c r="R1902" s="12"/>
      <c r="S1902" s="12"/>
      <c r="T1902" s="12"/>
      <c r="U1902" s="12"/>
      <c r="V1902" s="12"/>
      <c r="Z1902" s="12"/>
      <c r="AA1902" s="12" t="n">
        <v>5</v>
      </c>
      <c r="AB1902" s="12"/>
      <c r="AC1902" s="12"/>
      <c r="AD1902" s="12"/>
      <c r="AE1902" s="12"/>
    </row>
    <row r="1903" customFormat="false" ht="15.75" hidden="false" customHeight="false" outlineLevel="0" collapsed="false">
      <c r="A1903" s="12" t="str">
        <f aca="false">IF((AA1903&gt;=4), "Y", "N")</f>
        <v>Y</v>
      </c>
      <c r="B1903" s="74"/>
      <c r="C1903" s="26" t="s">
        <v>7550</v>
      </c>
      <c r="D1903" s="24"/>
      <c r="E1903" s="17"/>
      <c r="F1903" s="17"/>
      <c r="G1903" s="17"/>
      <c r="H1903" s="17"/>
      <c r="I1903" s="26" t="s">
        <v>209</v>
      </c>
      <c r="J1903" s="32"/>
      <c r="K1903" s="17"/>
      <c r="L1903" s="38"/>
      <c r="M1903" s="17"/>
      <c r="N1903" s="17"/>
      <c r="O1903" s="17"/>
      <c r="P1903" s="59" t="s">
        <v>7515</v>
      </c>
      <c r="Q1903" s="12"/>
      <c r="R1903" s="12"/>
      <c r="S1903" s="12"/>
      <c r="T1903" s="12"/>
      <c r="U1903" s="12"/>
      <c r="V1903" s="12"/>
      <c r="Z1903" s="12"/>
      <c r="AA1903" s="12" t="n">
        <v>5</v>
      </c>
      <c r="AB1903" s="12"/>
      <c r="AC1903" s="12"/>
      <c r="AD1903" s="12"/>
      <c r="AE1903" s="12"/>
    </row>
    <row r="1904" customFormat="false" ht="15.75" hidden="false" customHeight="false" outlineLevel="0" collapsed="false">
      <c r="A1904" s="12" t="str">
        <f aca="false">IF((AA1904&gt;=4), "Y", "N")</f>
        <v>Y</v>
      </c>
      <c r="B1904" s="74"/>
      <c r="C1904" s="26" t="s">
        <v>7551</v>
      </c>
      <c r="D1904" s="24"/>
      <c r="E1904" s="17"/>
      <c r="F1904" s="17"/>
      <c r="G1904" s="17"/>
      <c r="H1904" s="17"/>
      <c r="I1904" s="26" t="s">
        <v>209</v>
      </c>
      <c r="J1904" s="32"/>
      <c r="K1904" s="17"/>
      <c r="L1904" s="38"/>
      <c r="M1904" s="17"/>
      <c r="N1904" s="17"/>
      <c r="O1904" s="17"/>
      <c r="P1904" s="59" t="s">
        <v>7515</v>
      </c>
      <c r="Q1904" s="12"/>
      <c r="R1904" s="12"/>
      <c r="S1904" s="12"/>
      <c r="T1904" s="12"/>
      <c r="U1904" s="12"/>
      <c r="V1904" s="12"/>
      <c r="Z1904" s="12"/>
      <c r="AA1904" s="12" t="n">
        <v>5</v>
      </c>
      <c r="AB1904" s="12"/>
      <c r="AC1904" s="12"/>
      <c r="AD1904" s="12"/>
      <c r="AE1904" s="12"/>
    </row>
    <row r="1905" customFormat="false" ht="15.75" hidden="false" customHeight="false" outlineLevel="0" collapsed="false">
      <c r="A1905" s="12" t="str">
        <f aca="false">IF((AA1905&gt;=4), "Y", "N")</f>
        <v>Y</v>
      </c>
      <c r="B1905" s="74"/>
      <c r="C1905" s="26" t="s">
        <v>7552</v>
      </c>
      <c r="D1905" s="24"/>
      <c r="E1905" s="17"/>
      <c r="F1905" s="17"/>
      <c r="G1905" s="17"/>
      <c r="H1905" s="17"/>
      <c r="I1905" s="26" t="s">
        <v>209</v>
      </c>
      <c r="J1905" s="32"/>
      <c r="K1905" s="17"/>
      <c r="L1905" s="38"/>
      <c r="M1905" s="17"/>
      <c r="N1905" s="17"/>
      <c r="O1905" s="17"/>
      <c r="P1905" s="59" t="s">
        <v>7515</v>
      </c>
      <c r="Q1905" s="12"/>
      <c r="R1905" s="12"/>
      <c r="S1905" s="12"/>
      <c r="T1905" s="12"/>
      <c r="U1905" s="12"/>
      <c r="V1905" s="12"/>
      <c r="Z1905" s="12"/>
      <c r="AA1905" s="12" t="n">
        <v>5</v>
      </c>
      <c r="AB1905" s="12"/>
      <c r="AC1905" s="12"/>
      <c r="AD1905" s="12"/>
      <c r="AE1905" s="12"/>
    </row>
    <row r="1906" customFormat="false" ht="15.75" hidden="false" customHeight="false" outlineLevel="0" collapsed="false">
      <c r="A1906" s="12" t="str">
        <f aca="false">IF((AA1906&gt;=4), "Y", "N")</f>
        <v>Y</v>
      </c>
      <c r="B1906" s="74"/>
      <c r="C1906" s="26" t="s">
        <v>7553</v>
      </c>
      <c r="D1906" s="24"/>
      <c r="E1906" s="17"/>
      <c r="F1906" s="17"/>
      <c r="G1906" s="17"/>
      <c r="H1906" s="17"/>
      <c r="I1906" s="26" t="s">
        <v>209</v>
      </c>
      <c r="J1906" s="32"/>
      <c r="K1906" s="17"/>
      <c r="L1906" s="38"/>
      <c r="M1906" s="17"/>
      <c r="N1906" s="17"/>
      <c r="O1906" s="17"/>
      <c r="P1906" s="59" t="s">
        <v>7515</v>
      </c>
      <c r="Q1906" s="12"/>
      <c r="R1906" s="12"/>
      <c r="S1906" s="12"/>
      <c r="T1906" s="12"/>
      <c r="U1906" s="12"/>
      <c r="V1906" s="12"/>
      <c r="Z1906" s="12"/>
      <c r="AA1906" s="12" t="n">
        <v>5</v>
      </c>
      <c r="AB1906" s="12"/>
      <c r="AC1906" s="12"/>
      <c r="AD1906" s="12"/>
      <c r="AE1906" s="12"/>
    </row>
    <row r="1907" customFormat="false" ht="15.75" hidden="false" customHeight="false" outlineLevel="0" collapsed="false">
      <c r="A1907" s="12" t="str">
        <f aca="false">IF((AA1907&gt;=4), "Y", "N")</f>
        <v>Y</v>
      </c>
      <c r="B1907" s="74"/>
      <c r="C1907" s="26" t="s">
        <v>7554</v>
      </c>
      <c r="D1907" s="24"/>
      <c r="E1907" s="17"/>
      <c r="F1907" s="17"/>
      <c r="G1907" s="17"/>
      <c r="H1907" s="17"/>
      <c r="I1907" s="26" t="s">
        <v>209</v>
      </c>
      <c r="J1907" s="32"/>
      <c r="K1907" s="17"/>
      <c r="L1907" s="38"/>
      <c r="M1907" s="17"/>
      <c r="N1907" s="17"/>
      <c r="O1907" s="17"/>
      <c r="P1907" s="59" t="s">
        <v>7515</v>
      </c>
      <c r="Q1907" s="12"/>
      <c r="R1907" s="12"/>
      <c r="S1907" s="12"/>
      <c r="T1907" s="12"/>
      <c r="U1907" s="12"/>
      <c r="V1907" s="12"/>
      <c r="Z1907" s="12"/>
      <c r="AA1907" s="12" t="n">
        <v>5</v>
      </c>
      <c r="AB1907" s="12"/>
      <c r="AC1907" s="12"/>
      <c r="AD1907" s="12"/>
      <c r="AE1907" s="12"/>
    </row>
    <row r="1908" customFormat="false" ht="15.75" hidden="false" customHeight="false" outlineLevel="0" collapsed="false">
      <c r="A1908" s="12" t="str">
        <f aca="false">IF((AA1908&gt;=4), "Y", "N")</f>
        <v>Y</v>
      </c>
      <c r="B1908" s="74"/>
      <c r="C1908" s="26" t="s">
        <v>7555</v>
      </c>
      <c r="D1908" s="24"/>
      <c r="E1908" s="17"/>
      <c r="F1908" s="17"/>
      <c r="G1908" s="17"/>
      <c r="H1908" s="17"/>
      <c r="I1908" s="26" t="s">
        <v>209</v>
      </c>
      <c r="J1908" s="32"/>
      <c r="K1908" s="17"/>
      <c r="L1908" s="38"/>
      <c r="M1908" s="17"/>
      <c r="N1908" s="17"/>
      <c r="O1908" s="17"/>
      <c r="P1908" s="59" t="s">
        <v>7515</v>
      </c>
      <c r="Q1908" s="12"/>
      <c r="R1908" s="12"/>
      <c r="S1908" s="12"/>
      <c r="T1908" s="12"/>
      <c r="U1908" s="12"/>
      <c r="V1908" s="12"/>
      <c r="Z1908" s="12"/>
      <c r="AA1908" s="12" t="n">
        <v>5</v>
      </c>
      <c r="AB1908" s="12"/>
      <c r="AC1908" s="12"/>
      <c r="AD1908" s="12"/>
      <c r="AE1908" s="12"/>
    </row>
    <row r="1909" customFormat="false" ht="15.75" hidden="false" customHeight="false" outlineLevel="0" collapsed="false">
      <c r="A1909" s="12" t="str">
        <f aca="false">IF((AA1909&gt;=4), "Y", "N")</f>
        <v>Y</v>
      </c>
      <c r="B1909" s="74"/>
      <c r="C1909" s="26" t="s">
        <v>7556</v>
      </c>
      <c r="D1909" s="24"/>
      <c r="E1909" s="17"/>
      <c r="F1909" s="17"/>
      <c r="G1909" s="17"/>
      <c r="H1909" s="17"/>
      <c r="I1909" s="26" t="s">
        <v>209</v>
      </c>
      <c r="J1909" s="32"/>
      <c r="K1909" s="17"/>
      <c r="L1909" s="38"/>
      <c r="M1909" s="17"/>
      <c r="N1909" s="17"/>
      <c r="O1909" s="17"/>
      <c r="P1909" s="59" t="s">
        <v>7515</v>
      </c>
      <c r="Q1909" s="12"/>
      <c r="R1909" s="12"/>
      <c r="S1909" s="12"/>
      <c r="T1909" s="12"/>
      <c r="U1909" s="12"/>
      <c r="V1909" s="12"/>
      <c r="Z1909" s="12"/>
      <c r="AA1909" s="12" t="n">
        <v>5</v>
      </c>
      <c r="AB1909" s="12"/>
      <c r="AC1909" s="12"/>
      <c r="AD1909" s="12"/>
      <c r="AE1909" s="12"/>
    </row>
    <row r="1910" customFormat="false" ht="15.75" hidden="false" customHeight="false" outlineLevel="0" collapsed="false">
      <c r="A1910" s="12" t="str">
        <f aca="false">IF((AA1910&gt;=4), "Y", "N")</f>
        <v>Y</v>
      </c>
      <c r="B1910" s="74"/>
      <c r="C1910" s="26" t="s">
        <v>7557</v>
      </c>
      <c r="D1910" s="24"/>
      <c r="E1910" s="17"/>
      <c r="F1910" s="17"/>
      <c r="G1910" s="17"/>
      <c r="H1910" s="17"/>
      <c r="I1910" s="26" t="s">
        <v>209</v>
      </c>
      <c r="J1910" s="32"/>
      <c r="K1910" s="17"/>
      <c r="L1910" s="38"/>
      <c r="M1910" s="17"/>
      <c r="N1910" s="17"/>
      <c r="O1910" s="17"/>
      <c r="P1910" s="59" t="s">
        <v>7515</v>
      </c>
      <c r="Q1910" s="12"/>
      <c r="R1910" s="12"/>
      <c r="S1910" s="12"/>
      <c r="T1910" s="12"/>
      <c r="U1910" s="12"/>
      <c r="V1910" s="12"/>
      <c r="Z1910" s="12"/>
      <c r="AA1910" s="12" t="n">
        <v>5</v>
      </c>
      <c r="AB1910" s="12"/>
      <c r="AC1910" s="12"/>
      <c r="AD1910" s="12"/>
      <c r="AE1910" s="12"/>
    </row>
    <row r="1911" customFormat="false" ht="15.75" hidden="false" customHeight="false" outlineLevel="0" collapsed="false">
      <c r="A1911" s="12" t="str">
        <f aca="false">IF((AA1911&gt;=4), "Y", "N")</f>
        <v>Y</v>
      </c>
      <c r="B1911" s="74"/>
      <c r="C1911" s="26" t="s">
        <v>7558</v>
      </c>
      <c r="D1911" s="24"/>
      <c r="E1911" s="17"/>
      <c r="F1911" s="17"/>
      <c r="G1911" s="17"/>
      <c r="H1911" s="17"/>
      <c r="I1911" s="26" t="s">
        <v>209</v>
      </c>
      <c r="J1911" s="32"/>
      <c r="K1911" s="17"/>
      <c r="L1911" s="38"/>
      <c r="M1911" s="17"/>
      <c r="N1911" s="17"/>
      <c r="O1911" s="17"/>
      <c r="P1911" s="59" t="s">
        <v>7515</v>
      </c>
      <c r="Q1911" s="12"/>
      <c r="R1911" s="12"/>
      <c r="S1911" s="12"/>
      <c r="T1911" s="12"/>
      <c r="U1911" s="12"/>
      <c r="V1911" s="12"/>
      <c r="Z1911" s="12"/>
      <c r="AA1911" s="12" t="n">
        <v>5</v>
      </c>
      <c r="AB1911" s="12"/>
      <c r="AC1911" s="12"/>
      <c r="AD1911" s="12"/>
      <c r="AE1911" s="12"/>
    </row>
    <row r="1912" customFormat="false" ht="15.75" hidden="false" customHeight="false" outlineLevel="0" collapsed="false">
      <c r="A1912" s="12" t="str">
        <f aca="false">IF((AA1912&gt;=4), "Y", "N")</f>
        <v>Y</v>
      </c>
      <c r="B1912" s="74"/>
      <c r="C1912" s="26" t="s">
        <v>7559</v>
      </c>
      <c r="D1912" s="24"/>
      <c r="E1912" s="17"/>
      <c r="F1912" s="17"/>
      <c r="G1912" s="17"/>
      <c r="H1912" s="17"/>
      <c r="I1912" s="26" t="s">
        <v>209</v>
      </c>
      <c r="J1912" s="32"/>
      <c r="K1912" s="17"/>
      <c r="L1912" s="38"/>
      <c r="M1912" s="17"/>
      <c r="N1912" s="17"/>
      <c r="O1912" s="17"/>
      <c r="P1912" s="59" t="s">
        <v>7515</v>
      </c>
      <c r="Q1912" s="12"/>
      <c r="R1912" s="12"/>
      <c r="S1912" s="12"/>
      <c r="T1912" s="12"/>
      <c r="U1912" s="12"/>
      <c r="V1912" s="12"/>
      <c r="Z1912" s="12"/>
      <c r="AA1912" s="12" t="n">
        <v>5</v>
      </c>
      <c r="AB1912" s="12"/>
      <c r="AC1912" s="12"/>
      <c r="AD1912" s="12"/>
      <c r="AE1912" s="12"/>
    </row>
    <row r="1913" customFormat="false" ht="15.75" hidden="false" customHeight="false" outlineLevel="0" collapsed="false">
      <c r="A1913" s="12" t="str">
        <f aca="false">IF((AA1913&gt;=4), "Y", "N")</f>
        <v>Y</v>
      </c>
      <c r="B1913" s="74"/>
      <c r="C1913" s="26" t="s">
        <v>7560</v>
      </c>
      <c r="D1913" s="24"/>
      <c r="E1913" s="17"/>
      <c r="F1913" s="17"/>
      <c r="G1913" s="17"/>
      <c r="H1913" s="17"/>
      <c r="I1913" s="26" t="s">
        <v>209</v>
      </c>
      <c r="J1913" s="32"/>
      <c r="K1913" s="17"/>
      <c r="L1913" s="38"/>
      <c r="M1913" s="17"/>
      <c r="N1913" s="17"/>
      <c r="O1913" s="17"/>
      <c r="P1913" s="59" t="s">
        <v>7515</v>
      </c>
      <c r="Q1913" s="12"/>
      <c r="R1913" s="12"/>
      <c r="S1913" s="12"/>
      <c r="T1913" s="12"/>
      <c r="U1913" s="12"/>
      <c r="V1913" s="12"/>
      <c r="Z1913" s="12"/>
      <c r="AA1913" s="12" t="n">
        <v>5</v>
      </c>
      <c r="AB1913" s="12"/>
      <c r="AC1913" s="12"/>
      <c r="AD1913" s="12"/>
      <c r="AE1913" s="12"/>
    </row>
    <row r="1914" customFormat="false" ht="15.75" hidden="false" customHeight="false" outlineLevel="0" collapsed="false">
      <c r="A1914" s="12" t="str">
        <f aca="false">IF((AA1914&gt;=4), "Y", "N")</f>
        <v>Y</v>
      </c>
      <c r="B1914" s="74"/>
      <c r="C1914" s="26" t="s">
        <v>7560</v>
      </c>
      <c r="D1914" s="24"/>
      <c r="E1914" s="17"/>
      <c r="F1914" s="17"/>
      <c r="G1914" s="17"/>
      <c r="H1914" s="17"/>
      <c r="I1914" s="26" t="s">
        <v>209</v>
      </c>
      <c r="J1914" s="32"/>
      <c r="K1914" s="17"/>
      <c r="L1914" s="38"/>
      <c r="M1914" s="17"/>
      <c r="N1914" s="17"/>
      <c r="O1914" s="17"/>
      <c r="P1914" s="59" t="s">
        <v>7515</v>
      </c>
      <c r="Q1914" s="12"/>
      <c r="R1914" s="12"/>
      <c r="S1914" s="12"/>
      <c r="T1914" s="12"/>
      <c r="U1914" s="12"/>
      <c r="V1914" s="12"/>
      <c r="Z1914" s="12"/>
      <c r="AA1914" s="12" t="n">
        <v>5</v>
      </c>
      <c r="AB1914" s="12"/>
      <c r="AC1914" s="12"/>
      <c r="AD1914" s="12"/>
      <c r="AE1914" s="12"/>
    </row>
    <row r="1915" customFormat="false" ht="15.75" hidden="false" customHeight="false" outlineLevel="0" collapsed="false">
      <c r="A1915" s="12" t="str">
        <f aca="false">IF((AA1915&gt;=4), "Y", "N")</f>
        <v>Y</v>
      </c>
      <c r="B1915" s="74"/>
      <c r="C1915" s="26" t="s">
        <v>7561</v>
      </c>
      <c r="D1915" s="24"/>
      <c r="E1915" s="17"/>
      <c r="F1915" s="17"/>
      <c r="G1915" s="17"/>
      <c r="H1915" s="17"/>
      <c r="I1915" s="26" t="s">
        <v>209</v>
      </c>
      <c r="J1915" s="32"/>
      <c r="K1915" s="17"/>
      <c r="L1915" s="38"/>
      <c r="M1915" s="17"/>
      <c r="N1915" s="17"/>
      <c r="O1915" s="17"/>
      <c r="P1915" s="59" t="s">
        <v>7515</v>
      </c>
      <c r="Q1915" s="12"/>
      <c r="R1915" s="12"/>
      <c r="S1915" s="12"/>
      <c r="T1915" s="12"/>
      <c r="U1915" s="12"/>
      <c r="V1915" s="12"/>
      <c r="Z1915" s="12"/>
      <c r="AA1915" s="12" t="n">
        <v>5</v>
      </c>
      <c r="AB1915" s="12"/>
      <c r="AC1915" s="12"/>
      <c r="AD1915" s="12"/>
      <c r="AE1915" s="12"/>
    </row>
    <row r="1916" customFormat="false" ht="15.75" hidden="false" customHeight="false" outlineLevel="0" collapsed="false">
      <c r="A1916" s="12" t="str">
        <f aca="false">IF((AA1916&gt;=4), "Y", "N")</f>
        <v>Y</v>
      </c>
      <c r="B1916" s="74"/>
      <c r="C1916" s="26" t="s">
        <v>7562</v>
      </c>
      <c r="D1916" s="24"/>
      <c r="E1916" s="17"/>
      <c r="F1916" s="17"/>
      <c r="G1916" s="17"/>
      <c r="H1916" s="17"/>
      <c r="I1916" s="26" t="s">
        <v>209</v>
      </c>
      <c r="J1916" s="32"/>
      <c r="K1916" s="17"/>
      <c r="L1916" s="38"/>
      <c r="M1916" s="17"/>
      <c r="N1916" s="17"/>
      <c r="O1916" s="17"/>
      <c r="P1916" s="59" t="s">
        <v>7515</v>
      </c>
      <c r="Q1916" s="12"/>
      <c r="R1916" s="12"/>
      <c r="S1916" s="12"/>
      <c r="T1916" s="12"/>
      <c r="U1916" s="12"/>
      <c r="V1916" s="12"/>
      <c r="Z1916" s="12"/>
      <c r="AA1916" s="12" t="n">
        <v>5</v>
      </c>
      <c r="AB1916" s="12"/>
      <c r="AC1916" s="12"/>
      <c r="AD1916" s="12"/>
      <c r="AE1916" s="12"/>
    </row>
    <row r="1917" customFormat="false" ht="15.75" hidden="false" customHeight="false" outlineLevel="0" collapsed="false">
      <c r="A1917" s="12" t="str">
        <f aca="false">IF((AA1917&gt;=4), "Y", "N")</f>
        <v>Y</v>
      </c>
      <c r="B1917" s="74"/>
      <c r="C1917" s="26" t="s">
        <v>7563</v>
      </c>
      <c r="D1917" s="24"/>
      <c r="E1917" s="17"/>
      <c r="F1917" s="17"/>
      <c r="G1917" s="17"/>
      <c r="H1917" s="17"/>
      <c r="I1917" s="26" t="s">
        <v>209</v>
      </c>
      <c r="J1917" s="32"/>
      <c r="K1917" s="17"/>
      <c r="L1917" s="38"/>
      <c r="M1917" s="17"/>
      <c r="N1917" s="17"/>
      <c r="O1917" s="17"/>
      <c r="P1917" s="59" t="s">
        <v>7515</v>
      </c>
      <c r="Q1917" s="12"/>
      <c r="R1917" s="12"/>
      <c r="S1917" s="12"/>
      <c r="T1917" s="12"/>
      <c r="U1917" s="12"/>
      <c r="V1917" s="12"/>
      <c r="Z1917" s="12"/>
      <c r="AA1917" s="12" t="n">
        <v>5</v>
      </c>
      <c r="AB1917" s="12"/>
      <c r="AC1917" s="12"/>
      <c r="AD1917" s="12"/>
      <c r="AE1917" s="12"/>
    </row>
    <row r="1918" customFormat="false" ht="15.75" hidden="false" customHeight="false" outlineLevel="0" collapsed="false">
      <c r="A1918" s="12" t="str">
        <f aca="false">IF((AA1918&gt;=4), "Y", "N")</f>
        <v>Y</v>
      </c>
      <c r="B1918" s="74"/>
      <c r="C1918" s="26" t="s">
        <v>7564</v>
      </c>
      <c r="D1918" s="24"/>
      <c r="E1918" s="17"/>
      <c r="F1918" s="17"/>
      <c r="G1918" s="17"/>
      <c r="H1918" s="17"/>
      <c r="I1918" s="26" t="s">
        <v>209</v>
      </c>
      <c r="J1918" s="32"/>
      <c r="K1918" s="17"/>
      <c r="L1918" s="38"/>
      <c r="M1918" s="17"/>
      <c r="N1918" s="17"/>
      <c r="O1918" s="17"/>
      <c r="P1918" s="59" t="s">
        <v>7515</v>
      </c>
      <c r="Q1918" s="12"/>
      <c r="R1918" s="12"/>
      <c r="S1918" s="12"/>
      <c r="T1918" s="12"/>
      <c r="U1918" s="12"/>
      <c r="V1918" s="12"/>
      <c r="Z1918" s="12"/>
      <c r="AA1918" s="12" t="n">
        <v>5</v>
      </c>
      <c r="AB1918" s="12"/>
      <c r="AC1918" s="12"/>
      <c r="AD1918" s="12"/>
      <c r="AE1918" s="12"/>
    </row>
    <row r="1919" customFormat="false" ht="15.75" hidden="false" customHeight="false" outlineLevel="0" collapsed="false">
      <c r="A1919" s="12" t="str">
        <f aca="false">IF((AA1919&gt;=4), "Y", "N")</f>
        <v>Y</v>
      </c>
      <c r="B1919" s="74"/>
      <c r="C1919" s="26" t="s">
        <v>7565</v>
      </c>
      <c r="D1919" s="24"/>
      <c r="E1919" s="17"/>
      <c r="F1919" s="17"/>
      <c r="G1919" s="17"/>
      <c r="H1919" s="17"/>
      <c r="I1919" s="26" t="s">
        <v>209</v>
      </c>
      <c r="J1919" s="32"/>
      <c r="K1919" s="17"/>
      <c r="L1919" s="38"/>
      <c r="M1919" s="17"/>
      <c r="N1919" s="17"/>
      <c r="O1919" s="17"/>
      <c r="P1919" s="59" t="s">
        <v>7515</v>
      </c>
      <c r="Q1919" s="12"/>
      <c r="R1919" s="12"/>
      <c r="S1919" s="12"/>
      <c r="T1919" s="12"/>
      <c r="U1919" s="12"/>
      <c r="V1919" s="12"/>
      <c r="Z1919" s="12"/>
      <c r="AA1919" s="12" t="n">
        <v>5</v>
      </c>
      <c r="AB1919" s="12"/>
      <c r="AC1919" s="12"/>
      <c r="AD1919" s="12"/>
      <c r="AE1919" s="12"/>
    </row>
    <row r="1920" customFormat="false" ht="15.75" hidden="false" customHeight="false" outlineLevel="0" collapsed="false">
      <c r="A1920" s="12" t="str">
        <f aca="false">IF((AA1920&gt;=4), "Y", "N")</f>
        <v>Y</v>
      </c>
      <c r="B1920" s="74"/>
      <c r="C1920" s="26" t="s">
        <v>7566</v>
      </c>
      <c r="D1920" s="24"/>
      <c r="E1920" s="17"/>
      <c r="F1920" s="17"/>
      <c r="G1920" s="17"/>
      <c r="H1920" s="17"/>
      <c r="I1920" s="26" t="s">
        <v>209</v>
      </c>
      <c r="J1920" s="32"/>
      <c r="K1920" s="17"/>
      <c r="L1920" s="38"/>
      <c r="M1920" s="17"/>
      <c r="N1920" s="17"/>
      <c r="O1920" s="17"/>
      <c r="P1920" s="59" t="s">
        <v>7515</v>
      </c>
      <c r="Q1920" s="12"/>
      <c r="R1920" s="12"/>
      <c r="S1920" s="12"/>
      <c r="T1920" s="12"/>
      <c r="U1920" s="12"/>
      <c r="V1920" s="12"/>
      <c r="Z1920" s="12"/>
      <c r="AA1920" s="12" t="n">
        <v>5</v>
      </c>
      <c r="AB1920" s="12"/>
      <c r="AC1920" s="12"/>
      <c r="AD1920" s="12"/>
      <c r="AE1920" s="12"/>
    </row>
    <row r="1921" customFormat="false" ht="15.75" hidden="false" customHeight="false" outlineLevel="0" collapsed="false">
      <c r="A1921" s="12" t="str">
        <f aca="false">IF((AA1921&gt;=4), "Y", "N")</f>
        <v>Y</v>
      </c>
      <c r="B1921" s="74"/>
      <c r="C1921" s="26" t="s">
        <v>7567</v>
      </c>
      <c r="D1921" s="24"/>
      <c r="E1921" s="17"/>
      <c r="F1921" s="17"/>
      <c r="G1921" s="17"/>
      <c r="H1921" s="17"/>
      <c r="I1921" s="26" t="s">
        <v>209</v>
      </c>
      <c r="J1921" s="32"/>
      <c r="K1921" s="17"/>
      <c r="L1921" s="38"/>
      <c r="M1921" s="17"/>
      <c r="N1921" s="17"/>
      <c r="O1921" s="17"/>
      <c r="P1921" s="59" t="s">
        <v>7515</v>
      </c>
      <c r="Q1921" s="12"/>
      <c r="R1921" s="12"/>
      <c r="S1921" s="12"/>
      <c r="T1921" s="12"/>
      <c r="U1921" s="12"/>
      <c r="V1921" s="12"/>
      <c r="Z1921" s="12"/>
      <c r="AA1921" s="12" t="n">
        <v>5</v>
      </c>
      <c r="AB1921" s="12"/>
      <c r="AC1921" s="12"/>
      <c r="AD1921" s="12"/>
      <c r="AE1921" s="12"/>
    </row>
    <row r="1922" customFormat="false" ht="15.75" hidden="false" customHeight="false" outlineLevel="0" collapsed="false">
      <c r="A1922" s="12" t="str">
        <f aca="false">IF((AA1922&gt;=4), "Y", "N")</f>
        <v>Y</v>
      </c>
      <c r="B1922" s="74"/>
      <c r="C1922" s="26" t="s">
        <v>7568</v>
      </c>
      <c r="D1922" s="24"/>
      <c r="E1922" s="17"/>
      <c r="F1922" s="17"/>
      <c r="G1922" s="17"/>
      <c r="H1922" s="17"/>
      <c r="I1922" s="26" t="s">
        <v>209</v>
      </c>
      <c r="J1922" s="32"/>
      <c r="K1922" s="17"/>
      <c r="L1922" s="38"/>
      <c r="M1922" s="17"/>
      <c r="N1922" s="17"/>
      <c r="O1922" s="17"/>
      <c r="P1922" s="59" t="s">
        <v>7515</v>
      </c>
      <c r="Q1922" s="12"/>
      <c r="R1922" s="12"/>
      <c r="S1922" s="12"/>
      <c r="T1922" s="12"/>
      <c r="U1922" s="12"/>
      <c r="V1922" s="12"/>
      <c r="Z1922" s="12"/>
      <c r="AA1922" s="12" t="n">
        <v>5</v>
      </c>
      <c r="AB1922" s="12"/>
      <c r="AC1922" s="12"/>
      <c r="AD1922" s="12"/>
      <c r="AE1922" s="12"/>
    </row>
    <row r="1923" customFormat="false" ht="15.75" hidden="false" customHeight="false" outlineLevel="0" collapsed="false">
      <c r="A1923" s="12" t="str">
        <f aca="false">IF((AA1923&gt;=4), "Y", "N")</f>
        <v>Y</v>
      </c>
      <c r="B1923" s="74"/>
      <c r="C1923" s="26" t="s">
        <v>7569</v>
      </c>
      <c r="D1923" s="24"/>
      <c r="E1923" s="17"/>
      <c r="F1923" s="17"/>
      <c r="G1923" s="17"/>
      <c r="H1923" s="17"/>
      <c r="I1923" s="26" t="s">
        <v>209</v>
      </c>
      <c r="J1923" s="32"/>
      <c r="K1923" s="17"/>
      <c r="L1923" s="38"/>
      <c r="M1923" s="17"/>
      <c r="N1923" s="17"/>
      <c r="O1923" s="17"/>
      <c r="P1923" s="59" t="s">
        <v>7515</v>
      </c>
      <c r="Q1923" s="12"/>
      <c r="R1923" s="12"/>
      <c r="S1923" s="12"/>
      <c r="T1923" s="12"/>
      <c r="U1923" s="12"/>
      <c r="V1923" s="12"/>
      <c r="Z1923" s="12"/>
      <c r="AA1923" s="12" t="n">
        <v>5</v>
      </c>
      <c r="AB1923" s="12"/>
      <c r="AC1923" s="12"/>
      <c r="AD1923" s="12"/>
      <c r="AE1923" s="12"/>
    </row>
    <row r="1924" customFormat="false" ht="15.75" hidden="false" customHeight="false" outlineLevel="0" collapsed="false">
      <c r="A1924" s="12" t="str">
        <f aca="false">IF((AA1924&gt;=4), "Y", "N")</f>
        <v>Y</v>
      </c>
      <c r="B1924" s="74"/>
      <c r="C1924" s="26" t="s">
        <v>7570</v>
      </c>
      <c r="D1924" s="24"/>
      <c r="E1924" s="17"/>
      <c r="F1924" s="17"/>
      <c r="G1924" s="17"/>
      <c r="H1924" s="17"/>
      <c r="I1924" s="26" t="s">
        <v>209</v>
      </c>
      <c r="J1924" s="32"/>
      <c r="K1924" s="17"/>
      <c r="L1924" s="38"/>
      <c r="M1924" s="17"/>
      <c r="N1924" s="17"/>
      <c r="O1924" s="17"/>
      <c r="P1924" s="59" t="s">
        <v>7515</v>
      </c>
      <c r="Q1924" s="12"/>
      <c r="R1924" s="12"/>
      <c r="S1924" s="12"/>
      <c r="T1924" s="12"/>
      <c r="U1924" s="12"/>
      <c r="V1924" s="12"/>
      <c r="Z1924" s="12"/>
      <c r="AA1924" s="12" t="n">
        <v>5</v>
      </c>
      <c r="AB1924" s="12"/>
      <c r="AC1924" s="12"/>
      <c r="AD1924" s="12"/>
      <c r="AE1924" s="12"/>
    </row>
    <row r="1925" customFormat="false" ht="15.75" hidden="false" customHeight="false" outlineLevel="0" collapsed="false">
      <c r="A1925" s="12" t="str">
        <f aca="false">IF((AA1925&gt;=4), "Y", "N")</f>
        <v>Y</v>
      </c>
      <c r="B1925" s="74"/>
      <c r="C1925" s="26" t="s">
        <v>7571</v>
      </c>
      <c r="D1925" s="24"/>
      <c r="E1925" s="17"/>
      <c r="F1925" s="17"/>
      <c r="G1925" s="17"/>
      <c r="H1925" s="17"/>
      <c r="I1925" s="26" t="s">
        <v>209</v>
      </c>
      <c r="J1925" s="32"/>
      <c r="K1925" s="17"/>
      <c r="L1925" s="38"/>
      <c r="M1925" s="17"/>
      <c r="N1925" s="17"/>
      <c r="O1925" s="17"/>
      <c r="P1925" s="59" t="s">
        <v>7515</v>
      </c>
      <c r="Q1925" s="12"/>
      <c r="R1925" s="12"/>
      <c r="S1925" s="12"/>
      <c r="T1925" s="12"/>
      <c r="U1925" s="12"/>
      <c r="V1925" s="12"/>
      <c r="Z1925" s="12"/>
      <c r="AA1925" s="12" t="n">
        <v>5</v>
      </c>
      <c r="AB1925" s="12"/>
      <c r="AC1925" s="12"/>
      <c r="AD1925" s="12"/>
      <c r="AE1925" s="12"/>
    </row>
    <row r="1926" customFormat="false" ht="15.75" hidden="false" customHeight="false" outlineLevel="0" collapsed="false">
      <c r="A1926" s="12" t="str">
        <f aca="false">IF((AA1926&gt;=4), "Y", "N")</f>
        <v>Y</v>
      </c>
      <c r="B1926" s="74"/>
      <c r="C1926" s="26" t="s">
        <v>7572</v>
      </c>
      <c r="D1926" s="24"/>
      <c r="E1926" s="17"/>
      <c r="F1926" s="17"/>
      <c r="G1926" s="17"/>
      <c r="H1926" s="17"/>
      <c r="I1926" s="26" t="s">
        <v>209</v>
      </c>
      <c r="J1926" s="32"/>
      <c r="K1926" s="17"/>
      <c r="L1926" s="38"/>
      <c r="M1926" s="17"/>
      <c r="N1926" s="17"/>
      <c r="O1926" s="17"/>
      <c r="P1926" s="59" t="s">
        <v>7515</v>
      </c>
      <c r="Q1926" s="12"/>
      <c r="R1926" s="12"/>
      <c r="S1926" s="12"/>
      <c r="T1926" s="12"/>
      <c r="U1926" s="12"/>
      <c r="V1926" s="12"/>
      <c r="Z1926" s="12"/>
      <c r="AA1926" s="12" t="n">
        <v>5</v>
      </c>
      <c r="AB1926" s="12"/>
      <c r="AC1926" s="12"/>
      <c r="AD1926" s="12"/>
      <c r="AE1926" s="12"/>
    </row>
    <row r="1927" customFormat="false" ht="15.75" hidden="false" customHeight="false" outlineLevel="0" collapsed="false">
      <c r="A1927" s="12" t="str">
        <f aca="false">IF((AA1927&gt;=4), "Y", "N")</f>
        <v>Y</v>
      </c>
      <c r="B1927" s="74"/>
      <c r="C1927" s="125" t="s">
        <v>7573</v>
      </c>
      <c r="D1927" s="24"/>
      <c r="E1927" s="17"/>
      <c r="F1927" s="17"/>
      <c r="G1927" s="17"/>
      <c r="H1927" s="17"/>
      <c r="I1927" s="26" t="s">
        <v>209</v>
      </c>
      <c r="J1927" s="32"/>
      <c r="K1927" s="17"/>
      <c r="L1927" s="38"/>
      <c r="M1927" s="17"/>
      <c r="N1927" s="17"/>
      <c r="O1927" s="17"/>
      <c r="P1927" s="59" t="s">
        <v>7515</v>
      </c>
      <c r="Q1927" s="12"/>
      <c r="R1927" s="12"/>
      <c r="S1927" s="12"/>
      <c r="T1927" s="12"/>
      <c r="U1927" s="12"/>
      <c r="V1927" s="12"/>
      <c r="Z1927" s="12"/>
      <c r="AA1927" s="12" t="n">
        <v>5</v>
      </c>
      <c r="AB1927" s="12"/>
      <c r="AC1927" s="12"/>
      <c r="AD1927" s="12"/>
      <c r="AE1927" s="12"/>
    </row>
    <row r="1928" customFormat="false" ht="15.75" hidden="false" customHeight="false" outlineLevel="0" collapsed="false">
      <c r="A1928" s="12" t="str">
        <f aca="false">IF((AA1928&gt;=4), "Y", "N")</f>
        <v>Y</v>
      </c>
      <c r="B1928" s="74"/>
      <c r="C1928" s="125" t="s">
        <v>7574</v>
      </c>
      <c r="D1928" s="24"/>
      <c r="E1928" s="17"/>
      <c r="F1928" s="17"/>
      <c r="G1928" s="17"/>
      <c r="H1928" s="17"/>
      <c r="I1928" s="26" t="s">
        <v>209</v>
      </c>
      <c r="J1928" s="32"/>
      <c r="K1928" s="17"/>
      <c r="L1928" s="38"/>
      <c r="M1928" s="17"/>
      <c r="N1928" s="17"/>
      <c r="O1928" s="17"/>
      <c r="P1928" s="59" t="s">
        <v>7515</v>
      </c>
      <c r="Q1928" s="12"/>
      <c r="R1928" s="12"/>
      <c r="S1928" s="12"/>
      <c r="T1928" s="12"/>
      <c r="U1928" s="12"/>
      <c r="V1928" s="12"/>
      <c r="Z1928" s="12"/>
      <c r="AA1928" s="12" t="n">
        <v>5</v>
      </c>
      <c r="AB1928" s="12"/>
      <c r="AC1928" s="12"/>
      <c r="AD1928" s="12"/>
      <c r="AE1928" s="12"/>
    </row>
    <row r="1929" customFormat="false" ht="15.75" hidden="false" customHeight="false" outlineLevel="0" collapsed="false">
      <c r="A1929" s="12" t="str">
        <f aca="false">IF((AA1929&gt;=4), "Y", "N")</f>
        <v>Y</v>
      </c>
      <c r="B1929" s="74"/>
      <c r="C1929" s="26" t="s">
        <v>7575</v>
      </c>
      <c r="D1929" s="24"/>
      <c r="E1929" s="17"/>
      <c r="F1929" s="17"/>
      <c r="G1929" s="17"/>
      <c r="H1929" s="17"/>
      <c r="I1929" s="26" t="s">
        <v>209</v>
      </c>
      <c r="J1929" s="32"/>
      <c r="K1929" s="17"/>
      <c r="L1929" s="38"/>
      <c r="M1929" s="17"/>
      <c r="N1929" s="17"/>
      <c r="O1929" s="17"/>
      <c r="P1929" s="59" t="s">
        <v>7515</v>
      </c>
      <c r="Q1929" s="12"/>
      <c r="R1929" s="12"/>
      <c r="S1929" s="12"/>
      <c r="T1929" s="12"/>
      <c r="U1929" s="12"/>
      <c r="V1929" s="12"/>
      <c r="Z1929" s="12"/>
      <c r="AA1929" s="12" t="n">
        <v>5</v>
      </c>
      <c r="AB1929" s="12"/>
      <c r="AC1929" s="12"/>
      <c r="AD1929" s="12"/>
      <c r="AE1929" s="12"/>
    </row>
    <row r="1930" customFormat="false" ht="15.75" hidden="false" customHeight="false" outlineLevel="0" collapsed="false">
      <c r="A1930" s="12" t="str">
        <f aca="false">IF((AA1930&gt;=4), "Y", "N")</f>
        <v>Y</v>
      </c>
      <c r="B1930" s="74"/>
      <c r="C1930" s="26" t="s">
        <v>7576</v>
      </c>
      <c r="D1930" s="24"/>
      <c r="E1930" s="17"/>
      <c r="F1930" s="17"/>
      <c r="G1930" s="17"/>
      <c r="H1930" s="17"/>
      <c r="I1930" s="26" t="s">
        <v>209</v>
      </c>
      <c r="J1930" s="32"/>
      <c r="K1930" s="17"/>
      <c r="L1930" s="38"/>
      <c r="M1930" s="17"/>
      <c r="N1930" s="17"/>
      <c r="O1930" s="17"/>
      <c r="P1930" s="59" t="s">
        <v>7515</v>
      </c>
      <c r="Q1930" s="12"/>
      <c r="R1930" s="12"/>
      <c r="S1930" s="12"/>
      <c r="T1930" s="12"/>
      <c r="U1930" s="12"/>
      <c r="V1930" s="12"/>
      <c r="Z1930" s="12"/>
      <c r="AA1930" s="12" t="n">
        <v>5</v>
      </c>
      <c r="AB1930" s="12"/>
      <c r="AC1930" s="12"/>
      <c r="AD1930" s="12"/>
      <c r="AE1930" s="12"/>
    </row>
    <row r="1931" customFormat="false" ht="15.75" hidden="false" customHeight="false" outlineLevel="0" collapsed="false">
      <c r="A1931" s="12" t="str">
        <f aca="false">IF((AA1931&gt;=4), "Y", "N")</f>
        <v>Y</v>
      </c>
      <c r="B1931" s="74"/>
      <c r="C1931" s="26" t="s">
        <v>7577</v>
      </c>
      <c r="D1931" s="24"/>
      <c r="E1931" s="17"/>
      <c r="F1931" s="17"/>
      <c r="G1931" s="17"/>
      <c r="H1931" s="17"/>
      <c r="I1931" s="26" t="s">
        <v>209</v>
      </c>
      <c r="J1931" s="32"/>
      <c r="K1931" s="17"/>
      <c r="L1931" s="38"/>
      <c r="M1931" s="17"/>
      <c r="N1931" s="17"/>
      <c r="O1931" s="17"/>
      <c r="P1931" s="59" t="s">
        <v>7515</v>
      </c>
      <c r="Q1931" s="12"/>
      <c r="R1931" s="12"/>
      <c r="S1931" s="12"/>
      <c r="T1931" s="12"/>
      <c r="U1931" s="12"/>
      <c r="V1931" s="12"/>
      <c r="Z1931" s="12"/>
      <c r="AA1931" s="12" t="n">
        <v>5</v>
      </c>
      <c r="AB1931" s="12"/>
      <c r="AC1931" s="12"/>
      <c r="AD1931" s="12"/>
      <c r="AE1931" s="12"/>
    </row>
    <row r="1932" customFormat="false" ht="15.75" hidden="false" customHeight="false" outlineLevel="0" collapsed="false">
      <c r="A1932" s="12" t="str">
        <f aca="false">IF((AA1932&gt;=4), "Y", "N")</f>
        <v>Y</v>
      </c>
      <c r="B1932" s="74"/>
      <c r="C1932" s="26" t="s">
        <v>7578</v>
      </c>
      <c r="D1932" s="24"/>
      <c r="E1932" s="17"/>
      <c r="F1932" s="17"/>
      <c r="G1932" s="17"/>
      <c r="H1932" s="17"/>
      <c r="I1932" s="26" t="s">
        <v>209</v>
      </c>
      <c r="J1932" s="32"/>
      <c r="K1932" s="17"/>
      <c r="L1932" s="38"/>
      <c r="M1932" s="17"/>
      <c r="N1932" s="17"/>
      <c r="O1932" s="17"/>
      <c r="P1932" s="59" t="s">
        <v>7515</v>
      </c>
      <c r="Q1932" s="12"/>
      <c r="R1932" s="12"/>
      <c r="S1932" s="12"/>
      <c r="T1932" s="12"/>
      <c r="U1932" s="12"/>
      <c r="V1932" s="12"/>
      <c r="Z1932" s="12"/>
      <c r="AA1932" s="12" t="n">
        <v>5</v>
      </c>
      <c r="AB1932" s="12"/>
      <c r="AC1932" s="12"/>
      <c r="AD1932" s="12"/>
      <c r="AE1932" s="12"/>
    </row>
    <row r="1933" customFormat="false" ht="15.75" hidden="false" customHeight="false" outlineLevel="0" collapsed="false">
      <c r="A1933" s="12" t="str">
        <f aca="false">IF((AA1933&gt;=4), "Y", "N")</f>
        <v>Y</v>
      </c>
      <c r="B1933" s="74"/>
      <c r="C1933" s="26" t="s">
        <v>7579</v>
      </c>
      <c r="D1933" s="24"/>
      <c r="E1933" s="17"/>
      <c r="F1933" s="17"/>
      <c r="G1933" s="17"/>
      <c r="H1933" s="17"/>
      <c r="I1933" s="26" t="s">
        <v>209</v>
      </c>
      <c r="J1933" s="32"/>
      <c r="K1933" s="17"/>
      <c r="L1933" s="38"/>
      <c r="M1933" s="17"/>
      <c r="N1933" s="17"/>
      <c r="O1933" s="17"/>
      <c r="P1933" s="59" t="s">
        <v>7515</v>
      </c>
      <c r="Q1933" s="12"/>
      <c r="R1933" s="12"/>
      <c r="S1933" s="12"/>
      <c r="T1933" s="12"/>
      <c r="U1933" s="12"/>
      <c r="V1933" s="12"/>
      <c r="Z1933" s="12"/>
      <c r="AA1933" s="12" t="n">
        <v>5</v>
      </c>
      <c r="AB1933" s="12"/>
      <c r="AC1933" s="12"/>
      <c r="AD1933" s="12"/>
      <c r="AE1933" s="12"/>
    </row>
    <row r="1934" customFormat="false" ht="15.75" hidden="false" customHeight="false" outlineLevel="0" collapsed="false">
      <c r="A1934" s="12" t="str">
        <f aca="false">IF((AA1934&gt;=4), "Y", "N")</f>
        <v>Y</v>
      </c>
      <c r="B1934" s="74"/>
      <c r="C1934" s="26" t="s">
        <v>7580</v>
      </c>
      <c r="D1934" s="24"/>
      <c r="E1934" s="17"/>
      <c r="F1934" s="17"/>
      <c r="G1934" s="17"/>
      <c r="H1934" s="17"/>
      <c r="I1934" s="26" t="s">
        <v>209</v>
      </c>
      <c r="J1934" s="32"/>
      <c r="K1934" s="17"/>
      <c r="L1934" s="38"/>
      <c r="M1934" s="17"/>
      <c r="N1934" s="17"/>
      <c r="O1934" s="17"/>
      <c r="P1934" s="59" t="s">
        <v>7515</v>
      </c>
      <c r="Q1934" s="12"/>
      <c r="R1934" s="12"/>
      <c r="S1934" s="12"/>
      <c r="T1934" s="12"/>
      <c r="U1934" s="12"/>
      <c r="V1934" s="12"/>
      <c r="Z1934" s="12"/>
      <c r="AA1934" s="12" t="n">
        <v>5</v>
      </c>
      <c r="AB1934" s="12"/>
      <c r="AC1934" s="12"/>
      <c r="AD1934" s="12"/>
      <c r="AE1934" s="12"/>
    </row>
    <row r="1935" customFormat="false" ht="15.75" hidden="false" customHeight="false" outlineLevel="0" collapsed="false">
      <c r="A1935" s="12" t="str">
        <f aca="false">IF((AA1935&gt;=4), "Y", "N")</f>
        <v>Y</v>
      </c>
      <c r="B1935" s="74"/>
      <c r="C1935" s="26" t="s">
        <v>7581</v>
      </c>
      <c r="D1935" s="24"/>
      <c r="E1935" s="17"/>
      <c r="F1935" s="17"/>
      <c r="G1935" s="17"/>
      <c r="H1935" s="17"/>
      <c r="I1935" s="26" t="s">
        <v>209</v>
      </c>
      <c r="J1935" s="32"/>
      <c r="K1935" s="17"/>
      <c r="L1935" s="38"/>
      <c r="M1935" s="17"/>
      <c r="N1935" s="17"/>
      <c r="O1935" s="17"/>
      <c r="P1935" s="59" t="s">
        <v>7515</v>
      </c>
      <c r="Q1935" s="12"/>
      <c r="R1935" s="12"/>
      <c r="S1935" s="12"/>
      <c r="T1935" s="12"/>
      <c r="U1935" s="12"/>
      <c r="V1935" s="12"/>
      <c r="Z1935" s="12"/>
      <c r="AA1935" s="12" t="n">
        <v>5</v>
      </c>
      <c r="AB1935" s="12"/>
      <c r="AC1935" s="12"/>
      <c r="AD1935" s="12"/>
      <c r="AE1935" s="12"/>
    </row>
    <row r="1936" customFormat="false" ht="15.75" hidden="false" customHeight="false" outlineLevel="0" collapsed="false">
      <c r="A1936" s="12" t="str">
        <f aca="false">IF((AA1936&gt;=4), "Y", "N")</f>
        <v>Y</v>
      </c>
      <c r="B1936" s="74"/>
      <c r="C1936" s="26" t="s">
        <v>7582</v>
      </c>
      <c r="D1936" s="24"/>
      <c r="E1936" s="17"/>
      <c r="F1936" s="17"/>
      <c r="G1936" s="17"/>
      <c r="H1936" s="17"/>
      <c r="I1936" s="26" t="s">
        <v>209</v>
      </c>
      <c r="J1936" s="32"/>
      <c r="K1936" s="17"/>
      <c r="L1936" s="38"/>
      <c r="M1936" s="17"/>
      <c r="N1936" s="17"/>
      <c r="O1936" s="17"/>
      <c r="P1936" s="59" t="s">
        <v>7515</v>
      </c>
      <c r="Q1936" s="12"/>
      <c r="R1936" s="12"/>
      <c r="S1936" s="12"/>
      <c r="T1936" s="12"/>
      <c r="U1936" s="12"/>
      <c r="V1936" s="12"/>
      <c r="Z1936" s="12"/>
      <c r="AA1936" s="12" t="n">
        <v>5</v>
      </c>
      <c r="AB1936" s="12"/>
      <c r="AC1936" s="12"/>
      <c r="AD1936" s="12"/>
      <c r="AE1936" s="12"/>
    </row>
    <row r="1937" customFormat="false" ht="15.75" hidden="false" customHeight="false" outlineLevel="0" collapsed="false">
      <c r="A1937" s="12" t="str">
        <f aca="false">IF((AA1937&gt;=4), "Y", "N")</f>
        <v>Y</v>
      </c>
      <c r="B1937" s="74"/>
      <c r="C1937" s="26" t="s">
        <v>7583</v>
      </c>
      <c r="D1937" s="24"/>
      <c r="E1937" s="17"/>
      <c r="F1937" s="17"/>
      <c r="G1937" s="17"/>
      <c r="H1937" s="17"/>
      <c r="I1937" s="26" t="s">
        <v>209</v>
      </c>
      <c r="J1937" s="32"/>
      <c r="K1937" s="17"/>
      <c r="L1937" s="38"/>
      <c r="M1937" s="17"/>
      <c r="N1937" s="17"/>
      <c r="O1937" s="17"/>
      <c r="P1937" s="59" t="s">
        <v>7515</v>
      </c>
      <c r="Q1937" s="12"/>
      <c r="R1937" s="12"/>
      <c r="S1937" s="12"/>
      <c r="T1937" s="12"/>
      <c r="U1937" s="12"/>
      <c r="V1937" s="12"/>
      <c r="Z1937" s="12"/>
      <c r="AA1937" s="12" t="n">
        <v>5</v>
      </c>
      <c r="AB1937" s="12"/>
      <c r="AC1937" s="12"/>
      <c r="AD1937" s="12"/>
      <c r="AE1937" s="12"/>
    </row>
    <row r="1938" customFormat="false" ht="15.75" hidden="false" customHeight="false" outlineLevel="0" collapsed="false">
      <c r="A1938" s="12" t="str">
        <f aca="false">IF((AA1938&gt;=4), "Y", "N")</f>
        <v>Y</v>
      </c>
      <c r="B1938" s="74"/>
      <c r="C1938" s="26" t="s">
        <v>7584</v>
      </c>
      <c r="D1938" s="24"/>
      <c r="E1938" s="17"/>
      <c r="F1938" s="17"/>
      <c r="G1938" s="17"/>
      <c r="H1938" s="17"/>
      <c r="I1938" s="26" t="s">
        <v>209</v>
      </c>
      <c r="J1938" s="32"/>
      <c r="K1938" s="17"/>
      <c r="L1938" s="38"/>
      <c r="M1938" s="17"/>
      <c r="N1938" s="17"/>
      <c r="O1938" s="17"/>
      <c r="P1938" s="59" t="s">
        <v>7515</v>
      </c>
      <c r="Q1938" s="12"/>
      <c r="R1938" s="12"/>
      <c r="S1938" s="12"/>
      <c r="T1938" s="12"/>
      <c r="U1938" s="12"/>
      <c r="V1938" s="12"/>
      <c r="Z1938" s="12"/>
      <c r="AA1938" s="12" t="n">
        <v>5</v>
      </c>
      <c r="AB1938" s="12"/>
      <c r="AC1938" s="12"/>
      <c r="AD1938" s="12"/>
      <c r="AE1938" s="12"/>
    </row>
    <row r="1939" customFormat="false" ht="15.75" hidden="false" customHeight="false" outlineLevel="0" collapsed="false">
      <c r="A1939" s="12" t="str">
        <f aca="false">IF((AA1939&gt;=4), "Y", "N")</f>
        <v>Y</v>
      </c>
      <c r="B1939" s="74"/>
      <c r="C1939" s="26" t="s">
        <v>7584</v>
      </c>
      <c r="D1939" s="24"/>
      <c r="E1939" s="17"/>
      <c r="F1939" s="17"/>
      <c r="G1939" s="17"/>
      <c r="H1939" s="17"/>
      <c r="I1939" s="26" t="s">
        <v>209</v>
      </c>
      <c r="J1939" s="32"/>
      <c r="K1939" s="17"/>
      <c r="L1939" s="38"/>
      <c r="M1939" s="17"/>
      <c r="N1939" s="17"/>
      <c r="O1939" s="17"/>
      <c r="P1939" s="59" t="s">
        <v>7515</v>
      </c>
      <c r="Q1939" s="12"/>
      <c r="R1939" s="12"/>
      <c r="S1939" s="12"/>
      <c r="T1939" s="12"/>
      <c r="U1939" s="12"/>
      <c r="V1939" s="12"/>
      <c r="Z1939" s="12"/>
      <c r="AA1939" s="12" t="n">
        <v>5</v>
      </c>
      <c r="AB1939" s="12"/>
      <c r="AC1939" s="12"/>
      <c r="AD1939" s="12"/>
      <c r="AE1939" s="12"/>
    </row>
    <row r="1940" customFormat="false" ht="15.75" hidden="false" customHeight="false" outlineLevel="0" collapsed="false">
      <c r="A1940" s="12" t="str">
        <f aca="false">IF((AA1940&gt;=4), "Y", "N")</f>
        <v>Y</v>
      </c>
      <c r="B1940" s="74"/>
      <c r="C1940" s="26" t="s">
        <v>7585</v>
      </c>
      <c r="D1940" s="24"/>
      <c r="E1940" s="17"/>
      <c r="F1940" s="17"/>
      <c r="G1940" s="17"/>
      <c r="H1940" s="17"/>
      <c r="I1940" s="26" t="s">
        <v>209</v>
      </c>
      <c r="J1940" s="32"/>
      <c r="K1940" s="17"/>
      <c r="L1940" s="38"/>
      <c r="M1940" s="17"/>
      <c r="N1940" s="17"/>
      <c r="O1940" s="17"/>
      <c r="P1940" s="59" t="s">
        <v>7515</v>
      </c>
      <c r="Q1940" s="12"/>
      <c r="R1940" s="12"/>
      <c r="S1940" s="12"/>
      <c r="T1940" s="12"/>
      <c r="U1940" s="12"/>
      <c r="V1940" s="12"/>
      <c r="Z1940" s="12"/>
      <c r="AA1940" s="12" t="n">
        <v>5</v>
      </c>
      <c r="AB1940" s="12"/>
      <c r="AC1940" s="12"/>
      <c r="AD1940" s="12"/>
      <c r="AE1940" s="12"/>
    </row>
    <row r="1941" customFormat="false" ht="15.75" hidden="false" customHeight="false" outlineLevel="0" collapsed="false">
      <c r="A1941" s="12" t="str">
        <f aca="false">IF((AA1941&gt;=4), "Y", "N")</f>
        <v>Y</v>
      </c>
      <c r="B1941" s="74"/>
      <c r="C1941" s="26" t="s">
        <v>7586</v>
      </c>
      <c r="D1941" s="24"/>
      <c r="E1941" s="17"/>
      <c r="F1941" s="17"/>
      <c r="G1941" s="17"/>
      <c r="H1941" s="17"/>
      <c r="I1941" s="26" t="s">
        <v>209</v>
      </c>
      <c r="J1941" s="32"/>
      <c r="K1941" s="17"/>
      <c r="L1941" s="38"/>
      <c r="M1941" s="17"/>
      <c r="N1941" s="17"/>
      <c r="O1941" s="17"/>
      <c r="P1941" s="59" t="s">
        <v>7515</v>
      </c>
      <c r="Q1941" s="12"/>
      <c r="R1941" s="12"/>
      <c r="S1941" s="12"/>
      <c r="T1941" s="12"/>
      <c r="U1941" s="12"/>
      <c r="V1941" s="12"/>
      <c r="Z1941" s="12"/>
      <c r="AA1941" s="12" t="n">
        <v>5</v>
      </c>
      <c r="AB1941" s="12"/>
      <c r="AC1941" s="12"/>
      <c r="AD1941" s="12"/>
      <c r="AE1941" s="12"/>
    </row>
    <row r="1942" customFormat="false" ht="15.75" hidden="false" customHeight="false" outlineLevel="0" collapsed="false">
      <c r="A1942" s="12" t="str">
        <f aca="false">IF((AA1942&gt;=4), "Y", "N")</f>
        <v>Y</v>
      </c>
      <c r="B1942" s="74"/>
      <c r="C1942" s="26" t="s">
        <v>7587</v>
      </c>
      <c r="D1942" s="24"/>
      <c r="E1942" s="17"/>
      <c r="F1942" s="17"/>
      <c r="G1942" s="17"/>
      <c r="H1942" s="17"/>
      <c r="I1942" s="26" t="s">
        <v>209</v>
      </c>
      <c r="J1942" s="32"/>
      <c r="K1942" s="17"/>
      <c r="L1942" s="38"/>
      <c r="M1942" s="17"/>
      <c r="N1942" s="17"/>
      <c r="O1942" s="17"/>
      <c r="P1942" s="59" t="s">
        <v>7515</v>
      </c>
      <c r="Q1942" s="12"/>
      <c r="R1942" s="12"/>
      <c r="S1942" s="12"/>
      <c r="T1942" s="12"/>
      <c r="U1942" s="12"/>
      <c r="V1942" s="12"/>
      <c r="Z1942" s="12"/>
      <c r="AA1942" s="12" t="n">
        <v>5</v>
      </c>
      <c r="AB1942" s="12"/>
      <c r="AC1942" s="12"/>
      <c r="AD1942" s="12"/>
      <c r="AE1942" s="12"/>
    </row>
    <row r="1943" customFormat="false" ht="15.75" hidden="false" customHeight="false" outlineLevel="0" collapsed="false">
      <c r="A1943" s="12" t="str">
        <f aca="false">IF((AA1943&gt;=4), "Y", "N")</f>
        <v>Y</v>
      </c>
      <c r="B1943" s="74"/>
      <c r="C1943" s="26" t="s">
        <v>7588</v>
      </c>
      <c r="D1943" s="24"/>
      <c r="E1943" s="17"/>
      <c r="F1943" s="17"/>
      <c r="G1943" s="17"/>
      <c r="H1943" s="17"/>
      <c r="I1943" s="26" t="s">
        <v>209</v>
      </c>
      <c r="J1943" s="32"/>
      <c r="K1943" s="17"/>
      <c r="L1943" s="38"/>
      <c r="M1943" s="17"/>
      <c r="N1943" s="17"/>
      <c r="O1943" s="17"/>
      <c r="P1943" s="59" t="s">
        <v>7515</v>
      </c>
      <c r="Q1943" s="12"/>
      <c r="R1943" s="12"/>
      <c r="S1943" s="12"/>
      <c r="T1943" s="12"/>
      <c r="U1943" s="12"/>
      <c r="V1943" s="12"/>
      <c r="Z1943" s="12"/>
      <c r="AA1943" s="12" t="n">
        <v>5</v>
      </c>
      <c r="AB1943" s="12"/>
      <c r="AC1943" s="12"/>
      <c r="AD1943" s="12"/>
      <c r="AE1943" s="12"/>
    </row>
    <row r="1944" customFormat="false" ht="15.75" hidden="false" customHeight="false" outlineLevel="0" collapsed="false">
      <c r="A1944" s="12" t="str">
        <f aca="false">IF((AA1944&gt;=4), "Y", "N")</f>
        <v>Y</v>
      </c>
      <c r="B1944" s="74"/>
      <c r="C1944" s="26" t="s">
        <v>7589</v>
      </c>
      <c r="D1944" s="24"/>
      <c r="E1944" s="17"/>
      <c r="F1944" s="17"/>
      <c r="G1944" s="17"/>
      <c r="H1944" s="17"/>
      <c r="I1944" s="26" t="s">
        <v>209</v>
      </c>
      <c r="J1944" s="32"/>
      <c r="K1944" s="17"/>
      <c r="L1944" s="38"/>
      <c r="M1944" s="17"/>
      <c r="N1944" s="17"/>
      <c r="O1944" s="17"/>
      <c r="P1944" s="59" t="s">
        <v>7515</v>
      </c>
      <c r="Q1944" s="12"/>
      <c r="R1944" s="12"/>
      <c r="S1944" s="12"/>
      <c r="T1944" s="12"/>
      <c r="U1944" s="12"/>
      <c r="V1944" s="12"/>
      <c r="Z1944" s="12"/>
      <c r="AA1944" s="12" t="n">
        <v>5</v>
      </c>
      <c r="AB1944" s="12"/>
      <c r="AC1944" s="12"/>
      <c r="AD1944" s="12"/>
      <c r="AE1944" s="12"/>
    </row>
    <row r="1945" customFormat="false" ht="15.75" hidden="false" customHeight="false" outlineLevel="0" collapsed="false">
      <c r="A1945" s="12" t="str">
        <f aca="false">IF((AA1945&gt;=4), "Y", "N")</f>
        <v>Y</v>
      </c>
      <c r="B1945" s="74"/>
      <c r="C1945" s="26" t="s">
        <v>7590</v>
      </c>
      <c r="D1945" s="24"/>
      <c r="E1945" s="17"/>
      <c r="F1945" s="17"/>
      <c r="G1945" s="17"/>
      <c r="H1945" s="17"/>
      <c r="I1945" s="26" t="s">
        <v>209</v>
      </c>
      <c r="J1945" s="32"/>
      <c r="K1945" s="17"/>
      <c r="L1945" s="38"/>
      <c r="M1945" s="17"/>
      <c r="N1945" s="17"/>
      <c r="O1945" s="17"/>
      <c r="P1945" s="59" t="s">
        <v>7515</v>
      </c>
      <c r="Q1945" s="12"/>
      <c r="R1945" s="12"/>
      <c r="S1945" s="12"/>
      <c r="T1945" s="12"/>
      <c r="U1945" s="12"/>
      <c r="V1945" s="12"/>
      <c r="Z1945" s="12"/>
      <c r="AA1945" s="12" t="n">
        <v>5</v>
      </c>
      <c r="AB1945" s="12"/>
      <c r="AC1945" s="12"/>
      <c r="AD1945" s="12"/>
      <c r="AE1945" s="12"/>
    </row>
    <row r="1946" customFormat="false" ht="15.75" hidden="false" customHeight="false" outlineLevel="0" collapsed="false">
      <c r="A1946" s="12" t="str">
        <f aca="false">IF((AA1946&gt;=4), "Y", "N")</f>
        <v>Y</v>
      </c>
      <c r="B1946" s="74"/>
      <c r="C1946" s="26" t="s">
        <v>7591</v>
      </c>
      <c r="D1946" s="24"/>
      <c r="E1946" s="17"/>
      <c r="F1946" s="17"/>
      <c r="G1946" s="17"/>
      <c r="H1946" s="17"/>
      <c r="I1946" s="26" t="s">
        <v>209</v>
      </c>
      <c r="J1946" s="32"/>
      <c r="K1946" s="17"/>
      <c r="L1946" s="38"/>
      <c r="M1946" s="17"/>
      <c r="N1946" s="17"/>
      <c r="O1946" s="17"/>
      <c r="P1946" s="59" t="s">
        <v>7515</v>
      </c>
      <c r="Q1946" s="12"/>
      <c r="R1946" s="12"/>
      <c r="S1946" s="12"/>
      <c r="T1946" s="12"/>
      <c r="U1946" s="12"/>
      <c r="V1946" s="12"/>
      <c r="Z1946" s="12"/>
      <c r="AA1946" s="12" t="n">
        <v>5</v>
      </c>
      <c r="AB1946" s="12"/>
      <c r="AC1946" s="12"/>
      <c r="AD1946" s="12"/>
      <c r="AE1946" s="12"/>
    </row>
    <row r="1947" customFormat="false" ht="15.75" hidden="false" customHeight="false" outlineLevel="0" collapsed="false">
      <c r="A1947" s="12" t="str">
        <f aca="false">IF((AA1947&gt;=4), "Y", "N")</f>
        <v>Y</v>
      </c>
      <c r="B1947" s="74"/>
      <c r="C1947" s="26" t="s">
        <v>7592</v>
      </c>
      <c r="D1947" s="24"/>
      <c r="E1947" s="17"/>
      <c r="F1947" s="17"/>
      <c r="G1947" s="17"/>
      <c r="H1947" s="17"/>
      <c r="I1947" s="26" t="s">
        <v>209</v>
      </c>
      <c r="J1947" s="32"/>
      <c r="K1947" s="17"/>
      <c r="L1947" s="38"/>
      <c r="M1947" s="17"/>
      <c r="N1947" s="17"/>
      <c r="O1947" s="17"/>
      <c r="P1947" s="59" t="s">
        <v>7515</v>
      </c>
      <c r="Q1947" s="12"/>
      <c r="R1947" s="12"/>
      <c r="S1947" s="12"/>
      <c r="T1947" s="12"/>
      <c r="U1947" s="12"/>
      <c r="V1947" s="12"/>
      <c r="Z1947" s="12"/>
      <c r="AA1947" s="12" t="n">
        <v>5</v>
      </c>
      <c r="AB1947" s="12"/>
      <c r="AC1947" s="12"/>
      <c r="AD1947" s="12"/>
      <c r="AE1947" s="12"/>
    </row>
    <row r="1948" customFormat="false" ht="15.75" hidden="false" customHeight="false" outlineLevel="0" collapsed="false">
      <c r="A1948" s="12" t="str">
        <f aca="false">IF((AA1948&gt;=4), "Y", "N")</f>
        <v>Y</v>
      </c>
      <c r="B1948" s="74"/>
      <c r="C1948" s="26" t="s">
        <v>7593</v>
      </c>
      <c r="D1948" s="24"/>
      <c r="E1948" s="17"/>
      <c r="F1948" s="17"/>
      <c r="G1948" s="17"/>
      <c r="H1948" s="17"/>
      <c r="I1948" s="26" t="s">
        <v>209</v>
      </c>
      <c r="J1948" s="32"/>
      <c r="K1948" s="17"/>
      <c r="L1948" s="38"/>
      <c r="M1948" s="17"/>
      <c r="N1948" s="17"/>
      <c r="O1948" s="17"/>
      <c r="P1948" s="59" t="s">
        <v>7515</v>
      </c>
      <c r="Q1948" s="12"/>
      <c r="R1948" s="12"/>
      <c r="S1948" s="12"/>
      <c r="T1948" s="12"/>
      <c r="U1948" s="12"/>
      <c r="V1948" s="12"/>
      <c r="Z1948" s="12"/>
      <c r="AA1948" s="12" t="n">
        <v>5</v>
      </c>
      <c r="AB1948" s="12"/>
      <c r="AC1948" s="12"/>
      <c r="AD1948" s="12"/>
      <c r="AE1948" s="12"/>
    </row>
    <row r="1949" customFormat="false" ht="15.75" hidden="false" customHeight="false" outlineLevel="0" collapsed="false">
      <c r="A1949" s="12" t="str">
        <f aca="false">IF((AA1949&gt;=4), "Y", "N")</f>
        <v>Y</v>
      </c>
      <c r="B1949" s="74"/>
      <c r="C1949" s="26" t="s">
        <v>7594</v>
      </c>
      <c r="D1949" s="24"/>
      <c r="E1949" s="17"/>
      <c r="F1949" s="17"/>
      <c r="G1949" s="17"/>
      <c r="H1949" s="17"/>
      <c r="I1949" s="26" t="s">
        <v>209</v>
      </c>
      <c r="J1949" s="32"/>
      <c r="K1949" s="17"/>
      <c r="L1949" s="38"/>
      <c r="M1949" s="17"/>
      <c r="N1949" s="17"/>
      <c r="O1949" s="17"/>
      <c r="P1949" s="59" t="s">
        <v>7515</v>
      </c>
      <c r="Q1949" s="12"/>
      <c r="R1949" s="12"/>
      <c r="S1949" s="12"/>
      <c r="T1949" s="12"/>
      <c r="U1949" s="12"/>
      <c r="V1949" s="12"/>
      <c r="Z1949" s="12"/>
      <c r="AA1949" s="12" t="n">
        <v>5</v>
      </c>
      <c r="AB1949" s="12"/>
      <c r="AC1949" s="12"/>
      <c r="AD1949" s="12"/>
      <c r="AE1949" s="12"/>
    </row>
    <row r="1950" customFormat="false" ht="15.75" hidden="false" customHeight="false" outlineLevel="0" collapsed="false">
      <c r="A1950" s="12" t="str">
        <f aca="false">IF((AA1950&gt;=4), "Y", "N")</f>
        <v>Y</v>
      </c>
      <c r="B1950" s="74"/>
      <c r="C1950" s="26" t="s">
        <v>7595</v>
      </c>
      <c r="D1950" s="24"/>
      <c r="E1950" s="17"/>
      <c r="F1950" s="17"/>
      <c r="G1950" s="17"/>
      <c r="H1950" s="17"/>
      <c r="I1950" s="26" t="s">
        <v>209</v>
      </c>
      <c r="J1950" s="32"/>
      <c r="K1950" s="17"/>
      <c r="L1950" s="38"/>
      <c r="M1950" s="17"/>
      <c r="N1950" s="17"/>
      <c r="O1950" s="17"/>
      <c r="P1950" s="59" t="s">
        <v>7515</v>
      </c>
      <c r="Q1950" s="12"/>
      <c r="R1950" s="12"/>
      <c r="S1950" s="12"/>
      <c r="T1950" s="12"/>
      <c r="U1950" s="12"/>
      <c r="V1950" s="12"/>
      <c r="Z1950" s="12"/>
      <c r="AA1950" s="12" t="n">
        <v>5</v>
      </c>
      <c r="AB1950" s="12"/>
      <c r="AC1950" s="12"/>
      <c r="AD1950" s="12"/>
      <c r="AE1950" s="12"/>
    </row>
    <row r="1951" customFormat="false" ht="15.75" hidden="false" customHeight="false" outlineLevel="0" collapsed="false">
      <c r="A1951" s="12" t="str">
        <f aca="false">IF((AA1951&gt;=4), "Y", "N")</f>
        <v>Y</v>
      </c>
      <c r="B1951" s="74"/>
      <c r="C1951" s="26" t="s">
        <v>7596</v>
      </c>
      <c r="D1951" s="24"/>
      <c r="E1951" s="17"/>
      <c r="F1951" s="17"/>
      <c r="G1951" s="17"/>
      <c r="H1951" s="17"/>
      <c r="I1951" s="26" t="s">
        <v>209</v>
      </c>
      <c r="J1951" s="32"/>
      <c r="K1951" s="17"/>
      <c r="L1951" s="38"/>
      <c r="M1951" s="17"/>
      <c r="N1951" s="17"/>
      <c r="O1951" s="17"/>
      <c r="P1951" s="59" t="s">
        <v>7515</v>
      </c>
      <c r="Q1951" s="12"/>
      <c r="R1951" s="12"/>
      <c r="S1951" s="12"/>
      <c r="T1951" s="12"/>
      <c r="U1951" s="12"/>
      <c r="V1951" s="12"/>
      <c r="Z1951" s="12"/>
      <c r="AA1951" s="12" t="n">
        <v>5</v>
      </c>
      <c r="AB1951" s="12"/>
      <c r="AC1951" s="12"/>
      <c r="AD1951" s="12"/>
      <c r="AE1951" s="12"/>
    </row>
    <row r="1952" customFormat="false" ht="15.75" hidden="false" customHeight="false" outlineLevel="0" collapsed="false">
      <c r="A1952" s="12" t="str">
        <f aca="false">IF((AA1952&gt;=4), "Y", "N")</f>
        <v>Y</v>
      </c>
      <c r="B1952" s="74"/>
      <c r="C1952" s="26" t="s">
        <v>7597</v>
      </c>
      <c r="D1952" s="24"/>
      <c r="E1952" s="17"/>
      <c r="F1952" s="17"/>
      <c r="G1952" s="17"/>
      <c r="H1952" s="17"/>
      <c r="I1952" s="26" t="s">
        <v>209</v>
      </c>
      <c r="J1952" s="32"/>
      <c r="K1952" s="17"/>
      <c r="L1952" s="38"/>
      <c r="M1952" s="17"/>
      <c r="N1952" s="17"/>
      <c r="O1952" s="17"/>
      <c r="P1952" s="59" t="s">
        <v>7515</v>
      </c>
      <c r="Q1952" s="12"/>
      <c r="R1952" s="12"/>
      <c r="S1952" s="12"/>
      <c r="T1952" s="12"/>
      <c r="U1952" s="12"/>
      <c r="V1952" s="12"/>
      <c r="Z1952" s="12"/>
      <c r="AA1952" s="12" t="n">
        <v>5</v>
      </c>
      <c r="AB1952" s="12"/>
      <c r="AC1952" s="12"/>
      <c r="AD1952" s="12"/>
      <c r="AE1952" s="12"/>
    </row>
    <row r="1953" customFormat="false" ht="15.75" hidden="false" customHeight="false" outlineLevel="0" collapsed="false">
      <c r="A1953" s="12" t="str">
        <f aca="false">IF((AA1953&gt;=4), "Y", "N")</f>
        <v>Y</v>
      </c>
      <c r="B1953" s="74"/>
      <c r="C1953" s="26" t="s">
        <v>7598</v>
      </c>
      <c r="D1953" s="24"/>
      <c r="E1953" s="17"/>
      <c r="F1953" s="17"/>
      <c r="G1953" s="17"/>
      <c r="H1953" s="17"/>
      <c r="I1953" s="26" t="s">
        <v>209</v>
      </c>
      <c r="J1953" s="32"/>
      <c r="K1953" s="17"/>
      <c r="L1953" s="38"/>
      <c r="M1953" s="17"/>
      <c r="N1953" s="17"/>
      <c r="O1953" s="17"/>
      <c r="P1953" s="59" t="s">
        <v>7515</v>
      </c>
      <c r="Q1953" s="12"/>
      <c r="R1953" s="12"/>
      <c r="S1953" s="12"/>
      <c r="T1953" s="12"/>
      <c r="U1953" s="12"/>
      <c r="V1953" s="12"/>
      <c r="Z1953" s="12"/>
      <c r="AA1953" s="12" t="n">
        <v>5</v>
      </c>
      <c r="AB1953" s="12"/>
      <c r="AC1953" s="12"/>
      <c r="AD1953" s="12"/>
      <c r="AE1953" s="12"/>
    </row>
    <row r="1954" customFormat="false" ht="15.75" hidden="false" customHeight="false" outlineLevel="0" collapsed="false">
      <c r="A1954" s="12" t="str">
        <f aca="false">IF((AA1954&gt;=4), "Y", "N")</f>
        <v>Y</v>
      </c>
      <c r="B1954" s="74"/>
      <c r="C1954" s="26" t="s">
        <v>7599</v>
      </c>
      <c r="D1954" s="24"/>
      <c r="E1954" s="17"/>
      <c r="F1954" s="17"/>
      <c r="G1954" s="17"/>
      <c r="H1954" s="17"/>
      <c r="I1954" s="26" t="s">
        <v>209</v>
      </c>
      <c r="J1954" s="32"/>
      <c r="K1954" s="17"/>
      <c r="L1954" s="38"/>
      <c r="M1954" s="17"/>
      <c r="N1954" s="17"/>
      <c r="O1954" s="17"/>
      <c r="P1954" s="59" t="s">
        <v>7515</v>
      </c>
      <c r="Q1954" s="12"/>
      <c r="R1954" s="12"/>
      <c r="S1954" s="12"/>
      <c r="T1954" s="12"/>
      <c r="U1954" s="12"/>
      <c r="V1954" s="12"/>
      <c r="Z1954" s="12"/>
      <c r="AA1954" s="12" t="n">
        <v>5</v>
      </c>
      <c r="AB1954" s="12"/>
      <c r="AC1954" s="12"/>
      <c r="AD1954" s="12"/>
      <c r="AE1954" s="12"/>
    </row>
    <row r="1955" customFormat="false" ht="15.75" hidden="false" customHeight="false" outlineLevel="0" collapsed="false">
      <c r="A1955" s="12" t="str">
        <f aca="false">IF((AA1955&gt;=4), "Y", "N")</f>
        <v>Y</v>
      </c>
      <c r="B1955" s="74"/>
      <c r="C1955" s="26" t="s">
        <v>7600</v>
      </c>
      <c r="D1955" s="24"/>
      <c r="E1955" s="17"/>
      <c r="F1955" s="17"/>
      <c r="G1955" s="17"/>
      <c r="H1955" s="17"/>
      <c r="I1955" s="26" t="s">
        <v>209</v>
      </c>
      <c r="J1955" s="32"/>
      <c r="K1955" s="17"/>
      <c r="L1955" s="38"/>
      <c r="M1955" s="17"/>
      <c r="N1955" s="17"/>
      <c r="O1955" s="17"/>
      <c r="P1955" s="59" t="s">
        <v>7515</v>
      </c>
      <c r="Q1955" s="12"/>
      <c r="R1955" s="12"/>
      <c r="S1955" s="12"/>
      <c r="T1955" s="12"/>
      <c r="U1955" s="12"/>
      <c r="V1955" s="12"/>
      <c r="Z1955" s="12"/>
      <c r="AA1955" s="12" t="n">
        <v>5</v>
      </c>
      <c r="AB1955" s="12"/>
      <c r="AC1955" s="12"/>
      <c r="AD1955" s="12"/>
      <c r="AE1955" s="12"/>
    </row>
    <row r="1956" customFormat="false" ht="15.75" hidden="false" customHeight="false" outlineLevel="0" collapsed="false">
      <c r="A1956" s="12" t="str">
        <f aca="false">IF((AA1956&gt;=4), "Y", "N")</f>
        <v>Y</v>
      </c>
      <c r="B1956" s="74"/>
      <c r="C1956" s="26" t="s">
        <v>7601</v>
      </c>
      <c r="D1956" s="24"/>
      <c r="E1956" s="17"/>
      <c r="F1956" s="17"/>
      <c r="G1956" s="17"/>
      <c r="H1956" s="17"/>
      <c r="I1956" s="26" t="s">
        <v>209</v>
      </c>
      <c r="J1956" s="32"/>
      <c r="K1956" s="17"/>
      <c r="L1956" s="38"/>
      <c r="M1956" s="17"/>
      <c r="N1956" s="17"/>
      <c r="O1956" s="17"/>
      <c r="P1956" s="59" t="s">
        <v>7515</v>
      </c>
      <c r="Q1956" s="12"/>
      <c r="R1956" s="12"/>
      <c r="S1956" s="12"/>
      <c r="T1956" s="12"/>
      <c r="U1956" s="12"/>
      <c r="V1956" s="12"/>
      <c r="Z1956" s="12"/>
      <c r="AA1956" s="12" t="n">
        <v>5</v>
      </c>
      <c r="AB1956" s="12"/>
      <c r="AC1956" s="12"/>
      <c r="AD1956" s="12"/>
      <c r="AE1956" s="12"/>
    </row>
    <row r="1957" customFormat="false" ht="15.75" hidden="false" customHeight="false" outlineLevel="0" collapsed="false">
      <c r="A1957" s="12" t="str">
        <f aca="false">IF((AA1957&gt;=4), "Y", "N")</f>
        <v>Y</v>
      </c>
      <c r="B1957" s="74"/>
      <c r="C1957" s="26" t="s">
        <v>7602</v>
      </c>
      <c r="D1957" s="24"/>
      <c r="E1957" s="17"/>
      <c r="F1957" s="17"/>
      <c r="G1957" s="17"/>
      <c r="H1957" s="17"/>
      <c r="I1957" s="26" t="s">
        <v>209</v>
      </c>
      <c r="J1957" s="32"/>
      <c r="K1957" s="17"/>
      <c r="L1957" s="38"/>
      <c r="M1957" s="17"/>
      <c r="N1957" s="17"/>
      <c r="O1957" s="17"/>
      <c r="P1957" s="59" t="s">
        <v>7515</v>
      </c>
      <c r="Q1957" s="12"/>
      <c r="R1957" s="12"/>
      <c r="S1957" s="12"/>
      <c r="T1957" s="12"/>
      <c r="U1957" s="12"/>
      <c r="V1957" s="12"/>
      <c r="Z1957" s="12"/>
      <c r="AA1957" s="12" t="n">
        <v>5</v>
      </c>
      <c r="AB1957" s="12"/>
      <c r="AC1957" s="12"/>
      <c r="AD1957" s="12"/>
      <c r="AE1957" s="12"/>
    </row>
    <row r="1958" customFormat="false" ht="15.75" hidden="false" customHeight="false" outlineLevel="0" collapsed="false">
      <c r="A1958" s="12" t="str">
        <f aca="false">IF((AA1958&gt;=4), "Y", "N")</f>
        <v>Y</v>
      </c>
      <c r="B1958" s="74"/>
      <c r="C1958" s="125" t="s">
        <v>7603</v>
      </c>
      <c r="D1958" s="24"/>
      <c r="E1958" s="17"/>
      <c r="F1958" s="17"/>
      <c r="G1958" s="17"/>
      <c r="H1958" s="17"/>
      <c r="I1958" s="26" t="s">
        <v>209</v>
      </c>
      <c r="J1958" s="32"/>
      <c r="K1958" s="17"/>
      <c r="L1958" s="38"/>
      <c r="M1958" s="17"/>
      <c r="N1958" s="17"/>
      <c r="O1958" s="17"/>
      <c r="P1958" s="59" t="s">
        <v>7515</v>
      </c>
      <c r="Q1958" s="12"/>
      <c r="R1958" s="12"/>
      <c r="S1958" s="12"/>
      <c r="T1958" s="12"/>
      <c r="U1958" s="12"/>
      <c r="V1958" s="12"/>
      <c r="Z1958" s="12"/>
      <c r="AA1958" s="12" t="n">
        <v>5</v>
      </c>
      <c r="AB1958" s="12"/>
      <c r="AC1958" s="12"/>
      <c r="AD1958" s="12"/>
      <c r="AE1958" s="12"/>
    </row>
    <row r="1959" customFormat="false" ht="15.75" hidden="false" customHeight="false" outlineLevel="0" collapsed="false">
      <c r="A1959" s="12" t="str">
        <f aca="false">IF((AA1959&gt;=4), "Y", "N")</f>
        <v>Y</v>
      </c>
      <c r="B1959" s="74"/>
      <c r="C1959" s="26" t="s">
        <v>7604</v>
      </c>
      <c r="D1959" s="24"/>
      <c r="E1959" s="17"/>
      <c r="F1959" s="17"/>
      <c r="G1959" s="17"/>
      <c r="H1959" s="17"/>
      <c r="I1959" s="26" t="s">
        <v>209</v>
      </c>
      <c r="J1959" s="32"/>
      <c r="K1959" s="17"/>
      <c r="L1959" s="38"/>
      <c r="M1959" s="17"/>
      <c r="N1959" s="17"/>
      <c r="O1959" s="17"/>
      <c r="P1959" s="59" t="s">
        <v>7515</v>
      </c>
      <c r="Q1959" s="12"/>
      <c r="R1959" s="12"/>
      <c r="S1959" s="12"/>
      <c r="T1959" s="12"/>
      <c r="U1959" s="12"/>
      <c r="V1959" s="12"/>
      <c r="Z1959" s="12"/>
      <c r="AA1959" s="12" t="n">
        <v>5</v>
      </c>
      <c r="AB1959" s="12"/>
      <c r="AC1959" s="12"/>
      <c r="AD1959" s="12"/>
      <c r="AE1959" s="12"/>
    </row>
    <row r="1960" customFormat="false" ht="15.75" hidden="false" customHeight="false" outlineLevel="0" collapsed="false">
      <c r="A1960" s="12" t="str">
        <f aca="false">IF((AA1960&gt;=4), "Y", "N")</f>
        <v>Y</v>
      </c>
      <c r="B1960" s="74"/>
      <c r="C1960" s="26" t="s">
        <v>7605</v>
      </c>
      <c r="D1960" s="24"/>
      <c r="E1960" s="17"/>
      <c r="F1960" s="17"/>
      <c r="G1960" s="17"/>
      <c r="H1960" s="17"/>
      <c r="I1960" s="26" t="s">
        <v>209</v>
      </c>
      <c r="J1960" s="32"/>
      <c r="K1960" s="17"/>
      <c r="L1960" s="38"/>
      <c r="M1960" s="17"/>
      <c r="N1960" s="17"/>
      <c r="O1960" s="17"/>
      <c r="P1960" s="59" t="s">
        <v>7515</v>
      </c>
      <c r="Q1960" s="12"/>
      <c r="R1960" s="12"/>
      <c r="S1960" s="12"/>
      <c r="T1960" s="12"/>
      <c r="U1960" s="12"/>
      <c r="V1960" s="12"/>
      <c r="Z1960" s="12"/>
      <c r="AA1960" s="12" t="n">
        <v>5</v>
      </c>
      <c r="AB1960" s="12"/>
      <c r="AC1960" s="12"/>
      <c r="AD1960" s="12"/>
      <c r="AE1960" s="12"/>
    </row>
    <row r="1961" customFormat="false" ht="15.75" hidden="false" customHeight="false" outlineLevel="0" collapsed="false">
      <c r="A1961" s="12" t="str">
        <f aca="false">IF((AA1961&gt;=4), "Y", "N")</f>
        <v>Y</v>
      </c>
      <c r="B1961" s="74"/>
      <c r="C1961" s="125" t="s">
        <v>7606</v>
      </c>
      <c r="D1961" s="24"/>
      <c r="E1961" s="17"/>
      <c r="F1961" s="17"/>
      <c r="G1961" s="17"/>
      <c r="H1961" s="17"/>
      <c r="I1961" s="26" t="s">
        <v>209</v>
      </c>
      <c r="J1961" s="32"/>
      <c r="K1961" s="17"/>
      <c r="L1961" s="38"/>
      <c r="M1961" s="17"/>
      <c r="N1961" s="17"/>
      <c r="O1961" s="17"/>
      <c r="P1961" s="59" t="s">
        <v>7515</v>
      </c>
      <c r="Q1961" s="12"/>
      <c r="R1961" s="12"/>
      <c r="S1961" s="12"/>
      <c r="T1961" s="12"/>
      <c r="U1961" s="12"/>
      <c r="V1961" s="12"/>
      <c r="Z1961" s="12"/>
      <c r="AA1961" s="12" t="n">
        <v>5</v>
      </c>
      <c r="AB1961" s="12"/>
      <c r="AC1961" s="12"/>
      <c r="AD1961" s="12"/>
      <c r="AE1961" s="12"/>
    </row>
    <row r="1962" customFormat="false" ht="15.75" hidden="false" customHeight="false" outlineLevel="0" collapsed="false">
      <c r="A1962" s="12" t="str">
        <f aca="false">IF((AA1962&gt;=4), "Y", "N")</f>
        <v>Y</v>
      </c>
      <c r="B1962" s="74"/>
      <c r="C1962" s="26" t="s">
        <v>7607</v>
      </c>
      <c r="D1962" s="24"/>
      <c r="E1962" s="17"/>
      <c r="F1962" s="17"/>
      <c r="G1962" s="17"/>
      <c r="H1962" s="17"/>
      <c r="I1962" s="26" t="s">
        <v>209</v>
      </c>
      <c r="J1962" s="32"/>
      <c r="K1962" s="17"/>
      <c r="L1962" s="38"/>
      <c r="M1962" s="17"/>
      <c r="N1962" s="17"/>
      <c r="O1962" s="17"/>
      <c r="P1962" s="59" t="s">
        <v>7515</v>
      </c>
      <c r="Q1962" s="12"/>
      <c r="R1962" s="12"/>
      <c r="S1962" s="12"/>
      <c r="T1962" s="12"/>
      <c r="U1962" s="12"/>
      <c r="V1962" s="12"/>
      <c r="Z1962" s="12"/>
      <c r="AA1962" s="12" t="n">
        <v>5</v>
      </c>
      <c r="AB1962" s="12"/>
      <c r="AC1962" s="12"/>
      <c r="AD1962" s="12"/>
      <c r="AE1962" s="12"/>
    </row>
    <row r="1963" customFormat="false" ht="15.75" hidden="false" customHeight="false" outlineLevel="0" collapsed="false">
      <c r="A1963" s="12" t="str">
        <f aca="false">IF((AA1963&gt;=4), "Y", "N")</f>
        <v>Y</v>
      </c>
      <c r="B1963" s="74"/>
      <c r="C1963" s="26" t="s">
        <v>7608</v>
      </c>
      <c r="D1963" s="24"/>
      <c r="E1963" s="17"/>
      <c r="F1963" s="17"/>
      <c r="G1963" s="17"/>
      <c r="H1963" s="17"/>
      <c r="I1963" s="26" t="s">
        <v>209</v>
      </c>
      <c r="J1963" s="32"/>
      <c r="K1963" s="17"/>
      <c r="L1963" s="38"/>
      <c r="M1963" s="17"/>
      <c r="N1963" s="17"/>
      <c r="O1963" s="17"/>
      <c r="P1963" s="59" t="s">
        <v>7515</v>
      </c>
      <c r="Q1963" s="12"/>
      <c r="R1963" s="12"/>
      <c r="S1963" s="12"/>
      <c r="T1963" s="12"/>
      <c r="U1963" s="12"/>
      <c r="V1963" s="12"/>
      <c r="Z1963" s="12"/>
      <c r="AA1963" s="12" t="n">
        <v>5</v>
      </c>
      <c r="AB1963" s="12"/>
      <c r="AC1963" s="12"/>
      <c r="AD1963" s="12"/>
      <c r="AE1963" s="12"/>
    </row>
    <row r="1964" customFormat="false" ht="15.75" hidden="false" customHeight="false" outlineLevel="0" collapsed="false">
      <c r="A1964" s="12" t="str">
        <f aca="false">IF((AA1964&gt;=4), "Y", "N")</f>
        <v>Y</v>
      </c>
      <c r="B1964" s="74"/>
      <c r="C1964" s="26" t="s">
        <v>7609</v>
      </c>
      <c r="D1964" s="24"/>
      <c r="E1964" s="17"/>
      <c r="F1964" s="17"/>
      <c r="G1964" s="17"/>
      <c r="H1964" s="17"/>
      <c r="I1964" s="26" t="s">
        <v>209</v>
      </c>
      <c r="J1964" s="32"/>
      <c r="K1964" s="17"/>
      <c r="L1964" s="38"/>
      <c r="M1964" s="17"/>
      <c r="N1964" s="17"/>
      <c r="O1964" s="17"/>
      <c r="P1964" s="59" t="s">
        <v>7515</v>
      </c>
      <c r="Q1964" s="12"/>
      <c r="R1964" s="12"/>
      <c r="S1964" s="12"/>
      <c r="T1964" s="12"/>
      <c r="U1964" s="12"/>
      <c r="V1964" s="12"/>
      <c r="Z1964" s="12"/>
      <c r="AA1964" s="12" t="n">
        <v>5</v>
      </c>
      <c r="AB1964" s="12"/>
      <c r="AC1964" s="12"/>
      <c r="AD1964" s="12"/>
      <c r="AE1964" s="12"/>
    </row>
    <row r="1965" customFormat="false" ht="15.75" hidden="false" customHeight="false" outlineLevel="0" collapsed="false">
      <c r="A1965" s="12" t="str">
        <f aca="false">IF((AA1965&gt;=4), "Y", "N")</f>
        <v>Y</v>
      </c>
      <c r="B1965" s="74"/>
      <c r="C1965" s="26" t="s">
        <v>7610</v>
      </c>
      <c r="D1965" s="24"/>
      <c r="E1965" s="17"/>
      <c r="F1965" s="17"/>
      <c r="G1965" s="17"/>
      <c r="H1965" s="17"/>
      <c r="I1965" s="26" t="s">
        <v>209</v>
      </c>
      <c r="J1965" s="32"/>
      <c r="K1965" s="17"/>
      <c r="L1965" s="38"/>
      <c r="M1965" s="17"/>
      <c r="N1965" s="17"/>
      <c r="O1965" s="17"/>
      <c r="P1965" s="59" t="s">
        <v>7515</v>
      </c>
      <c r="Q1965" s="12"/>
      <c r="R1965" s="12"/>
      <c r="S1965" s="12"/>
      <c r="T1965" s="12"/>
      <c r="U1965" s="12"/>
      <c r="V1965" s="12"/>
      <c r="Z1965" s="12"/>
      <c r="AA1965" s="12" t="n">
        <v>5</v>
      </c>
      <c r="AB1965" s="12"/>
      <c r="AC1965" s="12"/>
      <c r="AD1965" s="12"/>
      <c r="AE1965" s="12"/>
    </row>
    <row r="1966" customFormat="false" ht="15.75" hidden="false" customHeight="false" outlineLevel="0" collapsed="false">
      <c r="A1966" s="12" t="str">
        <f aca="false">IF((AA1966&gt;=4), "Y", "N")</f>
        <v>Y</v>
      </c>
      <c r="B1966" s="74"/>
      <c r="C1966" s="26" t="s">
        <v>7611</v>
      </c>
      <c r="D1966" s="24"/>
      <c r="E1966" s="17"/>
      <c r="F1966" s="17"/>
      <c r="G1966" s="17"/>
      <c r="H1966" s="17"/>
      <c r="I1966" s="26" t="s">
        <v>209</v>
      </c>
      <c r="J1966" s="32"/>
      <c r="K1966" s="17"/>
      <c r="L1966" s="38"/>
      <c r="M1966" s="17"/>
      <c r="N1966" s="17"/>
      <c r="O1966" s="17"/>
      <c r="P1966" s="59" t="s">
        <v>7515</v>
      </c>
      <c r="Q1966" s="12"/>
      <c r="R1966" s="12"/>
      <c r="S1966" s="12"/>
      <c r="T1966" s="12"/>
      <c r="U1966" s="12"/>
      <c r="V1966" s="12"/>
      <c r="Z1966" s="12"/>
      <c r="AA1966" s="12" t="n">
        <v>5</v>
      </c>
      <c r="AB1966" s="12"/>
      <c r="AC1966" s="12"/>
      <c r="AD1966" s="12"/>
      <c r="AE1966" s="12"/>
    </row>
    <row r="1967" customFormat="false" ht="15.75" hidden="false" customHeight="false" outlineLevel="0" collapsed="false">
      <c r="A1967" s="12" t="str">
        <f aca="false">IF((AA1967&gt;=4), "Y", "N")</f>
        <v>Y</v>
      </c>
      <c r="B1967" s="74"/>
      <c r="C1967" s="26" t="s">
        <v>7612</v>
      </c>
      <c r="D1967" s="24"/>
      <c r="E1967" s="17"/>
      <c r="F1967" s="17"/>
      <c r="G1967" s="17"/>
      <c r="H1967" s="17"/>
      <c r="I1967" s="26" t="s">
        <v>209</v>
      </c>
      <c r="J1967" s="32"/>
      <c r="K1967" s="17"/>
      <c r="L1967" s="38"/>
      <c r="M1967" s="17"/>
      <c r="N1967" s="17"/>
      <c r="O1967" s="17"/>
      <c r="P1967" s="59" t="s">
        <v>7515</v>
      </c>
      <c r="Q1967" s="12"/>
      <c r="R1967" s="12"/>
      <c r="S1967" s="12"/>
      <c r="T1967" s="12"/>
      <c r="U1967" s="12"/>
      <c r="V1967" s="12"/>
      <c r="Z1967" s="12"/>
      <c r="AA1967" s="12" t="n">
        <v>5</v>
      </c>
      <c r="AB1967" s="12"/>
      <c r="AC1967" s="12"/>
      <c r="AD1967" s="12"/>
      <c r="AE1967" s="12"/>
    </row>
    <row r="1968" customFormat="false" ht="15.75" hidden="false" customHeight="false" outlineLevel="0" collapsed="false">
      <c r="A1968" s="12" t="str">
        <f aca="false">IF((AA1968&gt;=4), "Y", "N")</f>
        <v>Y</v>
      </c>
      <c r="B1968" s="74"/>
      <c r="C1968" s="26" t="s">
        <v>7613</v>
      </c>
      <c r="D1968" s="24"/>
      <c r="E1968" s="17"/>
      <c r="F1968" s="17"/>
      <c r="G1968" s="17"/>
      <c r="H1968" s="17"/>
      <c r="I1968" s="26" t="s">
        <v>209</v>
      </c>
      <c r="J1968" s="32"/>
      <c r="K1968" s="17"/>
      <c r="L1968" s="38"/>
      <c r="M1968" s="17"/>
      <c r="N1968" s="17"/>
      <c r="O1968" s="17"/>
      <c r="P1968" s="59" t="s">
        <v>7515</v>
      </c>
      <c r="Q1968" s="12"/>
      <c r="R1968" s="12"/>
      <c r="S1968" s="12"/>
      <c r="T1968" s="12"/>
      <c r="U1968" s="12"/>
      <c r="V1968" s="12"/>
      <c r="Z1968" s="12"/>
      <c r="AA1968" s="12" t="n">
        <v>5</v>
      </c>
      <c r="AB1968" s="12"/>
      <c r="AC1968" s="12"/>
      <c r="AD1968" s="12"/>
      <c r="AE1968" s="12"/>
    </row>
    <row r="1969" customFormat="false" ht="15.75" hidden="false" customHeight="false" outlineLevel="0" collapsed="false">
      <c r="A1969" s="12" t="str">
        <f aca="false">IF((AA1969&gt;=4), "Y", "N")</f>
        <v>Y</v>
      </c>
      <c r="B1969" s="74"/>
      <c r="C1969" s="26" t="s">
        <v>7614</v>
      </c>
      <c r="D1969" s="24"/>
      <c r="E1969" s="17"/>
      <c r="F1969" s="17"/>
      <c r="G1969" s="17"/>
      <c r="H1969" s="17"/>
      <c r="I1969" s="26" t="s">
        <v>209</v>
      </c>
      <c r="J1969" s="32"/>
      <c r="K1969" s="17"/>
      <c r="L1969" s="38"/>
      <c r="M1969" s="17"/>
      <c r="N1969" s="17"/>
      <c r="O1969" s="17"/>
      <c r="P1969" s="59" t="s">
        <v>7515</v>
      </c>
      <c r="Q1969" s="12"/>
      <c r="R1969" s="12"/>
      <c r="S1969" s="12"/>
      <c r="T1969" s="12"/>
      <c r="U1969" s="12"/>
      <c r="V1969" s="12"/>
      <c r="Z1969" s="12"/>
      <c r="AA1969" s="12" t="n">
        <v>5</v>
      </c>
      <c r="AB1969" s="12"/>
      <c r="AC1969" s="12"/>
      <c r="AD1969" s="12"/>
      <c r="AE1969" s="12"/>
    </row>
    <row r="1970" customFormat="false" ht="15.75" hidden="false" customHeight="false" outlineLevel="0" collapsed="false">
      <c r="A1970" s="12" t="str">
        <f aca="false">IF((AA1970&gt;=4), "Y", "N")</f>
        <v>Y</v>
      </c>
      <c r="B1970" s="74"/>
      <c r="C1970" s="26" t="s">
        <v>7615</v>
      </c>
      <c r="D1970" s="24"/>
      <c r="E1970" s="17"/>
      <c r="F1970" s="17"/>
      <c r="G1970" s="17"/>
      <c r="H1970" s="17"/>
      <c r="I1970" s="26" t="s">
        <v>209</v>
      </c>
      <c r="J1970" s="32"/>
      <c r="K1970" s="17"/>
      <c r="L1970" s="38"/>
      <c r="M1970" s="17"/>
      <c r="N1970" s="17"/>
      <c r="O1970" s="17"/>
      <c r="P1970" s="59" t="s">
        <v>7515</v>
      </c>
      <c r="Q1970" s="12"/>
      <c r="R1970" s="12"/>
      <c r="S1970" s="12"/>
      <c r="T1970" s="12"/>
      <c r="U1970" s="12"/>
      <c r="V1970" s="12"/>
      <c r="Z1970" s="12"/>
      <c r="AA1970" s="12" t="n">
        <v>5</v>
      </c>
      <c r="AB1970" s="12"/>
      <c r="AC1970" s="12"/>
      <c r="AD1970" s="12"/>
      <c r="AE1970" s="12"/>
    </row>
    <row r="1971" customFormat="false" ht="15.75" hidden="false" customHeight="false" outlineLevel="0" collapsed="false">
      <c r="A1971" s="12" t="str">
        <f aca="false">IF((AA1971&gt;=4), "Y", "N")</f>
        <v>Y</v>
      </c>
      <c r="B1971" s="74"/>
      <c r="C1971" s="26" t="s">
        <v>7616</v>
      </c>
      <c r="D1971" s="24"/>
      <c r="E1971" s="17"/>
      <c r="F1971" s="17"/>
      <c r="G1971" s="17"/>
      <c r="H1971" s="17"/>
      <c r="I1971" s="26" t="s">
        <v>209</v>
      </c>
      <c r="J1971" s="32"/>
      <c r="K1971" s="17"/>
      <c r="L1971" s="38"/>
      <c r="M1971" s="17"/>
      <c r="N1971" s="17"/>
      <c r="O1971" s="17"/>
      <c r="P1971" s="59" t="s">
        <v>7515</v>
      </c>
      <c r="Q1971" s="12"/>
      <c r="R1971" s="12"/>
      <c r="S1971" s="12"/>
      <c r="T1971" s="12"/>
      <c r="U1971" s="12"/>
      <c r="V1971" s="12"/>
      <c r="Z1971" s="12"/>
      <c r="AA1971" s="12" t="n">
        <v>5</v>
      </c>
      <c r="AB1971" s="12"/>
      <c r="AC1971" s="12"/>
      <c r="AD1971" s="12"/>
      <c r="AE1971" s="12"/>
    </row>
    <row r="1972" customFormat="false" ht="15.75" hidden="false" customHeight="false" outlineLevel="0" collapsed="false">
      <c r="A1972" s="12" t="str">
        <f aca="false">IF((AA1972&gt;=4), "Y", "N")</f>
        <v>Y</v>
      </c>
      <c r="B1972" s="74"/>
      <c r="C1972" s="26" t="s">
        <v>7617</v>
      </c>
      <c r="D1972" s="24"/>
      <c r="E1972" s="17"/>
      <c r="F1972" s="17"/>
      <c r="G1972" s="17"/>
      <c r="H1972" s="17"/>
      <c r="I1972" s="26" t="s">
        <v>209</v>
      </c>
      <c r="J1972" s="32"/>
      <c r="K1972" s="17"/>
      <c r="L1972" s="38"/>
      <c r="M1972" s="17"/>
      <c r="N1972" s="17"/>
      <c r="O1972" s="17"/>
      <c r="P1972" s="59" t="s">
        <v>7515</v>
      </c>
      <c r="Q1972" s="12"/>
      <c r="R1972" s="12"/>
      <c r="S1972" s="12"/>
      <c r="T1972" s="12"/>
      <c r="U1972" s="12"/>
      <c r="V1972" s="12"/>
      <c r="Z1972" s="12"/>
      <c r="AA1972" s="12" t="n">
        <v>5</v>
      </c>
      <c r="AB1972" s="12"/>
      <c r="AC1972" s="12"/>
      <c r="AD1972" s="12"/>
      <c r="AE1972" s="12"/>
    </row>
    <row r="1973" customFormat="false" ht="15.75" hidden="false" customHeight="false" outlineLevel="0" collapsed="false">
      <c r="A1973" s="12" t="str">
        <f aca="false">IF((AA1973&gt;=4), "Y", "N")</f>
        <v>Y</v>
      </c>
      <c r="B1973" s="74"/>
      <c r="C1973" s="26" t="s">
        <v>7618</v>
      </c>
      <c r="D1973" s="24"/>
      <c r="E1973" s="17"/>
      <c r="F1973" s="17"/>
      <c r="G1973" s="17"/>
      <c r="H1973" s="17"/>
      <c r="I1973" s="26" t="s">
        <v>209</v>
      </c>
      <c r="J1973" s="32"/>
      <c r="K1973" s="17"/>
      <c r="L1973" s="38"/>
      <c r="M1973" s="17"/>
      <c r="N1973" s="17"/>
      <c r="O1973" s="17"/>
      <c r="P1973" s="59" t="s">
        <v>7515</v>
      </c>
      <c r="Q1973" s="12"/>
      <c r="R1973" s="12"/>
      <c r="S1973" s="12"/>
      <c r="T1973" s="12"/>
      <c r="U1973" s="12"/>
      <c r="V1973" s="12"/>
      <c r="Z1973" s="12"/>
      <c r="AA1973" s="12" t="n">
        <v>5</v>
      </c>
      <c r="AB1973" s="12"/>
      <c r="AC1973" s="12"/>
      <c r="AD1973" s="12"/>
      <c r="AE1973" s="12"/>
    </row>
    <row r="1974" customFormat="false" ht="15.75" hidden="false" customHeight="false" outlineLevel="0" collapsed="false">
      <c r="A1974" s="12" t="str">
        <f aca="false">IF((AA1974&gt;=4), "Y", "N")</f>
        <v>Y</v>
      </c>
      <c r="B1974" s="74"/>
      <c r="C1974" s="26" t="s">
        <v>7619</v>
      </c>
      <c r="D1974" s="24"/>
      <c r="E1974" s="17"/>
      <c r="F1974" s="17"/>
      <c r="G1974" s="17"/>
      <c r="H1974" s="17"/>
      <c r="I1974" s="26" t="s">
        <v>209</v>
      </c>
      <c r="J1974" s="32"/>
      <c r="K1974" s="17"/>
      <c r="L1974" s="38"/>
      <c r="M1974" s="17"/>
      <c r="N1974" s="17"/>
      <c r="O1974" s="17"/>
      <c r="P1974" s="59" t="s">
        <v>7515</v>
      </c>
      <c r="Q1974" s="12"/>
      <c r="R1974" s="12"/>
      <c r="S1974" s="12"/>
      <c r="T1974" s="12"/>
      <c r="U1974" s="12"/>
      <c r="V1974" s="12"/>
      <c r="Z1974" s="12"/>
      <c r="AA1974" s="12" t="n">
        <v>5</v>
      </c>
      <c r="AB1974" s="12"/>
      <c r="AC1974" s="12"/>
      <c r="AD1974" s="12"/>
      <c r="AE1974" s="12"/>
    </row>
    <row r="1975" customFormat="false" ht="15.75" hidden="false" customHeight="false" outlineLevel="0" collapsed="false">
      <c r="A1975" s="12" t="str">
        <f aca="false">IF((AA1975&gt;=4), "Y", "N")</f>
        <v>Y</v>
      </c>
      <c r="B1975" s="74"/>
      <c r="C1975" s="26" t="s">
        <v>7620</v>
      </c>
      <c r="D1975" s="24"/>
      <c r="E1975" s="17"/>
      <c r="F1975" s="17"/>
      <c r="G1975" s="17"/>
      <c r="H1975" s="17"/>
      <c r="I1975" s="26" t="s">
        <v>209</v>
      </c>
      <c r="J1975" s="32"/>
      <c r="K1975" s="17"/>
      <c r="L1975" s="38"/>
      <c r="M1975" s="17"/>
      <c r="N1975" s="17"/>
      <c r="O1975" s="17"/>
      <c r="P1975" s="59" t="s">
        <v>7515</v>
      </c>
      <c r="Q1975" s="12"/>
      <c r="R1975" s="12"/>
      <c r="S1975" s="12"/>
      <c r="T1975" s="12"/>
      <c r="U1975" s="12"/>
      <c r="V1975" s="12"/>
      <c r="Z1975" s="12"/>
      <c r="AA1975" s="12" t="n">
        <v>5</v>
      </c>
      <c r="AB1975" s="12"/>
      <c r="AC1975" s="12"/>
      <c r="AD1975" s="12"/>
      <c r="AE1975" s="12"/>
    </row>
    <row r="1976" customFormat="false" ht="15.75" hidden="false" customHeight="false" outlineLevel="0" collapsed="false">
      <c r="A1976" s="12" t="str">
        <f aca="false">IF((AA1976&gt;=4), "Y", "N")</f>
        <v>Y</v>
      </c>
      <c r="B1976" s="74"/>
      <c r="C1976" s="26" t="s">
        <v>7621</v>
      </c>
      <c r="D1976" s="24"/>
      <c r="E1976" s="17"/>
      <c r="F1976" s="17"/>
      <c r="G1976" s="17"/>
      <c r="H1976" s="17"/>
      <c r="I1976" s="26" t="s">
        <v>209</v>
      </c>
      <c r="J1976" s="32"/>
      <c r="K1976" s="17"/>
      <c r="L1976" s="38"/>
      <c r="M1976" s="17"/>
      <c r="N1976" s="17"/>
      <c r="O1976" s="17"/>
      <c r="P1976" s="59" t="s">
        <v>7515</v>
      </c>
      <c r="Q1976" s="12"/>
      <c r="R1976" s="12"/>
      <c r="S1976" s="12"/>
      <c r="T1976" s="12"/>
      <c r="U1976" s="12"/>
      <c r="V1976" s="12"/>
      <c r="Z1976" s="12"/>
      <c r="AA1976" s="12" t="n">
        <v>5</v>
      </c>
      <c r="AB1976" s="12"/>
      <c r="AC1976" s="12"/>
      <c r="AD1976" s="12"/>
      <c r="AE1976" s="12"/>
    </row>
    <row r="1977" customFormat="false" ht="15.75" hidden="false" customHeight="false" outlineLevel="0" collapsed="false">
      <c r="A1977" s="12" t="str">
        <f aca="false">IF((AA1977&gt;=4), "Y", "N")</f>
        <v>Y</v>
      </c>
      <c r="B1977" s="74"/>
      <c r="C1977" s="26" t="s">
        <v>7622</v>
      </c>
      <c r="D1977" s="24"/>
      <c r="E1977" s="17"/>
      <c r="F1977" s="17"/>
      <c r="G1977" s="17"/>
      <c r="H1977" s="17"/>
      <c r="I1977" s="26" t="s">
        <v>209</v>
      </c>
      <c r="J1977" s="32"/>
      <c r="K1977" s="17"/>
      <c r="L1977" s="38"/>
      <c r="M1977" s="17"/>
      <c r="N1977" s="17"/>
      <c r="O1977" s="17"/>
      <c r="P1977" s="59" t="s">
        <v>7515</v>
      </c>
      <c r="Q1977" s="12"/>
      <c r="R1977" s="12"/>
      <c r="S1977" s="12"/>
      <c r="T1977" s="12"/>
      <c r="U1977" s="12"/>
      <c r="V1977" s="12"/>
      <c r="Z1977" s="12"/>
      <c r="AA1977" s="12" t="n">
        <v>5</v>
      </c>
      <c r="AB1977" s="12"/>
      <c r="AC1977" s="12"/>
      <c r="AD1977" s="12"/>
      <c r="AE1977" s="12"/>
    </row>
    <row r="1978" customFormat="false" ht="15.75" hidden="false" customHeight="false" outlineLevel="0" collapsed="false">
      <c r="A1978" s="12" t="str">
        <f aca="false">IF((AA1978&gt;=4), "Y", "N")</f>
        <v>Y</v>
      </c>
      <c r="B1978" s="74"/>
      <c r="C1978" s="26" t="s">
        <v>7622</v>
      </c>
      <c r="D1978" s="24"/>
      <c r="E1978" s="17"/>
      <c r="F1978" s="17"/>
      <c r="G1978" s="17"/>
      <c r="H1978" s="17"/>
      <c r="I1978" s="26" t="s">
        <v>209</v>
      </c>
      <c r="J1978" s="32"/>
      <c r="K1978" s="17"/>
      <c r="L1978" s="38"/>
      <c r="M1978" s="17"/>
      <c r="N1978" s="17"/>
      <c r="O1978" s="17"/>
      <c r="P1978" s="59" t="s">
        <v>7515</v>
      </c>
      <c r="Q1978" s="12"/>
      <c r="R1978" s="12"/>
      <c r="S1978" s="12"/>
      <c r="T1978" s="12"/>
      <c r="U1978" s="12"/>
      <c r="V1978" s="12"/>
      <c r="Z1978" s="12"/>
      <c r="AA1978" s="12" t="n">
        <v>5</v>
      </c>
      <c r="AB1978" s="12"/>
      <c r="AC1978" s="12"/>
      <c r="AD1978" s="12"/>
      <c r="AE1978" s="12"/>
    </row>
    <row r="1979" customFormat="false" ht="15.75" hidden="false" customHeight="false" outlineLevel="0" collapsed="false">
      <c r="A1979" s="12" t="str">
        <f aca="false">IF((AA1979&gt;=4), "Y", "N")</f>
        <v>Y</v>
      </c>
      <c r="B1979" s="74"/>
      <c r="C1979" s="26" t="s">
        <v>7623</v>
      </c>
      <c r="D1979" s="24"/>
      <c r="E1979" s="17"/>
      <c r="F1979" s="17"/>
      <c r="G1979" s="17"/>
      <c r="H1979" s="17"/>
      <c r="I1979" s="26" t="s">
        <v>209</v>
      </c>
      <c r="J1979" s="32"/>
      <c r="K1979" s="17"/>
      <c r="L1979" s="38"/>
      <c r="M1979" s="17"/>
      <c r="N1979" s="17"/>
      <c r="O1979" s="17"/>
      <c r="P1979" s="59" t="s">
        <v>7515</v>
      </c>
      <c r="Q1979" s="12"/>
      <c r="R1979" s="12"/>
      <c r="S1979" s="12"/>
      <c r="T1979" s="12"/>
      <c r="U1979" s="12"/>
      <c r="V1979" s="12"/>
      <c r="Z1979" s="12"/>
      <c r="AA1979" s="12" t="n">
        <v>5</v>
      </c>
      <c r="AB1979" s="12"/>
      <c r="AC1979" s="12"/>
      <c r="AD1979" s="12"/>
      <c r="AE1979" s="12"/>
    </row>
    <row r="1980" customFormat="false" ht="15.75" hidden="false" customHeight="false" outlineLevel="0" collapsed="false">
      <c r="A1980" s="12" t="str">
        <f aca="false">IF((AA1980&gt;=4), "Y", "N")</f>
        <v>Y</v>
      </c>
      <c r="B1980" s="74"/>
      <c r="C1980" s="26" t="s">
        <v>7624</v>
      </c>
      <c r="D1980" s="24"/>
      <c r="E1980" s="17"/>
      <c r="F1980" s="17"/>
      <c r="G1980" s="17"/>
      <c r="H1980" s="17"/>
      <c r="I1980" s="26" t="s">
        <v>209</v>
      </c>
      <c r="J1980" s="32"/>
      <c r="K1980" s="17"/>
      <c r="L1980" s="38"/>
      <c r="M1980" s="17"/>
      <c r="N1980" s="17"/>
      <c r="O1980" s="17"/>
      <c r="P1980" s="59" t="s">
        <v>7515</v>
      </c>
      <c r="Q1980" s="12"/>
      <c r="R1980" s="12"/>
      <c r="S1980" s="12"/>
      <c r="T1980" s="12"/>
      <c r="U1980" s="12"/>
      <c r="V1980" s="12"/>
      <c r="Z1980" s="12"/>
      <c r="AA1980" s="12" t="n">
        <v>5</v>
      </c>
      <c r="AB1980" s="12"/>
      <c r="AC1980" s="12"/>
      <c r="AD1980" s="12"/>
      <c r="AE1980" s="12"/>
    </row>
    <row r="1981" customFormat="false" ht="15.75" hidden="false" customHeight="false" outlineLevel="0" collapsed="false">
      <c r="A1981" s="12" t="str">
        <f aca="false">IF((AA1981&gt;=4), "Y", "N")</f>
        <v>Y</v>
      </c>
      <c r="B1981" s="74"/>
      <c r="C1981" s="26" t="s">
        <v>7625</v>
      </c>
      <c r="D1981" s="24"/>
      <c r="E1981" s="17"/>
      <c r="F1981" s="17"/>
      <c r="G1981" s="17"/>
      <c r="H1981" s="17"/>
      <c r="I1981" s="26" t="s">
        <v>209</v>
      </c>
      <c r="J1981" s="32"/>
      <c r="K1981" s="17"/>
      <c r="L1981" s="38"/>
      <c r="M1981" s="17"/>
      <c r="N1981" s="17"/>
      <c r="O1981" s="17"/>
      <c r="P1981" s="59" t="s">
        <v>7515</v>
      </c>
      <c r="Q1981" s="12"/>
      <c r="R1981" s="12"/>
      <c r="S1981" s="12"/>
      <c r="T1981" s="12"/>
      <c r="U1981" s="12"/>
      <c r="V1981" s="12"/>
      <c r="Z1981" s="12"/>
      <c r="AA1981" s="12" t="n">
        <v>5</v>
      </c>
      <c r="AB1981" s="12"/>
      <c r="AC1981" s="12"/>
      <c r="AD1981" s="12"/>
      <c r="AE1981" s="12"/>
    </row>
    <row r="1982" customFormat="false" ht="15.75" hidden="false" customHeight="false" outlineLevel="0" collapsed="false">
      <c r="A1982" s="12" t="str">
        <f aca="false">IF((AA1982&gt;=4), "Y", "N")</f>
        <v>Y</v>
      </c>
      <c r="B1982" s="74"/>
      <c r="C1982" s="26" t="s">
        <v>7626</v>
      </c>
      <c r="D1982" s="24"/>
      <c r="E1982" s="17"/>
      <c r="F1982" s="17"/>
      <c r="G1982" s="17"/>
      <c r="H1982" s="17"/>
      <c r="I1982" s="26" t="s">
        <v>209</v>
      </c>
      <c r="J1982" s="32"/>
      <c r="K1982" s="17"/>
      <c r="L1982" s="38"/>
      <c r="M1982" s="17"/>
      <c r="N1982" s="17"/>
      <c r="O1982" s="17"/>
      <c r="P1982" s="59" t="s">
        <v>7515</v>
      </c>
      <c r="Q1982" s="12"/>
      <c r="R1982" s="12"/>
      <c r="S1982" s="12"/>
      <c r="T1982" s="12"/>
      <c r="U1982" s="12"/>
      <c r="V1982" s="12"/>
      <c r="Z1982" s="12"/>
      <c r="AA1982" s="12" t="n">
        <v>5</v>
      </c>
      <c r="AB1982" s="12"/>
      <c r="AC1982" s="12"/>
      <c r="AD1982" s="12"/>
      <c r="AE1982" s="12"/>
    </row>
    <row r="1983" customFormat="false" ht="15.75" hidden="false" customHeight="false" outlineLevel="0" collapsed="false">
      <c r="A1983" s="12" t="str">
        <f aca="false">IF((AA1983&gt;=4), "Y", "N")</f>
        <v>Y</v>
      </c>
      <c r="B1983" s="74"/>
      <c r="C1983" s="26" t="s">
        <v>7627</v>
      </c>
      <c r="D1983" s="24"/>
      <c r="E1983" s="17"/>
      <c r="F1983" s="17"/>
      <c r="G1983" s="17"/>
      <c r="H1983" s="17"/>
      <c r="I1983" s="26" t="s">
        <v>209</v>
      </c>
      <c r="J1983" s="32"/>
      <c r="K1983" s="17"/>
      <c r="L1983" s="38"/>
      <c r="M1983" s="17"/>
      <c r="N1983" s="17"/>
      <c r="O1983" s="17"/>
      <c r="P1983" s="59" t="s">
        <v>7515</v>
      </c>
      <c r="Q1983" s="12"/>
      <c r="R1983" s="12"/>
      <c r="S1983" s="12"/>
      <c r="T1983" s="12"/>
      <c r="U1983" s="12"/>
      <c r="V1983" s="12"/>
      <c r="Z1983" s="12"/>
      <c r="AA1983" s="12" t="n">
        <v>5</v>
      </c>
      <c r="AB1983" s="12"/>
      <c r="AC1983" s="12"/>
      <c r="AD1983" s="12"/>
      <c r="AE1983" s="12"/>
    </row>
    <row r="1984" customFormat="false" ht="15.75" hidden="false" customHeight="false" outlineLevel="0" collapsed="false">
      <c r="A1984" s="12" t="str">
        <f aca="false">IF((AA1984&gt;=4), "Y", "N")</f>
        <v>Y</v>
      </c>
      <c r="B1984" s="74"/>
      <c r="C1984" s="26" t="s">
        <v>7628</v>
      </c>
      <c r="D1984" s="24"/>
      <c r="E1984" s="17"/>
      <c r="F1984" s="17"/>
      <c r="G1984" s="17"/>
      <c r="H1984" s="17"/>
      <c r="I1984" s="26" t="s">
        <v>209</v>
      </c>
      <c r="J1984" s="32"/>
      <c r="K1984" s="17"/>
      <c r="L1984" s="38"/>
      <c r="M1984" s="17"/>
      <c r="N1984" s="17"/>
      <c r="O1984" s="17"/>
      <c r="P1984" s="59" t="s">
        <v>7515</v>
      </c>
      <c r="Q1984" s="12"/>
      <c r="R1984" s="12"/>
      <c r="S1984" s="12"/>
      <c r="T1984" s="12"/>
      <c r="U1984" s="12"/>
      <c r="V1984" s="12"/>
      <c r="Z1984" s="12"/>
      <c r="AA1984" s="12" t="n">
        <v>5</v>
      </c>
      <c r="AB1984" s="12"/>
      <c r="AC1984" s="12"/>
      <c r="AD1984" s="12"/>
      <c r="AE1984" s="12"/>
    </row>
    <row r="1985" customFormat="false" ht="15.75" hidden="false" customHeight="false" outlineLevel="0" collapsed="false">
      <c r="A1985" s="12" t="str">
        <f aca="false">IF((AA1985&gt;=4), "Y", "N")</f>
        <v>Y</v>
      </c>
      <c r="B1985" s="74"/>
      <c r="C1985" s="26" t="s">
        <v>7629</v>
      </c>
      <c r="D1985" s="24"/>
      <c r="E1985" s="17"/>
      <c r="F1985" s="17"/>
      <c r="G1985" s="17"/>
      <c r="H1985" s="17"/>
      <c r="I1985" s="26" t="s">
        <v>209</v>
      </c>
      <c r="J1985" s="32"/>
      <c r="K1985" s="17"/>
      <c r="L1985" s="38"/>
      <c r="M1985" s="17"/>
      <c r="N1985" s="17"/>
      <c r="O1985" s="17"/>
      <c r="P1985" s="59" t="s">
        <v>7515</v>
      </c>
      <c r="Q1985" s="12"/>
      <c r="R1985" s="12"/>
      <c r="S1985" s="12"/>
      <c r="T1985" s="12"/>
      <c r="U1985" s="12"/>
      <c r="V1985" s="12"/>
      <c r="Z1985" s="12"/>
      <c r="AA1985" s="12" t="n">
        <v>5</v>
      </c>
      <c r="AB1985" s="12"/>
      <c r="AC1985" s="12"/>
      <c r="AD1985" s="12"/>
      <c r="AE1985" s="12"/>
    </row>
    <row r="1986" customFormat="false" ht="15.75" hidden="false" customHeight="false" outlineLevel="0" collapsed="false">
      <c r="A1986" s="12" t="str">
        <f aca="false">IF((AA1986&gt;=4), "Y", "N")</f>
        <v>Y</v>
      </c>
      <c r="B1986" s="74"/>
      <c r="C1986" s="26" t="s">
        <v>7630</v>
      </c>
      <c r="D1986" s="24"/>
      <c r="E1986" s="17"/>
      <c r="F1986" s="17"/>
      <c r="G1986" s="17"/>
      <c r="H1986" s="17"/>
      <c r="I1986" s="26" t="s">
        <v>209</v>
      </c>
      <c r="J1986" s="32"/>
      <c r="K1986" s="17"/>
      <c r="L1986" s="38"/>
      <c r="M1986" s="17"/>
      <c r="N1986" s="17"/>
      <c r="O1986" s="17"/>
      <c r="P1986" s="59" t="s">
        <v>7515</v>
      </c>
      <c r="Q1986" s="12"/>
      <c r="R1986" s="12"/>
      <c r="S1986" s="12"/>
      <c r="T1986" s="12"/>
      <c r="U1986" s="12"/>
      <c r="V1986" s="12"/>
      <c r="Z1986" s="12"/>
      <c r="AA1986" s="12" t="n">
        <v>5</v>
      </c>
      <c r="AB1986" s="12"/>
      <c r="AC1986" s="12"/>
      <c r="AD1986" s="12"/>
      <c r="AE1986" s="12"/>
    </row>
    <row r="1987" customFormat="false" ht="15.75" hidden="false" customHeight="false" outlineLevel="0" collapsed="false">
      <c r="A1987" s="12" t="str">
        <f aca="false">IF((AA1987&gt;=4), "Y", "N")</f>
        <v>Y</v>
      </c>
      <c r="B1987" s="74"/>
      <c r="C1987" s="26" t="s">
        <v>7631</v>
      </c>
      <c r="D1987" s="24"/>
      <c r="E1987" s="17"/>
      <c r="F1987" s="17"/>
      <c r="G1987" s="17"/>
      <c r="H1987" s="17"/>
      <c r="I1987" s="26" t="s">
        <v>209</v>
      </c>
      <c r="J1987" s="32"/>
      <c r="K1987" s="17"/>
      <c r="L1987" s="38"/>
      <c r="M1987" s="17"/>
      <c r="N1987" s="17"/>
      <c r="O1987" s="17"/>
      <c r="P1987" s="59" t="s">
        <v>7515</v>
      </c>
      <c r="Q1987" s="12"/>
      <c r="R1987" s="12"/>
      <c r="S1987" s="12"/>
      <c r="T1987" s="12"/>
      <c r="U1987" s="12"/>
      <c r="V1987" s="12"/>
      <c r="Z1987" s="12"/>
      <c r="AA1987" s="12" t="n">
        <v>5</v>
      </c>
      <c r="AB1987" s="12"/>
      <c r="AC1987" s="12"/>
      <c r="AD1987" s="12"/>
      <c r="AE1987" s="12"/>
    </row>
    <row r="1988" customFormat="false" ht="15.75" hidden="false" customHeight="false" outlineLevel="0" collapsed="false">
      <c r="A1988" s="12" t="str">
        <f aca="false">IF((AA1988&gt;=4), "Y", "N")</f>
        <v>Y</v>
      </c>
      <c r="B1988" s="74"/>
      <c r="C1988" s="26" t="s">
        <v>7632</v>
      </c>
      <c r="D1988" s="24"/>
      <c r="E1988" s="17"/>
      <c r="F1988" s="17"/>
      <c r="G1988" s="17"/>
      <c r="H1988" s="17"/>
      <c r="I1988" s="26" t="s">
        <v>209</v>
      </c>
      <c r="J1988" s="32"/>
      <c r="K1988" s="17"/>
      <c r="L1988" s="38"/>
      <c r="M1988" s="17"/>
      <c r="N1988" s="17"/>
      <c r="O1988" s="17"/>
      <c r="P1988" s="59" t="s">
        <v>7515</v>
      </c>
      <c r="Q1988" s="12"/>
      <c r="R1988" s="12"/>
      <c r="S1988" s="12"/>
      <c r="T1988" s="12"/>
      <c r="U1988" s="12"/>
      <c r="V1988" s="12"/>
      <c r="Z1988" s="12"/>
      <c r="AA1988" s="12" t="n">
        <v>5</v>
      </c>
      <c r="AB1988" s="12"/>
      <c r="AC1988" s="12"/>
      <c r="AD1988" s="12"/>
      <c r="AE1988" s="12"/>
    </row>
    <row r="1989" customFormat="false" ht="15.75" hidden="false" customHeight="false" outlineLevel="0" collapsed="false">
      <c r="A1989" s="12" t="str">
        <f aca="false">IF((AA1989&gt;=4), "Y", "N")</f>
        <v>Y</v>
      </c>
      <c r="B1989" s="74"/>
      <c r="C1989" s="26" t="s">
        <v>7633</v>
      </c>
      <c r="D1989" s="24"/>
      <c r="E1989" s="17"/>
      <c r="F1989" s="17"/>
      <c r="G1989" s="17"/>
      <c r="H1989" s="17"/>
      <c r="I1989" s="26" t="s">
        <v>209</v>
      </c>
      <c r="J1989" s="32"/>
      <c r="K1989" s="17"/>
      <c r="L1989" s="38"/>
      <c r="M1989" s="17"/>
      <c r="N1989" s="17"/>
      <c r="O1989" s="17"/>
      <c r="P1989" s="59" t="s">
        <v>7515</v>
      </c>
      <c r="Q1989" s="12"/>
      <c r="R1989" s="12"/>
      <c r="S1989" s="12"/>
      <c r="T1989" s="12"/>
      <c r="U1989" s="12"/>
      <c r="V1989" s="12"/>
      <c r="Z1989" s="12"/>
      <c r="AA1989" s="12" t="n">
        <v>5</v>
      </c>
      <c r="AB1989" s="12"/>
      <c r="AC1989" s="12"/>
      <c r="AD1989" s="12"/>
      <c r="AE1989" s="12"/>
    </row>
    <row r="1990" customFormat="false" ht="15.75" hidden="false" customHeight="false" outlineLevel="0" collapsed="false">
      <c r="A1990" s="12" t="str">
        <f aca="false">IF((AA1990&gt;=4), "Y", "N")</f>
        <v>Y</v>
      </c>
      <c r="B1990" s="74"/>
      <c r="C1990" s="26" t="s">
        <v>7634</v>
      </c>
      <c r="D1990" s="24"/>
      <c r="E1990" s="17"/>
      <c r="F1990" s="17"/>
      <c r="G1990" s="17"/>
      <c r="H1990" s="17"/>
      <c r="I1990" s="26" t="s">
        <v>209</v>
      </c>
      <c r="J1990" s="32"/>
      <c r="K1990" s="17"/>
      <c r="L1990" s="38"/>
      <c r="M1990" s="17"/>
      <c r="N1990" s="17"/>
      <c r="O1990" s="17"/>
      <c r="P1990" s="59" t="s">
        <v>7515</v>
      </c>
      <c r="Q1990" s="12"/>
      <c r="R1990" s="12"/>
      <c r="S1990" s="12"/>
      <c r="T1990" s="12"/>
      <c r="U1990" s="12"/>
      <c r="V1990" s="12"/>
      <c r="Z1990" s="12"/>
      <c r="AA1990" s="12" t="n">
        <v>5</v>
      </c>
      <c r="AB1990" s="12"/>
      <c r="AC1990" s="12"/>
      <c r="AD1990" s="12"/>
      <c r="AE1990" s="12"/>
    </row>
    <row r="1991" customFormat="false" ht="15.75" hidden="false" customHeight="false" outlineLevel="0" collapsed="false">
      <c r="A1991" s="12" t="str">
        <f aca="false">IF((AA1991&gt;=4), "Y", "N")</f>
        <v>Y</v>
      </c>
      <c r="B1991" s="74"/>
      <c r="C1991" s="26" t="s">
        <v>7635</v>
      </c>
      <c r="D1991" s="24"/>
      <c r="E1991" s="17"/>
      <c r="F1991" s="17"/>
      <c r="G1991" s="17"/>
      <c r="H1991" s="17"/>
      <c r="I1991" s="26" t="s">
        <v>209</v>
      </c>
      <c r="J1991" s="32"/>
      <c r="K1991" s="17"/>
      <c r="L1991" s="38"/>
      <c r="M1991" s="17"/>
      <c r="N1991" s="17"/>
      <c r="O1991" s="17"/>
      <c r="P1991" s="59" t="s">
        <v>7515</v>
      </c>
      <c r="Q1991" s="12"/>
      <c r="R1991" s="12"/>
      <c r="S1991" s="12"/>
      <c r="T1991" s="12"/>
      <c r="U1991" s="12"/>
      <c r="V1991" s="12"/>
      <c r="Z1991" s="12"/>
      <c r="AA1991" s="12" t="n">
        <v>5</v>
      </c>
      <c r="AB1991" s="12"/>
      <c r="AC1991" s="12"/>
      <c r="AD1991" s="12"/>
      <c r="AE1991" s="12"/>
    </row>
    <row r="1992" customFormat="false" ht="15.75" hidden="false" customHeight="false" outlineLevel="0" collapsed="false">
      <c r="A1992" s="12" t="str">
        <f aca="false">IF((AA1992&gt;=4), "Y", "N")</f>
        <v>Y</v>
      </c>
      <c r="B1992" s="74"/>
      <c r="C1992" s="26" t="s">
        <v>7636</v>
      </c>
      <c r="D1992" s="24"/>
      <c r="E1992" s="17"/>
      <c r="F1992" s="17"/>
      <c r="G1992" s="17"/>
      <c r="H1992" s="17"/>
      <c r="I1992" s="26" t="s">
        <v>209</v>
      </c>
      <c r="J1992" s="32"/>
      <c r="K1992" s="17"/>
      <c r="L1992" s="38"/>
      <c r="M1992" s="17"/>
      <c r="N1992" s="17"/>
      <c r="O1992" s="17"/>
      <c r="P1992" s="59" t="s">
        <v>7515</v>
      </c>
      <c r="Q1992" s="12"/>
      <c r="R1992" s="12"/>
      <c r="S1992" s="12"/>
      <c r="T1992" s="12"/>
      <c r="U1992" s="12"/>
      <c r="V1992" s="12"/>
      <c r="Z1992" s="12"/>
      <c r="AA1992" s="12" t="n">
        <v>5</v>
      </c>
      <c r="AB1992" s="12"/>
      <c r="AC1992" s="12"/>
      <c r="AD1992" s="12"/>
      <c r="AE1992" s="12"/>
    </row>
    <row r="1993" customFormat="false" ht="15.75" hidden="false" customHeight="false" outlineLevel="0" collapsed="false">
      <c r="A1993" s="12" t="str">
        <f aca="false">IF((AA1993&gt;=4), "Y", "N")</f>
        <v>Y</v>
      </c>
      <c r="B1993" s="74"/>
      <c r="C1993" s="26" t="s">
        <v>7637</v>
      </c>
      <c r="D1993" s="24"/>
      <c r="E1993" s="17"/>
      <c r="F1993" s="17"/>
      <c r="G1993" s="17"/>
      <c r="H1993" s="17"/>
      <c r="I1993" s="26" t="s">
        <v>209</v>
      </c>
      <c r="J1993" s="32"/>
      <c r="K1993" s="17"/>
      <c r="L1993" s="38"/>
      <c r="M1993" s="17"/>
      <c r="N1993" s="17"/>
      <c r="O1993" s="17"/>
      <c r="P1993" s="59" t="s">
        <v>7515</v>
      </c>
      <c r="Q1993" s="12"/>
      <c r="R1993" s="12"/>
      <c r="S1993" s="12"/>
      <c r="T1993" s="12"/>
      <c r="U1993" s="12"/>
      <c r="V1993" s="12"/>
      <c r="Z1993" s="12"/>
      <c r="AA1993" s="12" t="n">
        <v>5</v>
      </c>
      <c r="AB1993" s="12"/>
      <c r="AC1993" s="12"/>
      <c r="AD1993" s="12"/>
      <c r="AE1993" s="12"/>
    </row>
    <row r="1994" customFormat="false" ht="15.75" hidden="false" customHeight="false" outlineLevel="0" collapsed="false">
      <c r="A1994" s="12" t="str">
        <f aca="false">IF((AA1994&gt;=4), "Y", "N")</f>
        <v>Y</v>
      </c>
      <c r="B1994" s="74"/>
      <c r="C1994" s="26" t="s">
        <v>7638</v>
      </c>
      <c r="D1994" s="24"/>
      <c r="E1994" s="17"/>
      <c r="F1994" s="17"/>
      <c r="G1994" s="17"/>
      <c r="H1994" s="17"/>
      <c r="I1994" s="26" t="s">
        <v>209</v>
      </c>
      <c r="J1994" s="32"/>
      <c r="K1994" s="17"/>
      <c r="L1994" s="38"/>
      <c r="M1994" s="17"/>
      <c r="N1994" s="17"/>
      <c r="O1994" s="17"/>
      <c r="P1994" s="59" t="s">
        <v>7515</v>
      </c>
      <c r="Q1994" s="12"/>
      <c r="R1994" s="12"/>
      <c r="S1994" s="12"/>
      <c r="T1994" s="12"/>
      <c r="U1994" s="12"/>
      <c r="V1994" s="12"/>
      <c r="Z1994" s="12"/>
      <c r="AA1994" s="12" t="n">
        <v>5</v>
      </c>
      <c r="AB1994" s="12"/>
      <c r="AC1994" s="12"/>
      <c r="AD1994" s="12"/>
      <c r="AE1994" s="12"/>
    </row>
    <row r="1995" customFormat="false" ht="15.75" hidden="false" customHeight="false" outlineLevel="0" collapsed="false">
      <c r="A1995" s="12" t="str">
        <f aca="false">IF((AA1995&gt;=4), "Y", "N")</f>
        <v>Y</v>
      </c>
      <c r="B1995" s="74"/>
      <c r="C1995" s="26" t="s">
        <v>7639</v>
      </c>
      <c r="D1995" s="24"/>
      <c r="E1995" s="17"/>
      <c r="F1995" s="17"/>
      <c r="G1995" s="17"/>
      <c r="H1995" s="17"/>
      <c r="I1995" s="26" t="s">
        <v>209</v>
      </c>
      <c r="J1995" s="32"/>
      <c r="K1995" s="17"/>
      <c r="L1995" s="38"/>
      <c r="M1995" s="17"/>
      <c r="N1995" s="17"/>
      <c r="O1995" s="17"/>
      <c r="P1995" s="59" t="s">
        <v>7515</v>
      </c>
      <c r="Q1995" s="12"/>
      <c r="R1995" s="12"/>
      <c r="S1995" s="12"/>
      <c r="T1995" s="12"/>
      <c r="U1995" s="12"/>
      <c r="V1995" s="12"/>
      <c r="Z1995" s="12"/>
      <c r="AA1995" s="12" t="n">
        <v>5</v>
      </c>
      <c r="AB1995" s="12"/>
      <c r="AC1995" s="12"/>
      <c r="AD1995" s="12"/>
      <c r="AE1995" s="12"/>
    </row>
    <row r="1996" customFormat="false" ht="15.75" hidden="false" customHeight="false" outlineLevel="0" collapsed="false">
      <c r="A1996" s="12" t="str">
        <f aca="false">IF((AA1996&gt;=4), "Y", "N")</f>
        <v>Y</v>
      </c>
      <c r="B1996" s="74"/>
      <c r="C1996" s="26" t="s">
        <v>7640</v>
      </c>
      <c r="D1996" s="24"/>
      <c r="E1996" s="17"/>
      <c r="F1996" s="17"/>
      <c r="G1996" s="17"/>
      <c r="H1996" s="17"/>
      <c r="I1996" s="26" t="s">
        <v>209</v>
      </c>
      <c r="J1996" s="32"/>
      <c r="K1996" s="17"/>
      <c r="L1996" s="38"/>
      <c r="M1996" s="17"/>
      <c r="N1996" s="17"/>
      <c r="O1996" s="17"/>
      <c r="P1996" s="59" t="s">
        <v>7515</v>
      </c>
      <c r="Q1996" s="12"/>
      <c r="R1996" s="12"/>
      <c r="S1996" s="12"/>
      <c r="T1996" s="12"/>
      <c r="U1996" s="12"/>
      <c r="V1996" s="12"/>
      <c r="Z1996" s="12"/>
      <c r="AA1996" s="12" t="n">
        <v>5</v>
      </c>
      <c r="AB1996" s="12"/>
      <c r="AC1996" s="12"/>
      <c r="AD1996" s="12"/>
      <c r="AE1996" s="12"/>
    </row>
    <row r="1997" customFormat="false" ht="15.75" hidden="false" customHeight="false" outlineLevel="0" collapsed="false">
      <c r="A1997" s="12" t="str">
        <f aca="false">IF((AA1997&gt;=4), "Y", "N")</f>
        <v>Y</v>
      </c>
      <c r="B1997" s="74"/>
      <c r="C1997" s="26" t="s">
        <v>7641</v>
      </c>
      <c r="D1997" s="24"/>
      <c r="E1997" s="17"/>
      <c r="F1997" s="17"/>
      <c r="G1997" s="17"/>
      <c r="H1997" s="17"/>
      <c r="I1997" s="26" t="s">
        <v>209</v>
      </c>
      <c r="J1997" s="32"/>
      <c r="K1997" s="17"/>
      <c r="L1997" s="38"/>
      <c r="M1997" s="17"/>
      <c r="N1997" s="17"/>
      <c r="O1997" s="17"/>
      <c r="P1997" s="59" t="s">
        <v>7515</v>
      </c>
      <c r="Q1997" s="12"/>
      <c r="R1997" s="12"/>
      <c r="S1997" s="12"/>
      <c r="T1997" s="12"/>
      <c r="U1997" s="12"/>
      <c r="V1997" s="12"/>
      <c r="Z1997" s="12"/>
      <c r="AA1997" s="12" t="n">
        <v>5</v>
      </c>
      <c r="AB1997" s="12"/>
      <c r="AC1997" s="12"/>
      <c r="AD1997" s="12"/>
      <c r="AE1997" s="12"/>
    </row>
    <row r="1998" customFormat="false" ht="15.75" hidden="false" customHeight="false" outlineLevel="0" collapsed="false">
      <c r="A1998" s="12" t="str">
        <f aca="false">IF((AA1998&gt;=4), "Y", "N")</f>
        <v>Y</v>
      </c>
      <c r="B1998" s="74"/>
      <c r="C1998" s="26" t="s">
        <v>7642</v>
      </c>
      <c r="D1998" s="24"/>
      <c r="E1998" s="17"/>
      <c r="F1998" s="17"/>
      <c r="G1998" s="17"/>
      <c r="H1998" s="17"/>
      <c r="I1998" s="26" t="s">
        <v>209</v>
      </c>
      <c r="J1998" s="32"/>
      <c r="K1998" s="17"/>
      <c r="L1998" s="38"/>
      <c r="M1998" s="17"/>
      <c r="N1998" s="17"/>
      <c r="O1998" s="17"/>
      <c r="P1998" s="59" t="s">
        <v>7515</v>
      </c>
      <c r="Q1998" s="12"/>
      <c r="R1998" s="12"/>
      <c r="S1998" s="12"/>
      <c r="T1998" s="12"/>
      <c r="U1998" s="12"/>
      <c r="V1998" s="12"/>
      <c r="Z1998" s="12"/>
      <c r="AA1998" s="12" t="n">
        <v>5</v>
      </c>
      <c r="AB1998" s="12"/>
      <c r="AC1998" s="12"/>
      <c r="AD1998" s="12"/>
      <c r="AE1998" s="12"/>
    </row>
    <row r="1999" customFormat="false" ht="15.75" hidden="false" customHeight="false" outlineLevel="0" collapsed="false">
      <c r="A1999" s="12" t="str">
        <f aca="false">IF((AA1999&gt;=4), "Y", "N")</f>
        <v>Y</v>
      </c>
      <c r="B1999" s="74"/>
      <c r="C1999" s="26" t="s">
        <v>7643</v>
      </c>
      <c r="D1999" s="24"/>
      <c r="E1999" s="17"/>
      <c r="F1999" s="17"/>
      <c r="G1999" s="17"/>
      <c r="H1999" s="17"/>
      <c r="I1999" s="26" t="s">
        <v>209</v>
      </c>
      <c r="J1999" s="32"/>
      <c r="K1999" s="17"/>
      <c r="L1999" s="38"/>
      <c r="M1999" s="17"/>
      <c r="N1999" s="17"/>
      <c r="O1999" s="17"/>
      <c r="P1999" s="59" t="s">
        <v>7515</v>
      </c>
      <c r="Q1999" s="12"/>
      <c r="R1999" s="12"/>
      <c r="S1999" s="12"/>
      <c r="T1999" s="12"/>
      <c r="U1999" s="12"/>
      <c r="V1999" s="12"/>
      <c r="Z1999" s="12"/>
      <c r="AA1999" s="12" t="n">
        <v>5</v>
      </c>
      <c r="AB1999" s="12"/>
      <c r="AC1999" s="12"/>
      <c r="AD1999" s="12"/>
      <c r="AE1999" s="12"/>
    </row>
    <row r="2000" customFormat="false" ht="15.75" hidden="false" customHeight="false" outlineLevel="0" collapsed="false">
      <c r="A2000" s="12" t="str">
        <f aca="false">IF((AA2000&gt;=4), "Y", "N")</f>
        <v>Y</v>
      </c>
      <c r="B2000" s="74"/>
      <c r="C2000" s="26" t="s">
        <v>7644</v>
      </c>
      <c r="D2000" s="24"/>
      <c r="E2000" s="17"/>
      <c r="F2000" s="17"/>
      <c r="G2000" s="17"/>
      <c r="H2000" s="17"/>
      <c r="I2000" s="26" t="s">
        <v>209</v>
      </c>
      <c r="J2000" s="32"/>
      <c r="K2000" s="17"/>
      <c r="L2000" s="38"/>
      <c r="M2000" s="17"/>
      <c r="N2000" s="17"/>
      <c r="O2000" s="17"/>
      <c r="P2000" s="59" t="s">
        <v>7515</v>
      </c>
      <c r="Q2000" s="12"/>
      <c r="R2000" s="12"/>
      <c r="S2000" s="12"/>
      <c r="T2000" s="12"/>
      <c r="U2000" s="12"/>
      <c r="V2000" s="12"/>
      <c r="Z2000" s="12"/>
      <c r="AA2000" s="12" t="n">
        <v>5</v>
      </c>
      <c r="AB2000" s="12"/>
      <c r="AC2000" s="12"/>
      <c r="AD2000" s="12"/>
      <c r="AE2000" s="12"/>
    </row>
    <row r="2001" customFormat="false" ht="15.75" hidden="false" customHeight="false" outlineLevel="0" collapsed="false">
      <c r="A2001" s="12" t="str">
        <f aca="false">IF((AA2001&gt;=4), "Y", "N")</f>
        <v>Y</v>
      </c>
      <c r="B2001" s="74"/>
      <c r="C2001" s="26" t="s">
        <v>7645</v>
      </c>
      <c r="D2001" s="24"/>
      <c r="E2001" s="17"/>
      <c r="F2001" s="17"/>
      <c r="G2001" s="17"/>
      <c r="H2001" s="17"/>
      <c r="I2001" s="26" t="s">
        <v>209</v>
      </c>
      <c r="J2001" s="32"/>
      <c r="K2001" s="17"/>
      <c r="L2001" s="38"/>
      <c r="M2001" s="17"/>
      <c r="N2001" s="17"/>
      <c r="O2001" s="17"/>
      <c r="P2001" s="59" t="s">
        <v>7515</v>
      </c>
      <c r="Q2001" s="12"/>
      <c r="R2001" s="12"/>
      <c r="S2001" s="12"/>
      <c r="T2001" s="12"/>
      <c r="U2001" s="12"/>
      <c r="V2001" s="12"/>
      <c r="Z2001" s="12"/>
      <c r="AA2001" s="12" t="n">
        <v>5</v>
      </c>
      <c r="AB2001" s="12"/>
      <c r="AC2001" s="12"/>
      <c r="AD2001" s="12"/>
      <c r="AE2001" s="12"/>
    </row>
    <row r="2002" customFormat="false" ht="15.75" hidden="false" customHeight="false" outlineLevel="0" collapsed="false">
      <c r="A2002" s="12" t="str">
        <f aca="false">IF((AA2002&gt;=4), "Y", "N")</f>
        <v>Y</v>
      </c>
      <c r="B2002" s="74"/>
      <c r="C2002" s="26" t="s">
        <v>7646</v>
      </c>
      <c r="D2002" s="24"/>
      <c r="E2002" s="17"/>
      <c r="F2002" s="17"/>
      <c r="G2002" s="17"/>
      <c r="H2002" s="17"/>
      <c r="I2002" s="26" t="s">
        <v>209</v>
      </c>
      <c r="J2002" s="32"/>
      <c r="K2002" s="17"/>
      <c r="L2002" s="38"/>
      <c r="M2002" s="17"/>
      <c r="N2002" s="17"/>
      <c r="O2002" s="17"/>
      <c r="P2002" s="59" t="s">
        <v>7515</v>
      </c>
      <c r="Q2002" s="12"/>
      <c r="R2002" s="12"/>
      <c r="S2002" s="12"/>
      <c r="T2002" s="12"/>
      <c r="U2002" s="12"/>
      <c r="V2002" s="12"/>
      <c r="Z2002" s="12"/>
      <c r="AA2002" s="12" t="n">
        <v>5</v>
      </c>
      <c r="AB2002" s="12"/>
      <c r="AC2002" s="12"/>
      <c r="AD2002" s="12"/>
      <c r="AE2002" s="12"/>
    </row>
    <row r="2003" customFormat="false" ht="15.75" hidden="false" customHeight="false" outlineLevel="0" collapsed="false">
      <c r="A2003" s="12" t="str">
        <f aca="false">IF((AA2003&gt;=4), "Y", "N")</f>
        <v>Y</v>
      </c>
      <c r="B2003" s="74"/>
      <c r="C2003" s="26" t="s">
        <v>7647</v>
      </c>
      <c r="D2003" s="24"/>
      <c r="E2003" s="17"/>
      <c r="F2003" s="17"/>
      <c r="G2003" s="17"/>
      <c r="H2003" s="17"/>
      <c r="I2003" s="26" t="s">
        <v>209</v>
      </c>
      <c r="J2003" s="32"/>
      <c r="K2003" s="17"/>
      <c r="L2003" s="38"/>
      <c r="M2003" s="17"/>
      <c r="N2003" s="17"/>
      <c r="O2003" s="17"/>
      <c r="P2003" s="59" t="s">
        <v>7515</v>
      </c>
      <c r="Q2003" s="12"/>
      <c r="R2003" s="12"/>
      <c r="S2003" s="12"/>
      <c r="T2003" s="12"/>
      <c r="U2003" s="12"/>
      <c r="V2003" s="12"/>
      <c r="Z2003" s="12"/>
      <c r="AA2003" s="12" t="n">
        <v>5</v>
      </c>
      <c r="AB2003" s="12"/>
      <c r="AC2003" s="12"/>
      <c r="AD2003" s="12"/>
      <c r="AE2003" s="12"/>
    </row>
    <row r="2004" customFormat="false" ht="15.75" hidden="false" customHeight="false" outlineLevel="0" collapsed="false">
      <c r="A2004" s="12" t="str">
        <f aca="false">IF((AA2004&gt;=4), "Y", "N")</f>
        <v>Y</v>
      </c>
      <c r="B2004" s="74"/>
      <c r="C2004" s="26" t="s">
        <v>7648</v>
      </c>
      <c r="D2004" s="24"/>
      <c r="E2004" s="17"/>
      <c r="F2004" s="17"/>
      <c r="G2004" s="17"/>
      <c r="H2004" s="17"/>
      <c r="I2004" s="26" t="s">
        <v>209</v>
      </c>
      <c r="J2004" s="32"/>
      <c r="K2004" s="17"/>
      <c r="L2004" s="38"/>
      <c r="M2004" s="17"/>
      <c r="N2004" s="17"/>
      <c r="O2004" s="17"/>
      <c r="P2004" s="59" t="s">
        <v>7515</v>
      </c>
      <c r="Q2004" s="12"/>
      <c r="R2004" s="12"/>
      <c r="S2004" s="12"/>
      <c r="T2004" s="12"/>
      <c r="U2004" s="12"/>
      <c r="V2004" s="12"/>
      <c r="Z2004" s="12"/>
      <c r="AA2004" s="12" t="n">
        <v>5</v>
      </c>
      <c r="AB2004" s="12"/>
      <c r="AC2004" s="12"/>
      <c r="AD2004" s="12"/>
      <c r="AE2004" s="12"/>
    </row>
    <row r="2005" customFormat="false" ht="15.75" hidden="false" customHeight="false" outlineLevel="0" collapsed="false">
      <c r="A2005" s="12" t="str">
        <f aca="false">IF((AA2005&gt;=4), "Y", "N")</f>
        <v>Y</v>
      </c>
      <c r="B2005" s="74"/>
      <c r="C2005" s="26" t="s">
        <v>7649</v>
      </c>
      <c r="D2005" s="24"/>
      <c r="E2005" s="17"/>
      <c r="F2005" s="17"/>
      <c r="G2005" s="17"/>
      <c r="H2005" s="17"/>
      <c r="I2005" s="26" t="s">
        <v>209</v>
      </c>
      <c r="J2005" s="32"/>
      <c r="K2005" s="17"/>
      <c r="L2005" s="38"/>
      <c r="M2005" s="17"/>
      <c r="N2005" s="17"/>
      <c r="O2005" s="17"/>
      <c r="P2005" s="59" t="s">
        <v>7515</v>
      </c>
      <c r="Q2005" s="12"/>
      <c r="R2005" s="12"/>
      <c r="S2005" s="12"/>
      <c r="T2005" s="12"/>
      <c r="U2005" s="12"/>
      <c r="V2005" s="12"/>
      <c r="Z2005" s="12"/>
      <c r="AA2005" s="12" t="n">
        <v>5</v>
      </c>
      <c r="AB2005" s="12"/>
      <c r="AC2005" s="12"/>
      <c r="AD2005" s="12"/>
      <c r="AE2005" s="12"/>
    </row>
    <row r="2006" customFormat="false" ht="15.75" hidden="false" customHeight="false" outlineLevel="0" collapsed="false">
      <c r="A2006" s="12" t="str">
        <f aca="false">IF((AA2006&gt;=4), "Y", "N")</f>
        <v>Y</v>
      </c>
      <c r="B2006" s="74"/>
      <c r="C2006" s="26" t="s">
        <v>7650</v>
      </c>
      <c r="D2006" s="24"/>
      <c r="E2006" s="17"/>
      <c r="F2006" s="17"/>
      <c r="G2006" s="17"/>
      <c r="H2006" s="17"/>
      <c r="I2006" s="26" t="s">
        <v>209</v>
      </c>
      <c r="J2006" s="32"/>
      <c r="K2006" s="17"/>
      <c r="L2006" s="38"/>
      <c r="M2006" s="17"/>
      <c r="N2006" s="17"/>
      <c r="O2006" s="17"/>
      <c r="P2006" s="59" t="s">
        <v>7515</v>
      </c>
      <c r="Q2006" s="12"/>
      <c r="R2006" s="12"/>
      <c r="S2006" s="12"/>
      <c r="T2006" s="12"/>
      <c r="U2006" s="12"/>
      <c r="V2006" s="12"/>
      <c r="Z2006" s="12"/>
      <c r="AA2006" s="12" t="n">
        <v>5</v>
      </c>
      <c r="AB2006" s="12"/>
      <c r="AC2006" s="12"/>
      <c r="AD2006" s="12"/>
      <c r="AE2006" s="12"/>
    </row>
    <row r="2007" customFormat="false" ht="15.75" hidden="false" customHeight="false" outlineLevel="0" collapsed="false">
      <c r="A2007" s="12" t="str">
        <f aca="false">IF((AA2007&gt;=4), "Y", "N")</f>
        <v>Y</v>
      </c>
      <c r="B2007" s="74"/>
      <c r="C2007" s="26" t="s">
        <v>7651</v>
      </c>
      <c r="D2007" s="24"/>
      <c r="E2007" s="17"/>
      <c r="F2007" s="17"/>
      <c r="G2007" s="17"/>
      <c r="H2007" s="17"/>
      <c r="I2007" s="26" t="s">
        <v>209</v>
      </c>
      <c r="J2007" s="32"/>
      <c r="K2007" s="17"/>
      <c r="L2007" s="38"/>
      <c r="M2007" s="17"/>
      <c r="N2007" s="17"/>
      <c r="O2007" s="17"/>
      <c r="P2007" s="59" t="s">
        <v>7515</v>
      </c>
      <c r="Q2007" s="12"/>
      <c r="R2007" s="12"/>
      <c r="S2007" s="12"/>
      <c r="T2007" s="12"/>
      <c r="U2007" s="12"/>
      <c r="V2007" s="12"/>
      <c r="Z2007" s="12"/>
      <c r="AA2007" s="12" t="n">
        <v>5</v>
      </c>
      <c r="AB2007" s="12"/>
      <c r="AC2007" s="12"/>
      <c r="AD2007" s="12"/>
      <c r="AE2007" s="12"/>
    </row>
    <row r="2008" customFormat="false" ht="15.75" hidden="false" customHeight="false" outlineLevel="0" collapsed="false">
      <c r="A2008" s="12" t="str">
        <f aca="false">IF((AA2008&gt;=4), "Y", "N")</f>
        <v>Y</v>
      </c>
      <c r="B2008" s="74"/>
      <c r="C2008" s="26" t="s">
        <v>7652</v>
      </c>
      <c r="D2008" s="24"/>
      <c r="E2008" s="17"/>
      <c r="F2008" s="17"/>
      <c r="G2008" s="17"/>
      <c r="H2008" s="17"/>
      <c r="I2008" s="26" t="s">
        <v>209</v>
      </c>
      <c r="J2008" s="32"/>
      <c r="K2008" s="17"/>
      <c r="L2008" s="38"/>
      <c r="M2008" s="17"/>
      <c r="N2008" s="17"/>
      <c r="O2008" s="17"/>
      <c r="P2008" s="59" t="s">
        <v>7515</v>
      </c>
      <c r="Q2008" s="12"/>
      <c r="R2008" s="12"/>
      <c r="S2008" s="12"/>
      <c r="T2008" s="12"/>
      <c r="U2008" s="12"/>
      <c r="V2008" s="12"/>
      <c r="Z2008" s="12"/>
      <c r="AA2008" s="12" t="n">
        <v>5</v>
      </c>
      <c r="AB2008" s="12"/>
      <c r="AC2008" s="12"/>
      <c r="AD2008" s="12"/>
      <c r="AE2008" s="12"/>
    </row>
    <row r="2009" customFormat="false" ht="15.75" hidden="false" customHeight="false" outlineLevel="0" collapsed="false">
      <c r="A2009" s="12" t="str">
        <f aca="false">IF((AA2009&gt;=4), "Y", "N")</f>
        <v>Y</v>
      </c>
      <c r="B2009" s="74"/>
      <c r="C2009" s="26" t="s">
        <v>7653</v>
      </c>
      <c r="D2009" s="24"/>
      <c r="E2009" s="17"/>
      <c r="F2009" s="17"/>
      <c r="G2009" s="17"/>
      <c r="H2009" s="17"/>
      <c r="I2009" s="26" t="s">
        <v>209</v>
      </c>
      <c r="J2009" s="32"/>
      <c r="K2009" s="17"/>
      <c r="L2009" s="38"/>
      <c r="M2009" s="17"/>
      <c r="N2009" s="17"/>
      <c r="O2009" s="17"/>
      <c r="P2009" s="59" t="s">
        <v>7515</v>
      </c>
      <c r="Q2009" s="12"/>
      <c r="R2009" s="12"/>
      <c r="S2009" s="12"/>
      <c r="T2009" s="12"/>
      <c r="U2009" s="12"/>
      <c r="V2009" s="12"/>
      <c r="Z2009" s="12"/>
      <c r="AA2009" s="12" t="n">
        <v>5</v>
      </c>
      <c r="AB2009" s="12"/>
      <c r="AC2009" s="12"/>
      <c r="AD2009" s="12"/>
      <c r="AE2009" s="12"/>
    </row>
    <row r="2010" customFormat="false" ht="15.75" hidden="false" customHeight="false" outlineLevel="0" collapsed="false">
      <c r="A2010" s="12" t="str">
        <f aca="false">IF((AA2010&gt;=4), "Y", "N")</f>
        <v>Y</v>
      </c>
      <c r="B2010" s="74"/>
      <c r="C2010" s="26" t="s">
        <v>7654</v>
      </c>
      <c r="D2010" s="24"/>
      <c r="E2010" s="17"/>
      <c r="F2010" s="17"/>
      <c r="G2010" s="17"/>
      <c r="H2010" s="17"/>
      <c r="I2010" s="26" t="s">
        <v>209</v>
      </c>
      <c r="J2010" s="32"/>
      <c r="K2010" s="17"/>
      <c r="L2010" s="38"/>
      <c r="M2010" s="17"/>
      <c r="N2010" s="17"/>
      <c r="O2010" s="17"/>
      <c r="P2010" s="59" t="s">
        <v>7515</v>
      </c>
      <c r="Q2010" s="12"/>
      <c r="R2010" s="12"/>
      <c r="S2010" s="12"/>
      <c r="T2010" s="12"/>
      <c r="U2010" s="12"/>
      <c r="V2010" s="12"/>
      <c r="Z2010" s="12"/>
      <c r="AA2010" s="12" t="n">
        <v>5</v>
      </c>
      <c r="AB2010" s="12"/>
      <c r="AC2010" s="12"/>
      <c r="AD2010" s="12"/>
      <c r="AE2010" s="12"/>
    </row>
    <row r="2011" customFormat="false" ht="15.75" hidden="false" customHeight="false" outlineLevel="0" collapsed="false">
      <c r="A2011" s="12" t="str">
        <f aca="false">IF((AA2011&gt;=4), "Y", "N")</f>
        <v>Y</v>
      </c>
      <c r="B2011" s="74"/>
      <c r="C2011" s="26" t="s">
        <v>7655</v>
      </c>
      <c r="D2011" s="24"/>
      <c r="E2011" s="17"/>
      <c r="F2011" s="17"/>
      <c r="G2011" s="17"/>
      <c r="H2011" s="17"/>
      <c r="I2011" s="26" t="s">
        <v>209</v>
      </c>
      <c r="J2011" s="32"/>
      <c r="K2011" s="17"/>
      <c r="L2011" s="38"/>
      <c r="M2011" s="17"/>
      <c r="N2011" s="17"/>
      <c r="O2011" s="17"/>
      <c r="P2011" s="59" t="s">
        <v>7515</v>
      </c>
      <c r="Q2011" s="12"/>
      <c r="R2011" s="12"/>
      <c r="S2011" s="12"/>
      <c r="T2011" s="12"/>
      <c r="U2011" s="12"/>
      <c r="V2011" s="12"/>
      <c r="Z2011" s="12"/>
      <c r="AA2011" s="12" t="n">
        <v>5</v>
      </c>
      <c r="AB2011" s="12"/>
      <c r="AC2011" s="12"/>
      <c r="AD2011" s="12"/>
      <c r="AE2011" s="12"/>
    </row>
    <row r="2012" customFormat="false" ht="15.75" hidden="false" customHeight="false" outlineLevel="0" collapsed="false">
      <c r="A2012" s="12" t="str">
        <f aca="false">IF((AA2012&gt;=4), "Y", "N")</f>
        <v>Y</v>
      </c>
      <c r="B2012" s="74"/>
      <c r="C2012" s="26" t="s">
        <v>7656</v>
      </c>
      <c r="D2012" s="24"/>
      <c r="E2012" s="17"/>
      <c r="F2012" s="17"/>
      <c r="G2012" s="17"/>
      <c r="H2012" s="17"/>
      <c r="I2012" s="26" t="s">
        <v>209</v>
      </c>
      <c r="J2012" s="32"/>
      <c r="K2012" s="17"/>
      <c r="L2012" s="38"/>
      <c r="M2012" s="17"/>
      <c r="N2012" s="17"/>
      <c r="O2012" s="17"/>
      <c r="P2012" s="59" t="s">
        <v>7515</v>
      </c>
      <c r="Q2012" s="12"/>
      <c r="R2012" s="12"/>
      <c r="S2012" s="12"/>
      <c r="T2012" s="12"/>
      <c r="U2012" s="12"/>
      <c r="V2012" s="12"/>
      <c r="Z2012" s="12"/>
      <c r="AA2012" s="12" t="n">
        <v>5</v>
      </c>
      <c r="AB2012" s="12"/>
      <c r="AC2012" s="12"/>
      <c r="AD2012" s="12"/>
      <c r="AE2012" s="12"/>
    </row>
    <row r="2013" customFormat="false" ht="15.75" hidden="false" customHeight="false" outlineLevel="0" collapsed="false">
      <c r="A2013" s="12" t="str">
        <f aca="false">IF((AA2013&gt;=4), "Y", "N")</f>
        <v>Y</v>
      </c>
      <c r="B2013" s="74"/>
      <c r="C2013" s="26" t="s">
        <v>7656</v>
      </c>
      <c r="D2013" s="24"/>
      <c r="E2013" s="17"/>
      <c r="F2013" s="17"/>
      <c r="G2013" s="17"/>
      <c r="H2013" s="17"/>
      <c r="I2013" s="26" t="s">
        <v>209</v>
      </c>
      <c r="J2013" s="32"/>
      <c r="K2013" s="17"/>
      <c r="L2013" s="38"/>
      <c r="M2013" s="17"/>
      <c r="N2013" s="17"/>
      <c r="O2013" s="17"/>
      <c r="P2013" s="59" t="s">
        <v>7515</v>
      </c>
      <c r="Q2013" s="12"/>
      <c r="R2013" s="12"/>
      <c r="S2013" s="12"/>
      <c r="T2013" s="12"/>
      <c r="U2013" s="12"/>
      <c r="V2013" s="12"/>
      <c r="Z2013" s="12"/>
      <c r="AA2013" s="12" t="n">
        <v>5</v>
      </c>
      <c r="AB2013" s="12"/>
      <c r="AC2013" s="12"/>
      <c r="AD2013" s="12"/>
      <c r="AE2013" s="12"/>
    </row>
    <row r="2014" customFormat="false" ht="15.75" hidden="false" customHeight="false" outlineLevel="0" collapsed="false">
      <c r="A2014" s="12" t="str">
        <f aca="false">IF((AA2014&gt;=4), "Y", "N")</f>
        <v>Y</v>
      </c>
      <c r="B2014" s="74"/>
      <c r="C2014" s="26" t="s">
        <v>7657</v>
      </c>
      <c r="D2014" s="24"/>
      <c r="E2014" s="17"/>
      <c r="F2014" s="17"/>
      <c r="G2014" s="17"/>
      <c r="H2014" s="17"/>
      <c r="I2014" s="26" t="s">
        <v>209</v>
      </c>
      <c r="J2014" s="32"/>
      <c r="K2014" s="17"/>
      <c r="L2014" s="38"/>
      <c r="M2014" s="17"/>
      <c r="N2014" s="17"/>
      <c r="O2014" s="17"/>
      <c r="P2014" s="59" t="s">
        <v>7515</v>
      </c>
      <c r="Q2014" s="12"/>
      <c r="R2014" s="12"/>
      <c r="S2014" s="12"/>
      <c r="T2014" s="12"/>
      <c r="U2014" s="12"/>
      <c r="V2014" s="12"/>
      <c r="Z2014" s="12"/>
      <c r="AA2014" s="12" t="n">
        <v>5</v>
      </c>
      <c r="AB2014" s="12"/>
      <c r="AC2014" s="12"/>
      <c r="AD2014" s="12"/>
      <c r="AE2014" s="12"/>
    </row>
    <row r="2015" customFormat="false" ht="15.75" hidden="false" customHeight="false" outlineLevel="0" collapsed="false">
      <c r="A2015" s="12" t="str">
        <f aca="false">IF((AA2015&gt;=4), "Y", "N")</f>
        <v>Y</v>
      </c>
      <c r="B2015" s="74"/>
      <c r="C2015" s="26" t="s">
        <v>7658</v>
      </c>
      <c r="D2015" s="24"/>
      <c r="E2015" s="17"/>
      <c r="F2015" s="17"/>
      <c r="G2015" s="17"/>
      <c r="H2015" s="17"/>
      <c r="I2015" s="26" t="s">
        <v>209</v>
      </c>
      <c r="J2015" s="32"/>
      <c r="K2015" s="17"/>
      <c r="L2015" s="38"/>
      <c r="M2015" s="17"/>
      <c r="N2015" s="17"/>
      <c r="O2015" s="17"/>
      <c r="P2015" s="59" t="s">
        <v>7515</v>
      </c>
      <c r="Q2015" s="12"/>
      <c r="R2015" s="12"/>
      <c r="S2015" s="12"/>
      <c r="T2015" s="12"/>
      <c r="U2015" s="12"/>
      <c r="V2015" s="12"/>
      <c r="Z2015" s="12"/>
      <c r="AA2015" s="12" t="n">
        <v>5</v>
      </c>
      <c r="AB2015" s="12"/>
      <c r="AC2015" s="12"/>
      <c r="AD2015" s="12"/>
      <c r="AE2015" s="12"/>
    </row>
    <row r="2016" customFormat="false" ht="15.75" hidden="false" customHeight="false" outlineLevel="0" collapsed="false">
      <c r="A2016" s="12" t="str">
        <f aca="false">IF((AA2016&gt;=4), "Y", "N")</f>
        <v>Y</v>
      </c>
      <c r="B2016" s="74"/>
      <c r="C2016" s="26" t="s">
        <v>7659</v>
      </c>
      <c r="D2016" s="24"/>
      <c r="E2016" s="17"/>
      <c r="F2016" s="17"/>
      <c r="G2016" s="17"/>
      <c r="H2016" s="17"/>
      <c r="I2016" s="26" t="s">
        <v>209</v>
      </c>
      <c r="J2016" s="32"/>
      <c r="K2016" s="17"/>
      <c r="L2016" s="38"/>
      <c r="M2016" s="17"/>
      <c r="N2016" s="17"/>
      <c r="O2016" s="17"/>
      <c r="P2016" s="59" t="s">
        <v>7515</v>
      </c>
      <c r="Q2016" s="12"/>
      <c r="R2016" s="12"/>
      <c r="S2016" s="12"/>
      <c r="T2016" s="12"/>
      <c r="U2016" s="12"/>
      <c r="V2016" s="12"/>
      <c r="Z2016" s="12"/>
      <c r="AA2016" s="12" t="n">
        <v>5</v>
      </c>
      <c r="AB2016" s="12"/>
      <c r="AC2016" s="12"/>
      <c r="AD2016" s="12"/>
      <c r="AE2016" s="12"/>
    </row>
    <row r="2017" customFormat="false" ht="15.75" hidden="false" customHeight="false" outlineLevel="0" collapsed="false">
      <c r="A2017" s="12" t="str">
        <f aca="false">IF((AA2017&gt;=4), "Y", "N")</f>
        <v>Y</v>
      </c>
      <c r="B2017" s="74"/>
      <c r="C2017" s="26" t="s">
        <v>7660</v>
      </c>
      <c r="D2017" s="24"/>
      <c r="E2017" s="17"/>
      <c r="F2017" s="17"/>
      <c r="G2017" s="17"/>
      <c r="H2017" s="17"/>
      <c r="I2017" s="26" t="s">
        <v>209</v>
      </c>
      <c r="J2017" s="32"/>
      <c r="K2017" s="17"/>
      <c r="L2017" s="38"/>
      <c r="M2017" s="17"/>
      <c r="N2017" s="17"/>
      <c r="O2017" s="17"/>
      <c r="P2017" s="59" t="s">
        <v>7515</v>
      </c>
      <c r="Q2017" s="12"/>
      <c r="R2017" s="12"/>
      <c r="S2017" s="12"/>
      <c r="T2017" s="12"/>
      <c r="U2017" s="12"/>
      <c r="V2017" s="12"/>
      <c r="Z2017" s="12"/>
      <c r="AA2017" s="12" t="n">
        <v>5</v>
      </c>
      <c r="AB2017" s="12"/>
      <c r="AC2017" s="12"/>
      <c r="AD2017" s="12"/>
      <c r="AE2017" s="12"/>
    </row>
    <row r="2018" customFormat="false" ht="15.75" hidden="false" customHeight="false" outlineLevel="0" collapsed="false">
      <c r="A2018" s="12" t="str">
        <f aca="false">IF((AA2018&gt;=4), "Y", "N")</f>
        <v>Y</v>
      </c>
      <c r="B2018" s="74"/>
      <c r="C2018" s="26" t="s">
        <v>7661</v>
      </c>
      <c r="D2018" s="24"/>
      <c r="E2018" s="17"/>
      <c r="F2018" s="17"/>
      <c r="G2018" s="17"/>
      <c r="H2018" s="17"/>
      <c r="I2018" s="26" t="s">
        <v>209</v>
      </c>
      <c r="J2018" s="32"/>
      <c r="K2018" s="17"/>
      <c r="L2018" s="38"/>
      <c r="M2018" s="17"/>
      <c r="N2018" s="17"/>
      <c r="O2018" s="17"/>
      <c r="P2018" s="59" t="s">
        <v>7515</v>
      </c>
      <c r="Q2018" s="12"/>
      <c r="R2018" s="12"/>
      <c r="S2018" s="12"/>
      <c r="T2018" s="12"/>
      <c r="U2018" s="12"/>
      <c r="V2018" s="12"/>
      <c r="Z2018" s="12"/>
      <c r="AA2018" s="12" t="n">
        <v>5</v>
      </c>
      <c r="AB2018" s="12"/>
      <c r="AC2018" s="12"/>
      <c r="AD2018" s="12"/>
      <c r="AE2018" s="12"/>
    </row>
    <row r="2019" customFormat="false" ht="15.75" hidden="false" customHeight="false" outlineLevel="0" collapsed="false">
      <c r="A2019" s="12" t="str">
        <f aca="false">IF((AA2019&gt;=4), "Y", "N")</f>
        <v>Y</v>
      </c>
      <c r="B2019" s="74"/>
      <c r="C2019" s="26" t="s">
        <v>7662</v>
      </c>
      <c r="D2019" s="24"/>
      <c r="E2019" s="17"/>
      <c r="F2019" s="17"/>
      <c r="G2019" s="17"/>
      <c r="H2019" s="17"/>
      <c r="I2019" s="26" t="s">
        <v>209</v>
      </c>
      <c r="J2019" s="32"/>
      <c r="K2019" s="17"/>
      <c r="L2019" s="38"/>
      <c r="M2019" s="17"/>
      <c r="N2019" s="17"/>
      <c r="O2019" s="17"/>
      <c r="P2019" s="59" t="s">
        <v>7515</v>
      </c>
      <c r="Q2019" s="12"/>
      <c r="R2019" s="12"/>
      <c r="S2019" s="12"/>
      <c r="T2019" s="12"/>
      <c r="U2019" s="12"/>
      <c r="V2019" s="12"/>
      <c r="Z2019" s="12"/>
      <c r="AA2019" s="12" t="n">
        <v>5</v>
      </c>
      <c r="AB2019" s="12"/>
      <c r="AC2019" s="12"/>
      <c r="AD2019" s="12"/>
      <c r="AE2019" s="12"/>
    </row>
    <row r="2020" customFormat="false" ht="15.75" hidden="false" customHeight="false" outlineLevel="0" collapsed="false">
      <c r="A2020" s="12" t="str">
        <f aca="false">IF((AA2020&gt;=4), "Y", "N")</f>
        <v>Y</v>
      </c>
      <c r="B2020" s="74"/>
      <c r="C2020" s="26" t="s">
        <v>7663</v>
      </c>
      <c r="D2020" s="24"/>
      <c r="E2020" s="17"/>
      <c r="F2020" s="17"/>
      <c r="G2020" s="17"/>
      <c r="H2020" s="17"/>
      <c r="I2020" s="26" t="s">
        <v>209</v>
      </c>
      <c r="J2020" s="32"/>
      <c r="K2020" s="17"/>
      <c r="L2020" s="38"/>
      <c r="M2020" s="17"/>
      <c r="N2020" s="17"/>
      <c r="O2020" s="17"/>
      <c r="P2020" s="59" t="s">
        <v>7515</v>
      </c>
      <c r="Q2020" s="12"/>
      <c r="R2020" s="12"/>
      <c r="S2020" s="12"/>
      <c r="T2020" s="12"/>
      <c r="U2020" s="12"/>
      <c r="V2020" s="12"/>
      <c r="Z2020" s="12"/>
      <c r="AA2020" s="12" t="n">
        <v>5</v>
      </c>
      <c r="AB2020" s="12"/>
      <c r="AC2020" s="12"/>
      <c r="AD2020" s="12"/>
      <c r="AE2020" s="12"/>
    </row>
    <row r="2021" customFormat="false" ht="15.75" hidden="false" customHeight="false" outlineLevel="0" collapsed="false">
      <c r="A2021" s="12" t="str">
        <f aca="false">IF((AA2021&gt;=4), "Y", "N")</f>
        <v>Y</v>
      </c>
      <c r="B2021" s="74"/>
      <c r="C2021" s="26" t="s">
        <v>7664</v>
      </c>
      <c r="D2021" s="24"/>
      <c r="E2021" s="17"/>
      <c r="F2021" s="17"/>
      <c r="G2021" s="17"/>
      <c r="H2021" s="17"/>
      <c r="I2021" s="26" t="s">
        <v>209</v>
      </c>
      <c r="J2021" s="32"/>
      <c r="K2021" s="17"/>
      <c r="L2021" s="38"/>
      <c r="M2021" s="17"/>
      <c r="N2021" s="17"/>
      <c r="O2021" s="17"/>
      <c r="P2021" s="59" t="s">
        <v>7515</v>
      </c>
      <c r="Q2021" s="12"/>
      <c r="R2021" s="12"/>
      <c r="S2021" s="12"/>
      <c r="T2021" s="12"/>
      <c r="U2021" s="12"/>
      <c r="V2021" s="12"/>
      <c r="Z2021" s="12"/>
      <c r="AA2021" s="12" t="n">
        <v>5</v>
      </c>
      <c r="AB2021" s="12"/>
      <c r="AC2021" s="12"/>
      <c r="AD2021" s="12"/>
      <c r="AE2021" s="12"/>
    </row>
    <row r="2022" customFormat="false" ht="15.75" hidden="false" customHeight="false" outlineLevel="0" collapsed="false">
      <c r="A2022" s="12" t="str">
        <f aca="false">IF((AA2022&gt;=4), "Y", "N")</f>
        <v>Y</v>
      </c>
      <c r="B2022" s="74"/>
      <c r="C2022" s="26" t="s">
        <v>7665</v>
      </c>
      <c r="D2022" s="24"/>
      <c r="E2022" s="17"/>
      <c r="F2022" s="17"/>
      <c r="G2022" s="17"/>
      <c r="H2022" s="17"/>
      <c r="I2022" s="26" t="s">
        <v>209</v>
      </c>
      <c r="J2022" s="32"/>
      <c r="K2022" s="17"/>
      <c r="L2022" s="38"/>
      <c r="M2022" s="17"/>
      <c r="N2022" s="17"/>
      <c r="O2022" s="17"/>
      <c r="P2022" s="59" t="s">
        <v>7515</v>
      </c>
      <c r="Q2022" s="12"/>
      <c r="R2022" s="12"/>
      <c r="S2022" s="12"/>
      <c r="T2022" s="12"/>
      <c r="U2022" s="12"/>
      <c r="V2022" s="12"/>
      <c r="Z2022" s="12"/>
      <c r="AA2022" s="12" t="n">
        <v>5</v>
      </c>
      <c r="AB2022" s="12"/>
      <c r="AC2022" s="12"/>
      <c r="AD2022" s="12"/>
      <c r="AE2022" s="12"/>
    </row>
    <row r="2023" customFormat="false" ht="15.75" hidden="false" customHeight="false" outlineLevel="0" collapsed="false">
      <c r="A2023" s="12" t="str">
        <f aca="false">IF((AA2023&gt;=4), "Y", "N")</f>
        <v>Y</v>
      </c>
      <c r="B2023" s="74"/>
      <c r="C2023" s="26" t="s">
        <v>7666</v>
      </c>
      <c r="D2023" s="24"/>
      <c r="E2023" s="17"/>
      <c r="F2023" s="17"/>
      <c r="G2023" s="17"/>
      <c r="H2023" s="17"/>
      <c r="I2023" s="26" t="s">
        <v>209</v>
      </c>
      <c r="J2023" s="32"/>
      <c r="K2023" s="17"/>
      <c r="L2023" s="38"/>
      <c r="M2023" s="17"/>
      <c r="N2023" s="17"/>
      <c r="O2023" s="17"/>
      <c r="P2023" s="59" t="s">
        <v>7515</v>
      </c>
      <c r="Q2023" s="12"/>
      <c r="R2023" s="12"/>
      <c r="S2023" s="12"/>
      <c r="T2023" s="12"/>
      <c r="U2023" s="12"/>
      <c r="V2023" s="12"/>
      <c r="Z2023" s="12"/>
      <c r="AA2023" s="12" t="n">
        <v>5</v>
      </c>
      <c r="AB2023" s="12"/>
      <c r="AC2023" s="12"/>
      <c r="AD2023" s="12"/>
      <c r="AE2023" s="12"/>
    </row>
    <row r="2024" customFormat="false" ht="15.75" hidden="false" customHeight="false" outlineLevel="0" collapsed="false">
      <c r="A2024" s="12" t="str">
        <f aca="false">IF((AA2024&gt;=4), "Y", "N")</f>
        <v>Y</v>
      </c>
      <c r="B2024" s="74"/>
      <c r="C2024" s="26" t="s">
        <v>7667</v>
      </c>
      <c r="D2024" s="24"/>
      <c r="E2024" s="17"/>
      <c r="F2024" s="17"/>
      <c r="G2024" s="17"/>
      <c r="H2024" s="17"/>
      <c r="I2024" s="26" t="s">
        <v>209</v>
      </c>
      <c r="J2024" s="32"/>
      <c r="K2024" s="17"/>
      <c r="L2024" s="38"/>
      <c r="M2024" s="17"/>
      <c r="N2024" s="17"/>
      <c r="O2024" s="17"/>
      <c r="P2024" s="59" t="s">
        <v>7515</v>
      </c>
      <c r="Q2024" s="12"/>
      <c r="R2024" s="12"/>
      <c r="S2024" s="12"/>
      <c r="T2024" s="12"/>
      <c r="U2024" s="12"/>
      <c r="V2024" s="12"/>
      <c r="Z2024" s="12"/>
      <c r="AA2024" s="12" t="n">
        <v>5</v>
      </c>
      <c r="AB2024" s="12"/>
      <c r="AC2024" s="12"/>
      <c r="AD2024" s="12"/>
      <c r="AE2024" s="12"/>
    </row>
    <row r="2025" customFormat="false" ht="15.75" hidden="false" customHeight="false" outlineLevel="0" collapsed="false">
      <c r="A2025" s="12" t="str">
        <f aca="false">IF((AA2025&gt;=4), "Y", "N")</f>
        <v>Y</v>
      </c>
      <c r="B2025" s="74"/>
      <c r="C2025" s="26" t="s">
        <v>7668</v>
      </c>
      <c r="D2025" s="24"/>
      <c r="E2025" s="17"/>
      <c r="F2025" s="17"/>
      <c r="G2025" s="17"/>
      <c r="H2025" s="17"/>
      <c r="I2025" s="26" t="s">
        <v>209</v>
      </c>
      <c r="J2025" s="32"/>
      <c r="K2025" s="17"/>
      <c r="L2025" s="38"/>
      <c r="M2025" s="17"/>
      <c r="N2025" s="17"/>
      <c r="O2025" s="17"/>
      <c r="P2025" s="59" t="s">
        <v>7515</v>
      </c>
      <c r="Q2025" s="12"/>
      <c r="R2025" s="12"/>
      <c r="S2025" s="12"/>
      <c r="T2025" s="12"/>
      <c r="U2025" s="12"/>
      <c r="V2025" s="12"/>
      <c r="Z2025" s="12"/>
      <c r="AA2025" s="12" t="n">
        <v>5</v>
      </c>
      <c r="AB2025" s="12"/>
      <c r="AC2025" s="12"/>
      <c r="AD2025" s="12"/>
      <c r="AE2025" s="12"/>
    </row>
    <row r="2026" customFormat="false" ht="15.75" hidden="false" customHeight="false" outlineLevel="0" collapsed="false">
      <c r="A2026" s="12" t="str">
        <f aca="false">IF((AA2026&gt;=4), "Y", "N")</f>
        <v>Y</v>
      </c>
      <c r="B2026" s="74"/>
      <c r="C2026" s="125" t="s">
        <v>7669</v>
      </c>
      <c r="D2026" s="24"/>
      <c r="E2026" s="17"/>
      <c r="F2026" s="17"/>
      <c r="G2026" s="17"/>
      <c r="H2026" s="17"/>
      <c r="I2026" s="26" t="s">
        <v>209</v>
      </c>
      <c r="J2026" s="32"/>
      <c r="K2026" s="17"/>
      <c r="L2026" s="38"/>
      <c r="M2026" s="17"/>
      <c r="N2026" s="17"/>
      <c r="O2026" s="17"/>
      <c r="P2026" s="59" t="s">
        <v>7515</v>
      </c>
      <c r="Q2026" s="12"/>
      <c r="R2026" s="12"/>
      <c r="S2026" s="12"/>
      <c r="T2026" s="12"/>
      <c r="U2026" s="12"/>
      <c r="V2026" s="12"/>
      <c r="Z2026" s="12"/>
      <c r="AA2026" s="12" t="n">
        <v>5</v>
      </c>
      <c r="AB2026" s="12"/>
      <c r="AC2026" s="12"/>
      <c r="AD2026" s="12"/>
      <c r="AE2026" s="12"/>
    </row>
    <row r="2027" customFormat="false" ht="15.75" hidden="false" customHeight="false" outlineLevel="0" collapsed="false">
      <c r="A2027" s="12" t="str">
        <f aca="false">IF((AA2027&gt;=4), "Y", "N")</f>
        <v>Y</v>
      </c>
      <c r="B2027" s="74"/>
      <c r="C2027" s="26" t="s">
        <v>7670</v>
      </c>
      <c r="D2027" s="24"/>
      <c r="E2027" s="17"/>
      <c r="F2027" s="17"/>
      <c r="G2027" s="17"/>
      <c r="H2027" s="17"/>
      <c r="I2027" s="26" t="s">
        <v>209</v>
      </c>
      <c r="J2027" s="32"/>
      <c r="K2027" s="17"/>
      <c r="L2027" s="38"/>
      <c r="M2027" s="17"/>
      <c r="N2027" s="17"/>
      <c r="O2027" s="17"/>
      <c r="P2027" s="59" t="s">
        <v>7515</v>
      </c>
      <c r="Q2027" s="12"/>
      <c r="R2027" s="12"/>
      <c r="S2027" s="12"/>
      <c r="T2027" s="12"/>
      <c r="U2027" s="12"/>
      <c r="V2027" s="12"/>
      <c r="Z2027" s="12"/>
      <c r="AA2027" s="12" t="n">
        <v>5</v>
      </c>
      <c r="AB2027" s="12"/>
      <c r="AC2027" s="12"/>
      <c r="AD2027" s="12"/>
      <c r="AE2027" s="12"/>
    </row>
    <row r="2028" customFormat="false" ht="15.75" hidden="false" customHeight="false" outlineLevel="0" collapsed="false">
      <c r="A2028" s="12" t="str">
        <f aca="false">IF((AA2028&gt;=4), "Y", "N")</f>
        <v>Y</v>
      </c>
      <c r="B2028" s="74"/>
      <c r="C2028" s="26" t="s">
        <v>7671</v>
      </c>
      <c r="D2028" s="24"/>
      <c r="E2028" s="17"/>
      <c r="F2028" s="17"/>
      <c r="G2028" s="17"/>
      <c r="H2028" s="17"/>
      <c r="I2028" s="26" t="s">
        <v>209</v>
      </c>
      <c r="J2028" s="32"/>
      <c r="K2028" s="17"/>
      <c r="L2028" s="38"/>
      <c r="M2028" s="17"/>
      <c r="N2028" s="17"/>
      <c r="O2028" s="17"/>
      <c r="P2028" s="59" t="s">
        <v>7515</v>
      </c>
      <c r="Q2028" s="12"/>
      <c r="R2028" s="12"/>
      <c r="S2028" s="12"/>
      <c r="T2028" s="12"/>
      <c r="U2028" s="12"/>
      <c r="V2028" s="12"/>
      <c r="Z2028" s="12"/>
      <c r="AA2028" s="12" t="n">
        <v>5</v>
      </c>
      <c r="AB2028" s="12"/>
      <c r="AC2028" s="12"/>
      <c r="AD2028" s="12"/>
      <c r="AE2028" s="12"/>
    </row>
    <row r="2029" customFormat="false" ht="15.75" hidden="false" customHeight="false" outlineLevel="0" collapsed="false">
      <c r="A2029" s="12" t="str">
        <f aca="false">IF((AA2029&gt;=4), "Y", "N")</f>
        <v>Y</v>
      </c>
      <c r="B2029" s="74"/>
      <c r="C2029" s="26" t="s">
        <v>2359</v>
      </c>
      <c r="D2029" s="24"/>
      <c r="E2029" s="17"/>
      <c r="F2029" s="17"/>
      <c r="G2029" s="17"/>
      <c r="H2029" s="17"/>
      <c r="I2029" s="26" t="s">
        <v>209</v>
      </c>
      <c r="J2029" s="32"/>
      <c r="K2029" s="17"/>
      <c r="L2029" s="38"/>
      <c r="M2029" s="17"/>
      <c r="N2029" s="17"/>
      <c r="O2029" s="17"/>
      <c r="P2029" s="59" t="s">
        <v>7515</v>
      </c>
      <c r="Q2029" s="12"/>
      <c r="R2029" s="12"/>
      <c r="S2029" s="12"/>
      <c r="T2029" s="12"/>
      <c r="U2029" s="12"/>
      <c r="V2029" s="12"/>
      <c r="Z2029" s="12"/>
      <c r="AA2029" s="12" t="n">
        <v>5</v>
      </c>
      <c r="AB2029" s="12"/>
      <c r="AC2029" s="12"/>
      <c r="AD2029" s="12"/>
      <c r="AE2029" s="12"/>
    </row>
    <row r="2030" customFormat="false" ht="15.75" hidden="false" customHeight="false" outlineLevel="0" collapsed="false">
      <c r="A2030" s="12" t="str">
        <f aca="false">IF((AA2030&gt;=4), "Y", "N")</f>
        <v>Y</v>
      </c>
      <c r="B2030" s="74"/>
      <c r="C2030" s="26" t="s">
        <v>7672</v>
      </c>
      <c r="D2030" s="24"/>
      <c r="E2030" s="17"/>
      <c r="F2030" s="17"/>
      <c r="G2030" s="17"/>
      <c r="H2030" s="17"/>
      <c r="I2030" s="26" t="s">
        <v>209</v>
      </c>
      <c r="J2030" s="32"/>
      <c r="K2030" s="17"/>
      <c r="L2030" s="38"/>
      <c r="M2030" s="17"/>
      <c r="N2030" s="17"/>
      <c r="O2030" s="17"/>
      <c r="P2030" s="59" t="s">
        <v>7515</v>
      </c>
      <c r="Q2030" s="12"/>
      <c r="R2030" s="12"/>
      <c r="S2030" s="12"/>
      <c r="T2030" s="12"/>
      <c r="U2030" s="12"/>
      <c r="V2030" s="12"/>
      <c r="Z2030" s="12"/>
      <c r="AA2030" s="12" t="n">
        <v>5</v>
      </c>
      <c r="AB2030" s="12"/>
      <c r="AC2030" s="12"/>
      <c r="AD2030" s="12"/>
      <c r="AE2030" s="12"/>
    </row>
    <row r="2031" customFormat="false" ht="15.75" hidden="false" customHeight="false" outlineLevel="0" collapsed="false">
      <c r="A2031" s="12" t="str">
        <f aca="false">IF((AA2031&gt;=4), "Y", "N")</f>
        <v>Y</v>
      </c>
      <c r="B2031" s="74"/>
      <c r="C2031" s="26" t="s">
        <v>7673</v>
      </c>
      <c r="D2031" s="24"/>
      <c r="E2031" s="17"/>
      <c r="F2031" s="17"/>
      <c r="G2031" s="17"/>
      <c r="H2031" s="17"/>
      <c r="I2031" s="26" t="s">
        <v>209</v>
      </c>
      <c r="J2031" s="32"/>
      <c r="K2031" s="17"/>
      <c r="L2031" s="38"/>
      <c r="M2031" s="17"/>
      <c r="N2031" s="17"/>
      <c r="O2031" s="17"/>
      <c r="P2031" s="59" t="s">
        <v>7515</v>
      </c>
      <c r="Q2031" s="12"/>
      <c r="R2031" s="12"/>
      <c r="S2031" s="12"/>
      <c r="T2031" s="12"/>
      <c r="U2031" s="12"/>
      <c r="V2031" s="12"/>
      <c r="Z2031" s="12"/>
      <c r="AA2031" s="12" t="n">
        <v>5</v>
      </c>
      <c r="AB2031" s="12"/>
      <c r="AC2031" s="12"/>
      <c r="AD2031" s="12"/>
      <c r="AE2031" s="12"/>
    </row>
    <row r="2032" customFormat="false" ht="15.75" hidden="false" customHeight="false" outlineLevel="0" collapsed="false">
      <c r="A2032" s="12" t="str">
        <f aca="false">IF((AA2032&gt;=4), "Y", "N")</f>
        <v>Y</v>
      </c>
      <c r="B2032" s="74"/>
      <c r="C2032" s="26" t="s">
        <v>7674</v>
      </c>
      <c r="D2032" s="24"/>
      <c r="E2032" s="17"/>
      <c r="F2032" s="17"/>
      <c r="G2032" s="17"/>
      <c r="H2032" s="17"/>
      <c r="I2032" s="26" t="s">
        <v>209</v>
      </c>
      <c r="J2032" s="32"/>
      <c r="K2032" s="17"/>
      <c r="L2032" s="38"/>
      <c r="M2032" s="17"/>
      <c r="N2032" s="17"/>
      <c r="O2032" s="17"/>
      <c r="P2032" s="59" t="s">
        <v>7515</v>
      </c>
      <c r="Q2032" s="12"/>
      <c r="R2032" s="12"/>
      <c r="S2032" s="12"/>
      <c r="T2032" s="12"/>
      <c r="U2032" s="12"/>
      <c r="V2032" s="12"/>
      <c r="Z2032" s="12"/>
      <c r="AA2032" s="12" t="n">
        <v>5</v>
      </c>
      <c r="AB2032" s="12"/>
      <c r="AC2032" s="12"/>
      <c r="AD2032" s="12"/>
      <c r="AE2032" s="12"/>
    </row>
    <row r="2033" customFormat="false" ht="15.75" hidden="false" customHeight="false" outlineLevel="0" collapsed="false">
      <c r="A2033" s="12" t="str">
        <f aca="false">IF((AA2033&gt;=4), "Y", "N")</f>
        <v>Y</v>
      </c>
      <c r="B2033" s="74"/>
      <c r="C2033" s="26" t="s">
        <v>7675</v>
      </c>
      <c r="D2033" s="24"/>
      <c r="E2033" s="17"/>
      <c r="F2033" s="17"/>
      <c r="G2033" s="17"/>
      <c r="H2033" s="17"/>
      <c r="I2033" s="26" t="s">
        <v>209</v>
      </c>
      <c r="J2033" s="32"/>
      <c r="K2033" s="17"/>
      <c r="L2033" s="38"/>
      <c r="M2033" s="17"/>
      <c r="N2033" s="17"/>
      <c r="O2033" s="17"/>
      <c r="P2033" s="59" t="s">
        <v>7515</v>
      </c>
      <c r="Q2033" s="12"/>
      <c r="R2033" s="12"/>
      <c r="S2033" s="12"/>
      <c r="T2033" s="12"/>
      <c r="U2033" s="12"/>
      <c r="V2033" s="12"/>
      <c r="Z2033" s="12"/>
      <c r="AA2033" s="12" t="n">
        <v>5</v>
      </c>
      <c r="AB2033" s="12"/>
      <c r="AC2033" s="12"/>
      <c r="AD2033" s="12"/>
      <c r="AE2033" s="12"/>
    </row>
    <row r="2034" customFormat="false" ht="15.75" hidden="false" customHeight="false" outlineLevel="0" collapsed="false">
      <c r="A2034" s="12" t="str">
        <f aca="false">IF((AA2034&gt;=4), "Y", "N")</f>
        <v>Y</v>
      </c>
      <c r="B2034" s="74"/>
      <c r="C2034" s="26" t="s">
        <v>7676</v>
      </c>
      <c r="D2034" s="24"/>
      <c r="E2034" s="17"/>
      <c r="F2034" s="17"/>
      <c r="G2034" s="17"/>
      <c r="H2034" s="17"/>
      <c r="I2034" s="26" t="s">
        <v>209</v>
      </c>
      <c r="J2034" s="32"/>
      <c r="K2034" s="17"/>
      <c r="L2034" s="38"/>
      <c r="M2034" s="17"/>
      <c r="N2034" s="17"/>
      <c r="O2034" s="17"/>
      <c r="P2034" s="59" t="s">
        <v>7515</v>
      </c>
      <c r="Q2034" s="12"/>
      <c r="R2034" s="12"/>
      <c r="S2034" s="12"/>
      <c r="T2034" s="12"/>
      <c r="U2034" s="12"/>
      <c r="V2034" s="12"/>
      <c r="Z2034" s="12"/>
      <c r="AA2034" s="12" t="n">
        <v>5</v>
      </c>
      <c r="AB2034" s="12"/>
      <c r="AC2034" s="12"/>
      <c r="AD2034" s="12"/>
      <c r="AE2034" s="12"/>
    </row>
    <row r="2035" customFormat="false" ht="15.75" hidden="false" customHeight="false" outlineLevel="0" collapsed="false">
      <c r="A2035" s="12" t="str">
        <f aca="false">IF((AA2035&gt;=4), "Y", "N")</f>
        <v>Y</v>
      </c>
      <c r="B2035" s="74"/>
      <c r="C2035" s="26" t="s">
        <v>7677</v>
      </c>
      <c r="D2035" s="24"/>
      <c r="E2035" s="17"/>
      <c r="F2035" s="17"/>
      <c r="G2035" s="17"/>
      <c r="H2035" s="17"/>
      <c r="I2035" s="26" t="s">
        <v>209</v>
      </c>
      <c r="J2035" s="32"/>
      <c r="K2035" s="17"/>
      <c r="L2035" s="38"/>
      <c r="M2035" s="17"/>
      <c r="N2035" s="17"/>
      <c r="O2035" s="17"/>
      <c r="P2035" s="59" t="s">
        <v>7515</v>
      </c>
      <c r="Q2035" s="12"/>
      <c r="R2035" s="12"/>
      <c r="S2035" s="12"/>
      <c r="T2035" s="12"/>
      <c r="U2035" s="12"/>
      <c r="V2035" s="12"/>
      <c r="Z2035" s="12"/>
      <c r="AA2035" s="12" t="n">
        <v>5</v>
      </c>
      <c r="AB2035" s="12"/>
      <c r="AC2035" s="12"/>
      <c r="AD2035" s="12"/>
      <c r="AE2035" s="12"/>
    </row>
    <row r="2036" customFormat="false" ht="15.75" hidden="false" customHeight="false" outlineLevel="0" collapsed="false">
      <c r="A2036" s="12" t="str">
        <f aca="false">IF((AA2036&gt;=4), "Y", "N")</f>
        <v>Y</v>
      </c>
      <c r="B2036" s="74"/>
      <c r="C2036" s="26" t="s">
        <v>7678</v>
      </c>
      <c r="D2036" s="24"/>
      <c r="E2036" s="17"/>
      <c r="F2036" s="17"/>
      <c r="G2036" s="17"/>
      <c r="H2036" s="17"/>
      <c r="I2036" s="26" t="s">
        <v>209</v>
      </c>
      <c r="J2036" s="32"/>
      <c r="K2036" s="17"/>
      <c r="L2036" s="38"/>
      <c r="M2036" s="17"/>
      <c r="N2036" s="17"/>
      <c r="O2036" s="17"/>
      <c r="P2036" s="59" t="s">
        <v>7515</v>
      </c>
      <c r="Q2036" s="12"/>
      <c r="R2036" s="12"/>
      <c r="S2036" s="12"/>
      <c r="T2036" s="12"/>
      <c r="U2036" s="12"/>
      <c r="V2036" s="12"/>
      <c r="Z2036" s="12"/>
      <c r="AA2036" s="12" t="n">
        <v>5</v>
      </c>
      <c r="AB2036" s="12"/>
      <c r="AC2036" s="12"/>
      <c r="AD2036" s="12"/>
      <c r="AE2036" s="12"/>
    </row>
    <row r="2037" customFormat="false" ht="15.75" hidden="false" customHeight="false" outlineLevel="0" collapsed="false">
      <c r="A2037" s="12" t="str">
        <f aca="false">IF((AA2037&gt;=4), "Y", "N")</f>
        <v>Y</v>
      </c>
      <c r="B2037" s="74"/>
      <c r="C2037" s="26" t="s">
        <v>7679</v>
      </c>
      <c r="D2037" s="24"/>
      <c r="E2037" s="17"/>
      <c r="F2037" s="17"/>
      <c r="G2037" s="17"/>
      <c r="H2037" s="17"/>
      <c r="I2037" s="26" t="s">
        <v>209</v>
      </c>
      <c r="J2037" s="32"/>
      <c r="K2037" s="17"/>
      <c r="L2037" s="38"/>
      <c r="M2037" s="17"/>
      <c r="N2037" s="17"/>
      <c r="O2037" s="17"/>
      <c r="P2037" s="59" t="s">
        <v>7515</v>
      </c>
      <c r="Q2037" s="12"/>
      <c r="R2037" s="12"/>
      <c r="S2037" s="12"/>
      <c r="T2037" s="12"/>
      <c r="U2037" s="12"/>
      <c r="V2037" s="12"/>
      <c r="Z2037" s="12"/>
      <c r="AA2037" s="12" t="n">
        <v>5</v>
      </c>
      <c r="AB2037" s="12"/>
      <c r="AC2037" s="12"/>
      <c r="AD2037" s="12"/>
      <c r="AE2037" s="12"/>
    </row>
    <row r="2038" customFormat="false" ht="15.75" hidden="false" customHeight="false" outlineLevel="0" collapsed="false">
      <c r="A2038" s="12" t="str">
        <f aca="false">IF((AA2038&gt;=4), "Y", "N")</f>
        <v>Y</v>
      </c>
      <c r="B2038" s="74"/>
      <c r="C2038" s="26" t="s">
        <v>7680</v>
      </c>
      <c r="D2038" s="24"/>
      <c r="E2038" s="17"/>
      <c r="F2038" s="17"/>
      <c r="G2038" s="17"/>
      <c r="H2038" s="17"/>
      <c r="I2038" s="26" t="s">
        <v>209</v>
      </c>
      <c r="J2038" s="32"/>
      <c r="K2038" s="17"/>
      <c r="L2038" s="38"/>
      <c r="M2038" s="17"/>
      <c r="N2038" s="17"/>
      <c r="O2038" s="17"/>
      <c r="P2038" s="59" t="s">
        <v>7515</v>
      </c>
      <c r="Q2038" s="12"/>
      <c r="R2038" s="12"/>
      <c r="S2038" s="12"/>
      <c r="T2038" s="12"/>
      <c r="U2038" s="12"/>
      <c r="V2038" s="12"/>
      <c r="Z2038" s="12"/>
      <c r="AA2038" s="12" t="n">
        <v>5</v>
      </c>
      <c r="AB2038" s="12"/>
      <c r="AC2038" s="12"/>
      <c r="AD2038" s="12"/>
      <c r="AE2038" s="12"/>
    </row>
    <row r="2039" customFormat="false" ht="15.75" hidden="false" customHeight="false" outlineLevel="0" collapsed="false">
      <c r="A2039" s="12" t="str">
        <f aca="false">IF((AA2039&gt;=4), "Y", "N")</f>
        <v>Y</v>
      </c>
      <c r="B2039" s="74"/>
      <c r="C2039" s="26" t="s">
        <v>7681</v>
      </c>
      <c r="D2039" s="24"/>
      <c r="E2039" s="17"/>
      <c r="F2039" s="17"/>
      <c r="G2039" s="17"/>
      <c r="H2039" s="17"/>
      <c r="I2039" s="26" t="s">
        <v>209</v>
      </c>
      <c r="J2039" s="32"/>
      <c r="K2039" s="17"/>
      <c r="L2039" s="38"/>
      <c r="M2039" s="17"/>
      <c r="N2039" s="17"/>
      <c r="O2039" s="17"/>
      <c r="P2039" s="59" t="s">
        <v>7515</v>
      </c>
      <c r="Q2039" s="12"/>
      <c r="R2039" s="12"/>
      <c r="S2039" s="12"/>
      <c r="T2039" s="12"/>
      <c r="U2039" s="12"/>
      <c r="V2039" s="12"/>
      <c r="Z2039" s="12"/>
      <c r="AA2039" s="12" t="n">
        <v>5</v>
      </c>
      <c r="AB2039" s="12"/>
      <c r="AC2039" s="12"/>
      <c r="AD2039" s="12"/>
      <c r="AE2039" s="12"/>
    </row>
    <row r="2040" customFormat="false" ht="15.75" hidden="false" customHeight="false" outlineLevel="0" collapsed="false">
      <c r="A2040" s="12" t="str">
        <f aca="false">IF((AA2040&gt;=4), "Y", "N")</f>
        <v>Y</v>
      </c>
      <c r="B2040" s="74"/>
      <c r="C2040" s="26" t="s">
        <v>7682</v>
      </c>
      <c r="D2040" s="24"/>
      <c r="E2040" s="17"/>
      <c r="F2040" s="17"/>
      <c r="G2040" s="17"/>
      <c r="H2040" s="17"/>
      <c r="I2040" s="26" t="s">
        <v>209</v>
      </c>
      <c r="J2040" s="32"/>
      <c r="K2040" s="17"/>
      <c r="L2040" s="38"/>
      <c r="M2040" s="17"/>
      <c r="N2040" s="17"/>
      <c r="O2040" s="17"/>
      <c r="P2040" s="59" t="s">
        <v>7515</v>
      </c>
      <c r="Q2040" s="12"/>
      <c r="R2040" s="12"/>
      <c r="S2040" s="12"/>
      <c r="T2040" s="12"/>
      <c r="U2040" s="12"/>
      <c r="V2040" s="12"/>
      <c r="Z2040" s="12"/>
      <c r="AA2040" s="12" t="n">
        <v>5</v>
      </c>
      <c r="AB2040" s="12"/>
      <c r="AC2040" s="12"/>
      <c r="AD2040" s="12"/>
      <c r="AE2040" s="12"/>
    </row>
    <row r="2041" customFormat="false" ht="15.75" hidden="false" customHeight="false" outlineLevel="0" collapsed="false">
      <c r="A2041" s="12" t="str">
        <f aca="false">IF((AA2041&gt;=4), "Y", "N")</f>
        <v>Y</v>
      </c>
      <c r="B2041" s="74"/>
      <c r="C2041" s="26" t="s">
        <v>7683</v>
      </c>
      <c r="D2041" s="24"/>
      <c r="E2041" s="17"/>
      <c r="F2041" s="17"/>
      <c r="G2041" s="17"/>
      <c r="H2041" s="17"/>
      <c r="I2041" s="26" t="s">
        <v>209</v>
      </c>
      <c r="J2041" s="32"/>
      <c r="K2041" s="17"/>
      <c r="L2041" s="38"/>
      <c r="M2041" s="17"/>
      <c r="N2041" s="17"/>
      <c r="O2041" s="17"/>
      <c r="P2041" s="59" t="s">
        <v>7515</v>
      </c>
      <c r="Q2041" s="12"/>
      <c r="R2041" s="12"/>
      <c r="S2041" s="12"/>
      <c r="T2041" s="12"/>
      <c r="U2041" s="12"/>
      <c r="V2041" s="12"/>
      <c r="Z2041" s="12"/>
      <c r="AA2041" s="12" t="n">
        <v>5</v>
      </c>
      <c r="AB2041" s="12"/>
      <c r="AC2041" s="12"/>
      <c r="AD2041" s="12"/>
      <c r="AE2041" s="12"/>
    </row>
    <row r="2042" customFormat="false" ht="15.75" hidden="false" customHeight="false" outlineLevel="0" collapsed="false">
      <c r="A2042" s="12" t="str">
        <f aca="false">IF((AA2042&gt;=4), "Y", "N")</f>
        <v>Y</v>
      </c>
      <c r="B2042" s="74"/>
      <c r="C2042" s="26" t="s">
        <v>7684</v>
      </c>
      <c r="D2042" s="24"/>
      <c r="E2042" s="17"/>
      <c r="F2042" s="17"/>
      <c r="G2042" s="17"/>
      <c r="H2042" s="17"/>
      <c r="I2042" s="26" t="s">
        <v>209</v>
      </c>
      <c r="J2042" s="32"/>
      <c r="K2042" s="17"/>
      <c r="L2042" s="38"/>
      <c r="M2042" s="17"/>
      <c r="N2042" s="17"/>
      <c r="O2042" s="17"/>
      <c r="P2042" s="59" t="s">
        <v>7515</v>
      </c>
      <c r="Q2042" s="12"/>
      <c r="R2042" s="12"/>
      <c r="S2042" s="12"/>
      <c r="T2042" s="12"/>
      <c r="U2042" s="12"/>
      <c r="V2042" s="12"/>
      <c r="Z2042" s="12"/>
      <c r="AA2042" s="12" t="n">
        <v>5</v>
      </c>
      <c r="AB2042" s="12"/>
      <c r="AC2042" s="12"/>
      <c r="AD2042" s="12"/>
      <c r="AE2042" s="12"/>
    </row>
    <row r="2043" customFormat="false" ht="15.75" hidden="false" customHeight="false" outlineLevel="0" collapsed="false">
      <c r="A2043" s="12" t="str">
        <f aca="false">IF((AA2043&gt;=4), "Y", "N")</f>
        <v>Y</v>
      </c>
      <c r="B2043" s="74"/>
      <c r="C2043" s="26" t="s">
        <v>7685</v>
      </c>
      <c r="D2043" s="24"/>
      <c r="E2043" s="17"/>
      <c r="F2043" s="17"/>
      <c r="G2043" s="17"/>
      <c r="H2043" s="17"/>
      <c r="I2043" s="26" t="s">
        <v>209</v>
      </c>
      <c r="J2043" s="32"/>
      <c r="K2043" s="17"/>
      <c r="L2043" s="38"/>
      <c r="M2043" s="17"/>
      <c r="N2043" s="17"/>
      <c r="O2043" s="17"/>
      <c r="P2043" s="59" t="s">
        <v>7515</v>
      </c>
      <c r="Q2043" s="12"/>
      <c r="R2043" s="12"/>
      <c r="S2043" s="12"/>
      <c r="T2043" s="12"/>
      <c r="U2043" s="12"/>
      <c r="V2043" s="12"/>
      <c r="Z2043" s="12"/>
      <c r="AA2043" s="12" t="n">
        <v>5</v>
      </c>
      <c r="AB2043" s="12"/>
      <c r="AC2043" s="12"/>
      <c r="AD2043" s="12"/>
      <c r="AE2043" s="12"/>
    </row>
    <row r="2044" customFormat="false" ht="15.75" hidden="false" customHeight="false" outlineLevel="0" collapsed="false">
      <c r="A2044" s="12" t="str">
        <f aca="false">IF((AA2044&gt;=4), "Y", "N")</f>
        <v>Y</v>
      </c>
      <c r="B2044" s="74"/>
      <c r="C2044" s="26" t="s">
        <v>7686</v>
      </c>
      <c r="D2044" s="24"/>
      <c r="E2044" s="17"/>
      <c r="F2044" s="17"/>
      <c r="G2044" s="17"/>
      <c r="H2044" s="17"/>
      <c r="I2044" s="26" t="s">
        <v>209</v>
      </c>
      <c r="J2044" s="32"/>
      <c r="K2044" s="17"/>
      <c r="L2044" s="38"/>
      <c r="M2044" s="17"/>
      <c r="N2044" s="17"/>
      <c r="O2044" s="17"/>
      <c r="P2044" s="59" t="s">
        <v>7515</v>
      </c>
      <c r="Q2044" s="12"/>
      <c r="R2044" s="12"/>
      <c r="S2044" s="12"/>
      <c r="T2044" s="12"/>
      <c r="U2044" s="12"/>
      <c r="V2044" s="12"/>
      <c r="Z2044" s="12"/>
      <c r="AA2044" s="12" t="n">
        <v>5</v>
      </c>
      <c r="AB2044" s="12"/>
      <c r="AC2044" s="12"/>
      <c r="AD2044" s="12"/>
      <c r="AE2044" s="12"/>
    </row>
    <row r="2045" customFormat="false" ht="15.75" hidden="false" customHeight="false" outlineLevel="0" collapsed="false">
      <c r="A2045" s="12" t="str">
        <f aca="false">IF((AA2045&gt;=4), "Y", "N")</f>
        <v>Y</v>
      </c>
      <c r="B2045" s="74"/>
      <c r="C2045" s="26" t="s">
        <v>7687</v>
      </c>
      <c r="D2045" s="24"/>
      <c r="E2045" s="17"/>
      <c r="F2045" s="17"/>
      <c r="G2045" s="17"/>
      <c r="H2045" s="17"/>
      <c r="I2045" s="26" t="s">
        <v>209</v>
      </c>
      <c r="J2045" s="32"/>
      <c r="K2045" s="17"/>
      <c r="L2045" s="38"/>
      <c r="M2045" s="17"/>
      <c r="N2045" s="17"/>
      <c r="O2045" s="17"/>
      <c r="P2045" s="59" t="s">
        <v>7515</v>
      </c>
      <c r="Q2045" s="12"/>
      <c r="R2045" s="12"/>
      <c r="S2045" s="12"/>
      <c r="T2045" s="12"/>
      <c r="U2045" s="12"/>
      <c r="V2045" s="12"/>
      <c r="Z2045" s="12"/>
      <c r="AA2045" s="12" t="n">
        <v>5</v>
      </c>
      <c r="AB2045" s="12"/>
      <c r="AC2045" s="12"/>
      <c r="AD2045" s="12"/>
      <c r="AE2045" s="12"/>
    </row>
    <row r="2046" customFormat="false" ht="15.75" hidden="false" customHeight="false" outlineLevel="0" collapsed="false">
      <c r="A2046" s="12" t="str">
        <f aca="false">IF((AA2046&gt;=4), "Y", "N")</f>
        <v>Y</v>
      </c>
      <c r="B2046" s="74"/>
      <c r="C2046" s="26" t="s">
        <v>7688</v>
      </c>
      <c r="D2046" s="24"/>
      <c r="E2046" s="17"/>
      <c r="F2046" s="17"/>
      <c r="G2046" s="17"/>
      <c r="H2046" s="17"/>
      <c r="I2046" s="26" t="s">
        <v>209</v>
      </c>
      <c r="J2046" s="32"/>
      <c r="K2046" s="17"/>
      <c r="L2046" s="38"/>
      <c r="M2046" s="17"/>
      <c r="N2046" s="17"/>
      <c r="O2046" s="17"/>
      <c r="P2046" s="59" t="s">
        <v>7515</v>
      </c>
      <c r="Q2046" s="12"/>
      <c r="R2046" s="12"/>
      <c r="S2046" s="12"/>
      <c r="T2046" s="12"/>
      <c r="U2046" s="12"/>
      <c r="V2046" s="12"/>
      <c r="Z2046" s="12"/>
      <c r="AA2046" s="12" t="n">
        <v>5</v>
      </c>
      <c r="AB2046" s="12"/>
      <c r="AC2046" s="12"/>
      <c r="AD2046" s="12"/>
      <c r="AE2046" s="12"/>
    </row>
    <row r="2047" customFormat="false" ht="15.75" hidden="false" customHeight="false" outlineLevel="0" collapsed="false">
      <c r="A2047" s="12" t="str">
        <f aca="false">IF((AA2047&gt;=4), "Y", "N")</f>
        <v>Y</v>
      </c>
      <c r="B2047" s="74"/>
      <c r="C2047" s="26" t="s">
        <v>7689</v>
      </c>
      <c r="D2047" s="24"/>
      <c r="E2047" s="17"/>
      <c r="F2047" s="17"/>
      <c r="G2047" s="17"/>
      <c r="H2047" s="17"/>
      <c r="I2047" s="26" t="s">
        <v>209</v>
      </c>
      <c r="J2047" s="32"/>
      <c r="K2047" s="17"/>
      <c r="L2047" s="38"/>
      <c r="M2047" s="17"/>
      <c r="N2047" s="17"/>
      <c r="O2047" s="17"/>
      <c r="P2047" s="59" t="s">
        <v>7515</v>
      </c>
      <c r="Q2047" s="12"/>
      <c r="R2047" s="12"/>
      <c r="S2047" s="12"/>
      <c r="T2047" s="12"/>
      <c r="U2047" s="12"/>
      <c r="V2047" s="12"/>
      <c r="Z2047" s="12"/>
      <c r="AA2047" s="12" t="n">
        <v>5</v>
      </c>
      <c r="AB2047" s="12"/>
      <c r="AC2047" s="12"/>
      <c r="AD2047" s="12"/>
      <c r="AE2047" s="12"/>
    </row>
    <row r="2048" customFormat="false" ht="15.75" hidden="false" customHeight="false" outlineLevel="0" collapsed="false">
      <c r="A2048" s="12" t="str">
        <f aca="false">IF((AA2048&gt;=4), "Y", "N")</f>
        <v>Y</v>
      </c>
      <c r="B2048" s="74"/>
      <c r="C2048" s="26" t="s">
        <v>7690</v>
      </c>
      <c r="D2048" s="24"/>
      <c r="E2048" s="17"/>
      <c r="F2048" s="17"/>
      <c r="G2048" s="17"/>
      <c r="H2048" s="17"/>
      <c r="I2048" s="26" t="s">
        <v>209</v>
      </c>
      <c r="J2048" s="32"/>
      <c r="K2048" s="17"/>
      <c r="L2048" s="38"/>
      <c r="M2048" s="17"/>
      <c r="N2048" s="17"/>
      <c r="O2048" s="17"/>
      <c r="P2048" s="59" t="s">
        <v>7515</v>
      </c>
      <c r="Q2048" s="12"/>
      <c r="R2048" s="12"/>
      <c r="S2048" s="12"/>
      <c r="T2048" s="12"/>
      <c r="U2048" s="12"/>
      <c r="V2048" s="12"/>
      <c r="Z2048" s="12"/>
      <c r="AA2048" s="12" t="n">
        <v>5</v>
      </c>
      <c r="AB2048" s="12"/>
      <c r="AC2048" s="12"/>
      <c r="AD2048" s="12"/>
      <c r="AE2048" s="12"/>
    </row>
    <row r="2049" customFormat="false" ht="15.75" hidden="false" customHeight="false" outlineLevel="0" collapsed="false">
      <c r="A2049" s="12" t="str">
        <f aca="false">IF((AA2049&gt;=4), "Y", "N")</f>
        <v>Y</v>
      </c>
      <c r="B2049" s="74"/>
      <c r="C2049" s="26" t="s">
        <v>7691</v>
      </c>
      <c r="D2049" s="24"/>
      <c r="E2049" s="17"/>
      <c r="F2049" s="17"/>
      <c r="G2049" s="17"/>
      <c r="H2049" s="17"/>
      <c r="I2049" s="26" t="s">
        <v>209</v>
      </c>
      <c r="J2049" s="32"/>
      <c r="K2049" s="17"/>
      <c r="L2049" s="38"/>
      <c r="M2049" s="17"/>
      <c r="N2049" s="17"/>
      <c r="O2049" s="17"/>
      <c r="P2049" s="59" t="s">
        <v>7515</v>
      </c>
      <c r="Q2049" s="12"/>
      <c r="R2049" s="12"/>
      <c r="S2049" s="12"/>
      <c r="T2049" s="12"/>
      <c r="U2049" s="12"/>
      <c r="V2049" s="12"/>
      <c r="Z2049" s="12"/>
      <c r="AA2049" s="12" t="n">
        <v>5</v>
      </c>
      <c r="AB2049" s="12"/>
      <c r="AC2049" s="12"/>
      <c r="AD2049" s="12"/>
      <c r="AE2049" s="12"/>
    </row>
    <row r="2050" customFormat="false" ht="15.75" hidden="false" customHeight="false" outlineLevel="0" collapsed="false">
      <c r="A2050" s="12" t="str">
        <f aca="false">IF((AA2050&gt;=4), "Y", "N")</f>
        <v>Y</v>
      </c>
      <c r="B2050" s="74"/>
      <c r="C2050" s="26" t="s">
        <v>7692</v>
      </c>
      <c r="D2050" s="24"/>
      <c r="E2050" s="17"/>
      <c r="F2050" s="17"/>
      <c r="G2050" s="17"/>
      <c r="H2050" s="17"/>
      <c r="I2050" s="26" t="s">
        <v>209</v>
      </c>
      <c r="J2050" s="32"/>
      <c r="K2050" s="17"/>
      <c r="L2050" s="38"/>
      <c r="M2050" s="17"/>
      <c r="N2050" s="17"/>
      <c r="O2050" s="17"/>
      <c r="P2050" s="59" t="s">
        <v>7515</v>
      </c>
      <c r="Q2050" s="12"/>
      <c r="R2050" s="12"/>
      <c r="S2050" s="12"/>
      <c r="T2050" s="12"/>
      <c r="U2050" s="12"/>
      <c r="V2050" s="12"/>
      <c r="Z2050" s="12"/>
      <c r="AA2050" s="12" t="n">
        <v>5</v>
      </c>
      <c r="AB2050" s="12"/>
      <c r="AC2050" s="12"/>
      <c r="AD2050" s="12"/>
      <c r="AE2050" s="12"/>
    </row>
    <row r="2051" customFormat="false" ht="15.75" hidden="false" customHeight="false" outlineLevel="0" collapsed="false">
      <c r="A2051" s="12" t="str">
        <f aca="false">IF((AA2051&gt;=4), "Y", "N")</f>
        <v>Y</v>
      </c>
      <c r="B2051" s="74"/>
      <c r="C2051" s="26" t="s">
        <v>7693</v>
      </c>
      <c r="D2051" s="24"/>
      <c r="E2051" s="17"/>
      <c r="F2051" s="17"/>
      <c r="G2051" s="17"/>
      <c r="H2051" s="17"/>
      <c r="I2051" s="26" t="s">
        <v>209</v>
      </c>
      <c r="J2051" s="32"/>
      <c r="K2051" s="17"/>
      <c r="L2051" s="38"/>
      <c r="M2051" s="17"/>
      <c r="N2051" s="17"/>
      <c r="O2051" s="17"/>
      <c r="P2051" s="59" t="s">
        <v>7515</v>
      </c>
      <c r="Q2051" s="12"/>
      <c r="R2051" s="12"/>
      <c r="S2051" s="12"/>
      <c r="T2051" s="12"/>
      <c r="U2051" s="12"/>
      <c r="V2051" s="12"/>
      <c r="Z2051" s="12"/>
      <c r="AA2051" s="12" t="n">
        <v>5</v>
      </c>
      <c r="AB2051" s="12"/>
      <c r="AC2051" s="12"/>
      <c r="AD2051" s="12"/>
      <c r="AE2051" s="12"/>
    </row>
    <row r="2052" customFormat="false" ht="15.75" hidden="false" customHeight="false" outlineLevel="0" collapsed="false">
      <c r="A2052" s="12" t="str">
        <f aca="false">IF((AA2052&gt;=4), "Y", "N")</f>
        <v>Y</v>
      </c>
      <c r="B2052" s="74"/>
      <c r="C2052" s="26" t="s">
        <v>7694</v>
      </c>
      <c r="D2052" s="24"/>
      <c r="E2052" s="17"/>
      <c r="F2052" s="17"/>
      <c r="G2052" s="17"/>
      <c r="H2052" s="17"/>
      <c r="I2052" s="26" t="s">
        <v>209</v>
      </c>
      <c r="J2052" s="32"/>
      <c r="K2052" s="17"/>
      <c r="L2052" s="38"/>
      <c r="M2052" s="17"/>
      <c r="N2052" s="17"/>
      <c r="O2052" s="17"/>
      <c r="P2052" s="59" t="s">
        <v>7515</v>
      </c>
      <c r="Q2052" s="12"/>
      <c r="R2052" s="12"/>
      <c r="S2052" s="12"/>
      <c r="T2052" s="12"/>
      <c r="U2052" s="12"/>
      <c r="V2052" s="12"/>
      <c r="Z2052" s="12"/>
      <c r="AA2052" s="12" t="n">
        <v>5</v>
      </c>
      <c r="AB2052" s="12"/>
      <c r="AC2052" s="12"/>
      <c r="AD2052" s="12"/>
      <c r="AE2052" s="12"/>
    </row>
    <row r="2053" customFormat="false" ht="15.75" hidden="false" customHeight="false" outlineLevel="0" collapsed="false">
      <c r="A2053" s="12" t="str">
        <f aca="false">IF((AA2053&gt;=4), "Y", "N")</f>
        <v>Y</v>
      </c>
      <c r="B2053" s="74"/>
      <c r="C2053" s="26" t="s">
        <v>7695</v>
      </c>
      <c r="D2053" s="24"/>
      <c r="E2053" s="17"/>
      <c r="F2053" s="17"/>
      <c r="G2053" s="17"/>
      <c r="H2053" s="17"/>
      <c r="I2053" s="26" t="s">
        <v>209</v>
      </c>
      <c r="J2053" s="32"/>
      <c r="K2053" s="17"/>
      <c r="L2053" s="38"/>
      <c r="M2053" s="17"/>
      <c r="N2053" s="17"/>
      <c r="O2053" s="17"/>
      <c r="P2053" s="59" t="s">
        <v>7515</v>
      </c>
      <c r="Q2053" s="12"/>
      <c r="R2053" s="12"/>
      <c r="S2053" s="12"/>
      <c r="T2053" s="12"/>
      <c r="U2053" s="12"/>
      <c r="V2053" s="12"/>
      <c r="Z2053" s="12"/>
      <c r="AA2053" s="12" t="n">
        <v>5</v>
      </c>
      <c r="AB2053" s="12"/>
      <c r="AC2053" s="12"/>
      <c r="AD2053" s="12"/>
      <c r="AE2053" s="12"/>
    </row>
    <row r="2054" customFormat="false" ht="15.75" hidden="false" customHeight="false" outlineLevel="0" collapsed="false">
      <c r="A2054" s="12" t="str">
        <f aca="false">IF((AA2054&gt;=4), "Y", "N")</f>
        <v>Y</v>
      </c>
      <c r="B2054" s="74"/>
      <c r="C2054" s="26" t="s">
        <v>7696</v>
      </c>
      <c r="D2054" s="24"/>
      <c r="E2054" s="17"/>
      <c r="F2054" s="17"/>
      <c r="G2054" s="17"/>
      <c r="H2054" s="17"/>
      <c r="I2054" s="26" t="s">
        <v>209</v>
      </c>
      <c r="J2054" s="32"/>
      <c r="K2054" s="17"/>
      <c r="L2054" s="38"/>
      <c r="M2054" s="17"/>
      <c r="N2054" s="17"/>
      <c r="O2054" s="17"/>
      <c r="P2054" s="59" t="s">
        <v>7515</v>
      </c>
      <c r="Q2054" s="12"/>
      <c r="R2054" s="12"/>
      <c r="S2054" s="12"/>
      <c r="T2054" s="12"/>
      <c r="U2054" s="12"/>
      <c r="V2054" s="12"/>
      <c r="Z2054" s="12"/>
      <c r="AA2054" s="12" t="n">
        <v>5</v>
      </c>
      <c r="AB2054" s="12"/>
      <c r="AC2054" s="12"/>
      <c r="AD2054" s="12"/>
      <c r="AE2054" s="12"/>
    </row>
    <row r="2055" customFormat="false" ht="15.75" hidden="false" customHeight="false" outlineLevel="0" collapsed="false">
      <c r="A2055" s="12" t="str">
        <f aca="false">IF((AA2055&gt;=4), "Y", "N")</f>
        <v>Y</v>
      </c>
      <c r="B2055" s="74"/>
      <c r="C2055" s="26" t="s">
        <v>7697</v>
      </c>
      <c r="D2055" s="24"/>
      <c r="E2055" s="17"/>
      <c r="F2055" s="17"/>
      <c r="G2055" s="17"/>
      <c r="H2055" s="17"/>
      <c r="I2055" s="26" t="s">
        <v>209</v>
      </c>
      <c r="J2055" s="32"/>
      <c r="K2055" s="17"/>
      <c r="L2055" s="38"/>
      <c r="M2055" s="17"/>
      <c r="N2055" s="17"/>
      <c r="O2055" s="17"/>
      <c r="P2055" s="59" t="s">
        <v>7515</v>
      </c>
      <c r="Q2055" s="12"/>
      <c r="R2055" s="12"/>
      <c r="S2055" s="12"/>
      <c r="T2055" s="12"/>
      <c r="U2055" s="12"/>
      <c r="V2055" s="12"/>
      <c r="Z2055" s="12"/>
      <c r="AA2055" s="12" t="n">
        <v>5</v>
      </c>
      <c r="AB2055" s="12"/>
      <c r="AC2055" s="12"/>
      <c r="AD2055" s="12"/>
      <c r="AE2055" s="12"/>
    </row>
    <row r="2056" customFormat="false" ht="15.75" hidden="false" customHeight="false" outlineLevel="0" collapsed="false">
      <c r="A2056" s="12" t="str">
        <f aca="false">IF((AA2056&gt;=4), "Y", "N")</f>
        <v>Y</v>
      </c>
      <c r="B2056" s="74"/>
      <c r="C2056" s="26" t="s">
        <v>7698</v>
      </c>
      <c r="D2056" s="24"/>
      <c r="E2056" s="17"/>
      <c r="F2056" s="17"/>
      <c r="G2056" s="17"/>
      <c r="H2056" s="17"/>
      <c r="I2056" s="26" t="s">
        <v>209</v>
      </c>
      <c r="J2056" s="32"/>
      <c r="K2056" s="17"/>
      <c r="L2056" s="38"/>
      <c r="M2056" s="17"/>
      <c r="N2056" s="17"/>
      <c r="O2056" s="17"/>
      <c r="P2056" s="59" t="s">
        <v>7515</v>
      </c>
      <c r="Q2056" s="12"/>
      <c r="R2056" s="12"/>
      <c r="S2056" s="12"/>
      <c r="T2056" s="12"/>
      <c r="U2056" s="12"/>
      <c r="V2056" s="12"/>
      <c r="Z2056" s="12"/>
      <c r="AA2056" s="12" t="n">
        <v>5</v>
      </c>
      <c r="AB2056" s="12"/>
      <c r="AC2056" s="12"/>
      <c r="AD2056" s="12"/>
      <c r="AE2056" s="12"/>
    </row>
    <row r="2057" customFormat="false" ht="15.75" hidden="false" customHeight="false" outlineLevel="0" collapsed="false">
      <c r="A2057" s="12" t="str">
        <f aca="false">IF((AA2057&gt;=4), "Y", "N")</f>
        <v>Y</v>
      </c>
      <c r="B2057" s="74"/>
      <c r="C2057" s="26" t="s">
        <v>7699</v>
      </c>
      <c r="D2057" s="24"/>
      <c r="E2057" s="17"/>
      <c r="F2057" s="17"/>
      <c r="G2057" s="17"/>
      <c r="H2057" s="17"/>
      <c r="I2057" s="26" t="s">
        <v>209</v>
      </c>
      <c r="J2057" s="32"/>
      <c r="K2057" s="17"/>
      <c r="L2057" s="38"/>
      <c r="M2057" s="17"/>
      <c r="N2057" s="17"/>
      <c r="O2057" s="17"/>
      <c r="P2057" s="59" t="s">
        <v>7515</v>
      </c>
      <c r="Q2057" s="12"/>
      <c r="R2057" s="12"/>
      <c r="S2057" s="12"/>
      <c r="T2057" s="12"/>
      <c r="U2057" s="12"/>
      <c r="V2057" s="12"/>
      <c r="Z2057" s="12"/>
      <c r="AA2057" s="12" t="n">
        <v>5</v>
      </c>
      <c r="AB2057" s="12"/>
      <c r="AC2057" s="12"/>
      <c r="AD2057" s="12"/>
      <c r="AE2057" s="12"/>
    </row>
    <row r="2058" customFormat="false" ht="15.75" hidden="false" customHeight="false" outlineLevel="0" collapsed="false">
      <c r="A2058" s="12" t="str">
        <f aca="false">IF((AA2058&gt;=4), "Y", "N")</f>
        <v>Y</v>
      </c>
      <c r="B2058" s="74"/>
      <c r="C2058" s="26" t="s">
        <v>7700</v>
      </c>
      <c r="D2058" s="24"/>
      <c r="E2058" s="17"/>
      <c r="F2058" s="17"/>
      <c r="G2058" s="17"/>
      <c r="H2058" s="17"/>
      <c r="I2058" s="26" t="s">
        <v>209</v>
      </c>
      <c r="J2058" s="32"/>
      <c r="K2058" s="17"/>
      <c r="L2058" s="38"/>
      <c r="M2058" s="17"/>
      <c r="N2058" s="17"/>
      <c r="O2058" s="17"/>
      <c r="P2058" s="59" t="s">
        <v>7515</v>
      </c>
      <c r="Q2058" s="12"/>
      <c r="R2058" s="12"/>
      <c r="S2058" s="12"/>
      <c r="T2058" s="12"/>
      <c r="U2058" s="12"/>
      <c r="V2058" s="12"/>
      <c r="Z2058" s="12"/>
      <c r="AA2058" s="12" t="n">
        <v>5</v>
      </c>
      <c r="AB2058" s="12"/>
      <c r="AC2058" s="12"/>
      <c r="AD2058" s="12"/>
      <c r="AE2058" s="12"/>
    </row>
    <row r="2059" customFormat="false" ht="15.75" hidden="false" customHeight="false" outlineLevel="0" collapsed="false">
      <c r="A2059" s="12" t="str">
        <f aca="false">IF((AA2059&gt;=4), "Y", "N")</f>
        <v>Y</v>
      </c>
      <c r="B2059" s="74"/>
      <c r="C2059" s="26" t="s">
        <v>7701</v>
      </c>
      <c r="D2059" s="24"/>
      <c r="E2059" s="17"/>
      <c r="F2059" s="17"/>
      <c r="G2059" s="17"/>
      <c r="H2059" s="17"/>
      <c r="I2059" s="26" t="s">
        <v>209</v>
      </c>
      <c r="J2059" s="32"/>
      <c r="K2059" s="17"/>
      <c r="L2059" s="38"/>
      <c r="M2059" s="17"/>
      <c r="N2059" s="17"/>
      <c r="O2059" s="17"/>
      <c r="P2059" s="59" t="s">
        <v>7515</v>
      </c>
      <c r="Q2059" s="12"/>
      <c r="R2059" s="12"/>
      <c r="S2059" s="12"/>
      <c r="T2059" s="12"/>
      <c r="U2059" s="12"/>
      <c r="V2059" s="12"/>
      <c r="Z2059" s="12"/>
      <c r="AA2059" s="12" t="n">
        <v>5</v>
      </c>
      <c r="AB2059" s="12"/>
      <c r="AC2059" s="12"/>
      <c r="AD2059" s="12"/>
      <c r="AE2059" s="12"/>
    </row>
    <row r="2060" customFormat="false" ht="15.75" hidden="false" customHeight="false" outlineLevel="0" collapsed="false">
      <c r="A2060" s="12" t="str">
        <f aca="false">IF((AA2060&gt;=4), "Y", "N")</f>
        <v>Y</v>
      </c>
      <c r="B2060" s="74"/>
      <c r="C2060" s="26" t="s">
        <v>7702</v>
      </c>
      <c r="D2060" s="24"/>
      <c r="E2060" s="17"/>
      <c r="F2060" s="17"/>
      <c r="G2060" s="17"/>
      <c r="H2060" s="17"/>
      <c r="I2060" s="26" t="s">
        <v>209</v>
      </c>
      <c r="J2060" s="32"/>
      <c r="K2060" s="17"/>
      <c r="L2060" s="38"/>
      <c r="M2060" s="17"/>
      <c r="N2060" s="17"/>
      <c r="O2060" s="17"/>
      <c r="P2060" s="59" t="s">
        <v>7515</v>
      </c>
      <c r="Q2060" s="12"/>
      <c r="R2060" s="12"/>
      <c r="S2060" s="12"/>
      <c r="T2060" s="12"/>
      <c r="U2060" s="12"/>
      <c r="V2060" s="12"/>
      <c r="Z2060" s="12"/>
      <c r="AA2060" s="12" t="n">
        <v>5</v>
      </c>
      <c r="AB2060" s="12"/>
      <c r="AC2060" s="12"/>
      <c r="AD2060" s="12"/>
      <c r="AE2060" s="12"/>
    </row>
    <row r="2061" customFormat="false" ht="15.75" hidden="false" customHeight="false" outlineLevel="0" collapsed="false">
      <c r="A2061" s="12" t="str">
        <f aca="false">IF((AA2061&gt;=4), "Y", "N")</f>
        <v>Y</v>
      </c>
      <c r="B2061" s="74"/>
      <c r="C2061" s="26" t="s">
        <v>7703</v>
      </c>
      <c r="D2061" s="24"/>
      <c r="E2061" s="17"/>
      <c r="F2061" s="17"/>
      <c r="G2061" s="17"/>
      <c r="H2061" s="17"/>
      <c r="I2061" s="26" t="s">
        <v>209</v>
      </c>
      <c r="J2061" s="32"/>
      <c r="K2061" s="17"/>
      <c r="L2061" s="38"/>
      <c r="M2061" s="17"/>
      <c r="N2061" s="17"/>
      <c r="O2061" s="17"/>
      <c r="P2061" s="59" t="s">
        <v>7515</v>
      </c>
      <c r="Q2061" s="12"/>
      <c r="R2061" s="12"/>
      <c r="S2061" s="12"/>
      <c r="T2061" s="12"/>
      <c r="U2061" s="12"/>
      <c r="V2061" s="12"/>
      <c r="Z2061" s="12"/>
      <c r="AA2061" s="12" t="n">
        <v>5</v>
      </c>
      <c r="AB2061" s="12"/>
      <c r="AC2061" s="12"/>
      <c r="AD2061" s="12"/>
      <c r="AE2061" s="12"/>
    </row>
    <row r="2062" customFormat="false" ht="15.75" hidden="false" customHeight="false" outlineLevel="0" collapsed="false">
      <c r="A2062" s="12" t="str">
        <f aca="false">IF((AA2062&gt;=4), "Y", "N")</f>
        <v>Y</v>
      </c>
      <c r="B2062" s="74"/>
      <c r="C2062" s="26" t="s">
        <v>7704</v>
      </c>
      <c r="D2062" s="24"/>
      <c r="E2062" s="17"/>
      <c r="F2062" s="17"/>
      <c r="G2062" s="17"/>
      <c r="H2062" s="17"/>
      <c r="I2062" s="26" t="s">
        <v>209</v>
      </c>
      <c r="J2062" s="32"/>
      <c r="K2062" s="17"/>
      <c r="L2062" s="38"/>
      <c r="M2062" s="17"/>
      <c r="N2062" s="17"/>
      <c r="O2062" s="17"/>
      <c r="P2062" s="59" t="s">
        <v>7515</v>
      </c>
      <c r="Q2062" s="12"/>
      <c r="R2062" s="12"/>
      <c r="S2062" s="12"/>
      <c r="T2062" s="12"/>
      <c r="U2062" s="12"/>
      <c r="V2062" s="12"/>
      <c r="Z2062" s="12"/>
      <c r="AA2062" s="12" t="n">
        <v>5</v>
      </c>
      <c r="AB2062" s="12"/>
      <c r="AC2062" s="12"/>
      <c r="AD2062" s="12"/>
      <c r="AE2062" s="12"/>
    </row>
    <row r="2063" customFormat="false" ht="15.75" hidden="false" customHeight="false" outlineLevel="0" collapsed="false">
      <c r="A2063" s="12" t="str">
        <f aca="false">IF((AA2063&gt;=4), "Y", "N")</f>
        <v>Y</v>
      </c>
      <c r="B2063" s="74"/>
      <c r="C2063" s="26" t="s">
        <v>7705</v>
      </c>
      <c r="D2063" s="24"/>
      <c r="E2063" s="17"/>
      <c r="F2063" s="17"/>
      <c r="G2063" s="17"/>
      <c r="H2063" s="17"/>
      <c r="I2063" s="26" t="s">
        <v>209</v>
      </c>
      <c r="J2063" s="32"/>
      <c r="K2063" s="17"/>
      <c r="L2063" s="38"/>
      <c r="M2063" s="17"/>
      <c r="N2063" s="17"/>
      <c r="O2063" s="17"/>
      <c r="P2063" s="59" t="s">
        <v>7515</v>
      </c>
      <c r="Q2063" s="12"/>
      <c r="R2063" s="12"/>
      <c r="S2063" s="12"/>
      <c r="T2063" s="12"/>
      <c r="U2063" s="12"/>
      <c r="V2063" s="12"/>
      <c r="Z2063" s="12"/>
      <c r="AA2063" s="12" t="n">
        <v>5</v>
      </c>
      <c r="AB2063" s="12"/>
      <c r="AC2063" s="12"/>
      <c r="AD2063" s="12"/>
      <c r="AE2063" s="12"/>
    </row>
    <row r="2064" customFormat="false" ht="15.75" hidden="false" customHeight="false" outlineLevel="0" collapsed="false">
      <c r="A2064" s="12" t="str">
        <f aca="false">IF((AA2064&gt;=4), "Y", "N")</f>
        <v>Y</v>
      </c>
      <c r="B2064" s="74"/>
      <c r="C2064" s="26" t="s">
        <v>7706</v>
      </c>
      <c r="D2064" s="24"/>
      <c r="E2064" s="17"/>
      <c r="F2064" s="17"/>
      <c r="G2064" s="17"/>
      <c r="H2064" s="17"/>
      <c r="I2064" s="26" t="s">
        <v>209</v>
      </c>
      <c r="J2064" s="32"/>
      <c r="K2064" s="17"/>
      <c r="L2064" s="38"/>
      <c r="M2064" s="17"/>
      <c r="N2064" s="17"/>
      <c r="O2064" s="17"/>
      <c r="P2064" s="59" t="s">
        <v>7515</v>
      </c>
      <c r="Q2064" s="12"/>
      <c r="R2064" s="12"/>
      <c r="S2064" s="12"/>
      <c r="T2064" s="12"/>
      <c r="U2064" s="12"/>
      <c r="V2064" s="12"/>
      <c r="Z2064" s="12"/>
      <c r="AA2064" s="12" t="n">
        <v>5</v>
      </c>
      <c r="AB2064" s="12"/>
      <c r="AC2064" s="12"/>
      <c r="AD2064" s="12"/>
      <c r="AE2064" s="12"/>
    </row>
    <row r="2065" customFormat="false" ht="15.75" hidden="false" customHeight="false" outlineLevel="0" collapsed="false">
      <c r="A2065" s="12" t="str">
        <f aca="false">IF((AA2065&gt;=4), "Y", "N")</f>
        <v>Y</v>
      </c>
      <c r="B2065" s="74"/>
      <c r="C2065" s="26" t="s">
        <v>7707</v>
      </c>
      <c r="D2065" s="24"/>
      <c r="E2065" s="17"/>
      <c r="F2065" s="17"/>
      <c r="G2065" s="17"/>
      <c r="H2065" s="17"/>
      <c r="I2065" s="26" t="s">
        <v>209</v>
      </c>
      <c r="J2065" s="32"/>
      <c r="K2065" s="17"/>
      <c r="L2065" s="38"/>
      <c r="M2065" s="17"/>
      <c r="N2065" s="17"/>
      <c r="O2065" s="17"/>
      <c r="P2065" s="59" t="s">
        <v>7515</v>
      </c>
      <c r="Q2065" s="12"/>
      <c r="R2065" s="12"/>
      <c r="S2065" s="12"/>
      <c r="T2065" s="12"/>
      <c r="U2065" s="12"/>
      <c r="V2065" s="12"/>
      <c r="Z2065" s="12"/>
      <c r="AA2065" s="12" t="n">
        <v>5</v>
      </c>
      <c r="AB2065" s="12"/>
      <c r="AC2065" s="12"/>
      <c r="AD2065" s="12"/>
      <c r="AE2065" s="12"/>
    </row>
    <row r="2066" customFormat="false" ht="15.75" hidden="false" customHeight="false" outlineLevel="0" collapsed="false">
      <c r="A2066" s="12" t="str">
        <f aca="false">IF((AA2066&gt;=4), "Y", "N")</f>
        <v>Y</v>
      </c>
      <c r="B2066" s="74"/>
      <c r="C2066" s="26" t="s">
        <v>7708</v>
      </c>
      <c r="D2066" s="24"/>
      <c r="E2066" s="17"/>
      <c r="F2066" s="17"/>
      <c r="G2066" s="17"/>
      <c r="H2066" s="17"/>
      <c r="I2066" s="26" t="s">
        <v>209</v>
      </c>
      <c r="J2066" s="32"/>
      <c r="K2066" s="17"/>
      <c r="L2066" s="38"/>
      <c r="M2066" s="17"/>
      <c r="N2066" s="17"/>
      <c r="O2066" s="17"/>
      <c r="P2066" s="59" t="s">
        <v>7515</v>
      </c>
      <c r="Q2066" s="12"/>
      <c r="R2066" s="12"/>
      <c r="S2066" s="12"/>
      <c r="T2066" s="12"/>
      <c r="U2066" s="12"/>
      <c r="V2066" s="12"/>
      <c r="Z2066" s="12"/>
      <c r="AA2066" s="12" t="n">
        <v>5</v>
      </c>
      <c r="AB2066" s="12"/>
      <c r="AC2066" s="12"/>
      <c r="AD2066" s="12"/>
      <c r="AE2066" s="12"/>
    </row>
    <row r="2067" customFormat="false" ht="15.75" hidden="false" customHeight="false" outlineLevel="0" collapsed="false">
      <c r="A2067" s="12" t="str">
        <f aca="false">IF((AA2067&gt;=4), "Y", "N")</f>
        <v>Y</v>
      </c>
      <c r="B2067" s="74"/>
      <c r="C2067" s="26" t="s">
        <v>7709</v>
      </c>
      <c r="D2067" s="24"/>
      <c r="E2067" s="17"/>
      <c r="F2067" s="17"/>
      <c r="G2067" s="17"/>
      <c r="H2067" s="17"/>
      <c r="I2067" s="26" t="s">
        <v>209</v>
      </c>
      <c r="J2067" s="32"/>
      <c r="K2067" s="17"/>
      <c r="L2067" s="38"/>
      <c r="M2067" s="17"/>
      <c r="N2067" s="17"/>
      <c r="O2067" s="17"/>
      <c r="P2067" s="59" t="s">
        <v>7515</v>
      </c>
      <c r="Q2067" s="12"/>
      <c r="R2067" s="12"/>
      <c r="S2067" s="12"/>
      <c r="T2067" s="12"/>
      <c r="U2067" s="12"/>
      <c r="V2067" s="12"/>
      <c r="Z2067" s="12"/>
      <c r="AA2067" s="12" t="n">
        <v>5</v>
      </c>
      <c r="AB2067" s="12"/>
      <c r="AC2067" s="12"/>
      <c r="AD2067" s="12"/>
      <c r="AE2067" s="12"/>
    </row>
    <row r="2068" customFormat="false" ht="15.75" hidden="false" customHeight="false" outlineLevel="0" collapsed="false">
      <c r="A2068" s="12" t="str">
        <f aca="false">IF((AA2068&gt;=4), "Y", "N")</f>
        <v>Y</v>
      </c>
      <c r="B2068" s="74"/>
      <c r="C2068" s="26" t="s">
        <v>7710</v>
      </c>
      <c r="D2068" s="24"/>
      <c r="E2068" s="17"/>
      <c r="F2068" s="17"/>
      <c r="G2068" s="17"/>
      <c r="H2068" s="17"/>
      <c r="I2068" s="26" t="s">
        <v>209</v>
      </c>
      <c r="J2068" s="32"/>
      <c r="K2068" s="17"/>
      <c r="L2068" s="38"/>
      <c r="M2068" s="17"/>
      <c r="N2068" s="17"/>
      <c r="O2068" s="17"/>
      <c r="P2068" s="59" t="s">
        <v>7515</v>
      </c>
      <c r="Q2068" s="12"/>
      <c r="R2068" s="12"/>
      <c r="S2068" s="12"/>
      <c r="T2068" s="12"/>
      <c r="U2068" s="12"/>
      <c r="V2068" s="12"/>
      <c r="Z2068" s="12"/>
      <c r="AA2068" s="12" t="n">
        <v>5</v>
      </c>
      <c r="AB2068" s="12"/>
      <c r="AC2068" s="12"/>
      <c r="AD2068" s="12"/>
      <c r="AE2068" s="12"/>
    </row>
    <row r="2069" customFormat="false" ht="15.75" hidden="false" customHeight="false" outlineLevel="0" collapsed="false">
      <c r="A2069" s="12" t="str">
        <f aca="false">IF((AA2069&gt;=4), "Y", "N")</f>
        <v>Y</v>
      </c>
      <c r="B2069" s="74"/>
      <c r="C2069" s="26" t="s">
        <v>7711</v>
      </c>
      <c r="D2069" s="24"/>
      <c r="E2069" s="17"/>
      <c r="F2069" s="17"/>
      <c r="G2069" s="17"/>
      <c r="H2069" s="17"/>
      <c r="I2069" s="26" t="s">
        <v>209</v>
      </c>
      <c r="J2069" s="32"/>
      <c r="K2069" s="17"/>
      <c r="L2069" s="38"/>
      <c r="M2069" s="17"/>
      <c r="N2069" s="17"/>
      <c r="O2069" s="17"/>
      <c r="P2069" s="59" t="s">
        <v>7515</v>
      </c>
      <c r="Q2069" s="12"/>
      <c r="R2069" s="12"/>
      <c r="S2069" s="12"/>
      <c r="T2069" s="12"/>
      <c r="U2069" s="12"/>
      <c r="V2069" s="12"/>
      <c r="Z2069" s="12"/>
      <c r="AA2069" s="12" t="n">
        <v>5</v>
      </c>
      <c r="AB2069" s="12"/>
      <c r="AC2069" s="12"/>
      <c r="AD2069" s="12"/>
      <c r="AE2069" s="12"/>
    </row>
    <row r="2070" customFormat="false" ht="15.75" hidden="false" customHeight="false" outlineLevel="0" collapsed="false">
      <c r="A2070" s="12" t="str">
        <f aca="false">IF((AA2070&gt;=4), "Y", "N")</f>
        <v>Y</v>
      </c>
      <c r="B2070" s="74"/>
      <c r="C2070" s="26" t="s">
        <v>7712</v>
      </c>
      <c r="D2070" s="24"/>
      <c r="E2070" s="17"/>
      <c r="F2070" s="17"/>
      <c r="G2070" s="17"/>
      <c r="H2070" s="17"/>
      <c r="I2070" s="26" t="s">
        <v>209</v>
      </c>
      <c r="J2070" s="32"/>
      <c r="K2070" s="17"/>
      <c r="L2070" s="38"/>
      <c r="M2070" s="17"/>
      <c r="N2070" s="17"/>
      <c r="O2070" s="17"/>
      <c r="P2070" s="59" t="s">
        <v>7515</v>
      </c>
      <c r="Q2070" s="12"/>
      <c r="R2070" s="12"/>
      <c r="S2070" s="12"/>
      <c r="T2070" s="12"/>
      <c r="U2070" s="12"/>
      <c r="V2070" s="12"/>
      <c r="Z2070" s="12"/>
      <c r="AA2070" s="12" t="n">
        <v>5</v>
      </c>
      <c r="AB2070" s="12"/>
      <c r="AC2070" s="12"/>
      <c r="AD2070" s="12"/>
      <c r="AE2070" s="12"/>
    </row>
    <row r="2071" customFormat="false" ht="15.75" hidden="false" customHeight="false" outlineLevel="0" collapsed="false">
      <c r="A2071" s="12" t="str">
        <f aca="false">IF((AA2071&gt;=4), "Y", "N")</f>
        <v>Y</v>
      </c>
      <c r="B2071" s="74"/>
      <c r="C2071" s="26" t="s">
        <v>7713</v>
      </c>
      <c r="D2071" s="24"/>
      <c r="E2071" s="17"/>
      <c r="F2071" s="17"/>
      <c r="G2071" s="17"/>
      <c r="H2071" s="17"/>
      <c r="I2071" s="26" t="s">
        <v>209</v>
      </c>
      <c r="J2071" s="32"/>
      <c r="K2071" s="17"/>
      <c r="L2071" s="38"/>
      <c r="M2071" s="17"/>
      <c r="N2071" s="17"/>
      <c r="O2071" s="17"/>
      <c r="P2071" s="59" t="s">
        <v>7515</v>
      </c>
      <c r="Q2071" s="12"/>
      <c r="R2071" s="12"/>
      <c r="S2071" s="12"/>
      <c r="T2071" s="12"/>
      <c r="U2071" s="12"/>
      <c r="V2071" s="12"/>
      <c r="Z2071" s="12"/>
      <c r="AA2071" s="12" t="n">
        <v>5</v>
      </c>
      <c r="AB2071" s="12"/>
      <c r="AC2071" s="12"/>
      <c r="AD2071" s="12"/>
      <c r="AE2071" s="12"/>
    </row>
    <row r="2072" customFormat="false" ht="15.75" hidden="false" customHeight="false" outlineLevel="0" collapsed="false">
      <c r="A2072" s="12" t="str">
        <f aca="false">IF((AA2072&gt;=4), "Y", "N")</f>
        <v>Y</v>
      </c>
      <c r="B2072" s="74"/>
      <c r="C2072" s="26" t="s">
        <v>7714</v>
      </c>
      <c r="D2072" s="24"/>
      <c r="E2072" s="17"/>
      <c r="F2072" s="17"/>
      <c r="G2072" s="17"/>
      <c r="H2072" s="17"/>
      <c r="I2072" s="26" t="s">
        <v>209</v>
      </c>
      <c r="J2072" s="32"/>
      <c r="K2072" s="17"/>
      <c r="L2072" s="38"/>
      <c r="M2072" s="17"/>
      <c r="N2072" s="17"/>
      <c r="O2072" s="17"/>
      <c r="P2072" s="59" t="s">
        <v>7515</v>
      </c>
      <c r="Q2072" s="12"/>
      <c r="R2072" s="12"/>
      <c r="S2072" s="12"/>
      <c r="T2072" s="12"/>
      <c r="U2072" s="12"/>
      <c r="V2072" s="12"/>
      <c r="Z2072" s="12"/>
      <c r="AA2072" s="12" t="n">
        <v>5</v>
      </c>
      <c r="AB2072" s="12"/>
      <c r="AC2072" s="12"/>
      <c r="AD2072" s="12"/>
      <c r="AE2072" s="12"/>
    </row>
    <row r="2073" customFormat="false" ht="15.75" hidden="false" customHeight="false" outlineLevel="0" collapsed="false">
      <c r="A2073" s="12" t="str">
        <f aca="false">IF((AA2073&gt;=4), "Y", "N")</f>
        <v>Y</v>
      </c>
      <c r="B2073" s="74"/>
      <c r="C2073" s="26" t="s">
        <v>7715</v>
      </c>
      <c r="D2073" s="24"/>
      <c r="E2073" s="17"/>
      <c r="F2073" s="17"/>
      <c r="G2073" s="17"/>
      <c r="H2073" s="17"/>
      <c r="I2073" s="26" t="s">
        <v>209</v>
      </c>
      <c r="J2073" s="32"/>
      <c r="K2073" s="17"/>
      <c r="L2073" s="38"/>
      <c r="M2073" s="17"/>
      <c r="N2073" s="17"/>
      <c r="O2073" s="17"/>
      <c r="P2073" s="59" t="s">
        <v>7515</v>
      </c>
      <c r="Q2073" s="12"/>
      <c r="R2073" s="12"/>
      <c r="S2073" s="12"/>
      <c r="T2073" s="12"/>
      <c r="U2073" s="12"/>
      <c r="V2073" s="12"/>
      <c r="Z2073" s="12"/>
      <c r="AA2073" s="12" t="n">
        <v>5</v>
      </c>
      <c r="AB2073" s="12"/>
      <c r="AC2073" s="12"/>
      <c r="AD2073" s="12"/>
      <c r="AE2073" s="12"/>
    </row>
    <row r="2074" customFormat="false" ht="15.75" hidden="false" customHeight="false" outlineLevel="0" collapsed="false">
      <c r="A2074" s="12" t="str">
        <f aca="false">IF((AA2074&gt;=4), "Y", "N")</f>
        <v>Y</v>
      </c>
      <c r="B2074" s="74"/>
      <c r="C2074" s="26" t="s">
        <v>7716</v>
      </c>
      <c r="D2074" s="24"/>
      <c r="E2074" s="17"/>
      <c r="F2074" s="17"/>
      <c r="G2074" s="17"/>
      <c r="H2074" s="17"/>
      <c r="I2074" s="26" t="s">
        <v>209</v>
      </c>
      <c r="J2074" s="32"/>
      <c r="K2074" s="17"/>
      <c r="L2074" s="38"/>
      <c r="M2074" s="17"/>
      <c r="N2074" s="17"/>
      <c r="O2074" s="17"/>
      <c r="P2074" s="59" t="s">
        <v>7515</v>
      </c>
      <c r="Q2074" s="12"/>
      <c r="R2074" s="12"/>
      <c r="S2074" s="12"/>
      <c r="T2074" s="12"/>
      <c r="U2074" s="12"/>
      <c r="V2074" s="12"/>
      <c r="Z2074" s="12"/>
      <c r="AA2074" s="12" t="n">
        <v>5</v>
      </c>
      <c r="AB2074" s="12"/>
      <c r="AC2074" s="12"/>
      <c r="AD2074" s="12"/>
      <c r="AE2074" s="12"/>
    </row>
    <row r="2075" customFormat="false" ht="15.75" hidden="false" customHeight="false" outlineLevel="0" collapsed="false">
      <c r="A2075" s="12" t="str">
        <f aca="false">IF((AA2075&gt;=4), "Y", "N")</f>
        <v>Y</v>
      </c>
      <c r="B2075" s="74"/>
      <c r="C2075" s="26" t="s">
        <v>7717</v>
      </c>
      <c r="D2075" s="24"/>
      <c r="E2075" s="17"/>
      <c r="F2075" s="17"/>
      <c r="G2075" s="17"/>
      <c r="H2075" s="17"/>
      <c r="I2075" s="26" t="s">
        <v>209</v>
      </c>
      <c r="J2075" s="32"/>
      <c r="K2075" s="17"/>
      <c r="L2075" s="38"/>
      <c r="M2075" s="17"/>
      <c r="N2075" s="17"/>
      <c r="O2075" s="17"/>
      <c r="P2075" s="59" t="s">
        <v>7515</v>
      </c>
      <c r="Q2075" s="12"/>
      <c r="R2075" s="12"/>
      <c r="S2075" s="12"/>
      <c r="T2075" s="12"/>
      <c r="U2075" s="12"/>
      <c r="V2075" s="12"/>
      <c r="Z2075" s="12"/>
      <c r="AA2075" s="12" t="n">
        <v>5</v>
      </c>
      <c r="AB2075" s="12"/>
      <c r="AC2075" s="12"/>
      <c r="AD2075" s="12"/>
      <c r="AE2075" s="12"/>
    </row>
    <row r="2076" customFormat="false" ht="15.75" hidden="false" customHeight="false" outlineLevel="0" collapsed="false">
      <c r="A2076" s="12" t="str">
        <f aca="false">IF((AA2076&gt;=4), "Y", "N")</f>
        <v>Y</v>
      </c>
      <c r="B2076" s="74"/>
      <c r="C2076" s="26" t="s">
        <v>7718</v>
      </c>
      <c r="D2076" s="24"/>
      <c r="E2076" s="17"/>
      <c r="F2076" s="17"/>
      <c r="G2076" s="17"/>
      <c r="H2076" s="17"/>
      <c r="I2076" s="26" t="s">
        <v>209</v>
      </c>
      <c r="J2076" s="32"/>
      <c r="K2076" s="17"/>
      <c r="L2076" s="38"/>
      <c r="M2076" s="17"/>
      <c r="N2076" s="17"/>
      <c r="O2076" s="17"/>
      <c r="P2076" s="59" t="s">
        <v>7515</v>
      </c>
      <c r="Q2076" s="12"/>
      <c r="R2076" s="12"/>
      <c r="S2076" s="12"/>
      <c r="T2076" s="12"/>
      <c r="U2076" s="12"/>
      <c r="V2076" s="12"/>
      <c r="Z2076" s="12"/>
      <c r="AA2076" s="12" t="n">
        <v>5</v>
      </c>
      <c r="AB2076" s="12"/>
      <c r="AC2076" s="12"/>
      <c r="AD2076" s="12"/>
      <c r="AE2076" s="12"/>
    </row>
    <row r="2077" customFormat="false" ht="15.75" hidden="false" customHeight="false" outlineLevel="0" collapsed="false">
      <c r="A2077" s="12" t="str">
        <f aca="false">IF((AA2077&gt;=4), "Y", "N")</f>
        <v>Y</v>
      </c>
      <c r="B2077" s="74"/>
      <c r="C2077" s="26" t="s">
        <v>7719</v>
      </c>
      <c r="D2077" s="24"/>
      <c r="E2077" s="17"/>
      <c r="F2077" s="17"/>
      <c r="G2077" s="17"/>
      <c r="H2077" s="17"/>
      <c r="I2077" s="26" t="s">
        <v>209</v>
      </c>
      <c r="J2077" s="32"/>
      <c r="K2077" s="17"/>
      <c r="L2077" s="38"/>
      <c r="M2077" s="17"/>
      <c r="N2077" s="17"/>
      <c r="O2077" s="17"/>
      <c r="P2077" s="59" t="s">
        <v>7515</v>
      </c>
      <c r="Q2077" s="12"/>
      <c r="R2077" s="12"/>
      <c r="S2077" s="12"/>
      <c r="T2077" s="12"/>
      <c r="U2077" s="12"/>
      <c r="V2077" s="12"/>
      <c r="Z2077" s="12"/>
      <c r="AA2077" s="12" t="n">
        <v>5</v>
      </c>
      <c r="AB2077" s="12"/>
      <c r="AC2077" s="12"/>
      <c r="AD2077" s="12"/>
      <c r="AE2077" s="12"/>
    </row>
    <row r="2078" customFormat="false" ht="15.75" hidden="false" customHeight="false" outlineLevel="0" collapsed="false">
      <c r="A2078" s="12" t="str">
        <f aca="false">IF((AA2078&gt;=4), "Y", "N")</f>
        <v>Y</v>
      </c>
      <c r="B2078" s="74"/>
      <c r="C2078" s="26" t="s">
        <v>7720</v>
      </c>
      <c r="D2078" s="24"/>
      <c r="E2078" s="17"/>
      <c r="F2078" s="17"/>
      <c r="G2078" s="17"/>
      <c r="H2078" s="17"/>
      <c r="I2078" s="26" t="s">
        <v>209</v>
      </c>
      <c r="J2078" s="32"/>
      <c r="K2078" s="17"/>
      <c r="L2078" s="38"/>
      <c r="M2078" s="17"/>
      <c r="N2078" s="17"/>
      <c r="O2078" s="17"/>
      <c r="P2078" s="59" t="s">
        <v>7515</v>
      </c>
      <c r="Q2078" s="12"/>
      <c r="R2078" s="12"/>
      <c r="S2078" s="12"/>
      <c r="T2078" s="12"/>
      <c r="U2078" s="12"/>
      <c r="V2078" s="12"/>
      <c r="Z2078" s="12"/>
      <c r="AA2078" s="12" t="n">
        <v>5</v>
      </c>
      <c r="AB2078" s="12"/>
      <c r="AC2078" s="12"/>
      <c r="AD2078" s="12"/>
      <c r="AE2078" s="12"/>
    </row>
    <row r="2079" customFormat="false" ht="15.75" hidden="false" customHeight="false" outlineLevel="0" collapsed="false">
      <c r="A2079" s="12" t="str">
        <f aca="false">IF((AA2079&gt;=4), "Y", "N")</f>
        <v>Y</v>
      </c>
      <c r="B2079" s="74"/>
      <c r="C2079" s="26" t="s">
        <v>7721</v>
      </c>
      <c r="D2079" s="24"/>
      <c r="E2079" s="17"/>
      <c r="F2079" s="17"/>
      <c r="G2079" s="17"/>
      <c r="H2079" s="17"/>
      <c r="I2079" s="26" t="s">
        <v>209</v>
      </c>
      <c r="J2079" s="32"/>
      <c r="K2079" s="17"/>
      <c r="L2079" s="38"/>
      <c r="M2079" s="17"/>
      <c r="N2079" s="17"/>
      <c r="O2079" s="17"/>
      <c r="P2079" s="59" t="s">
        <v>7515</v>
      </c>
      <c r="Q2079" s="12"/>
      <c r="R2079" s="12"/>
      <c r="S2079" s="12"/>
      <c r="T2079" s="12"/>
      <c r="U2079" s="12"/>
      <c r="V2079" s="12"/>
      <c r="Z2079" s="12"/>
      <c r="AA2079" s="12" t="n">
        <v>5</v>
      </c>
      <c r="AB2079" s="12"/>
      <c r="AC2079" s="12"/>
      <c r="AD2079" s="12"/>
      <c r="AE2079" s="12"/>
    </row>
    <row r="2080" customFormat="false" ht="15.75" hidden="false" customHeight="false" outlineLevel="0" collapsed="false">
      <c r="A2080" s="12" t="str">
        <f aca="false">IF((AA2080&gt;=4), "Y", "N")</f>
        <v>Y</v>
      </c>
      <c r="B2080" s="74"/>
      <c r="C2080" s="26" t="s">
        <v>7722</v>
      </c>
      <c r="D2080" s="24"/>
      <c r="E2080" s="17"/>
      <c r="F2080" s="17"/>
      <c r="G2080" s="17"/>
      <c r="H2080" s="17"/>
      <c r="I2080" s="26" t="s">
        <v>209</v>
      </c>
      <c r="J2080" s="32"/>
      <c r="K2080" s="17"/>
      <c r="L2080" s="38"/>
      <c r="M2080" s="17"/>
      <c r="N2080" s="17"/>
      <c r="O2080" s="17"/>
      <c r="P2080" s="59" t="s">
        <v>7515</v>
      </c>
      <c r="Q2080" s="12"/>
      <c r="R2080" s="12"/>
      <c r="S2080" s="12"/>
      <c r="T2080" s="12"/>
      <c r="U2080" s="12"/>
      <c r="V2080" s="12"/>
      <c r="Z2080" s="12"/>
      <c r="AA2080" s="12" t="n">
        <v>5</v>
      </c>
      <c r="AB2080" s="12"/>
      <c r="AC2080" s="12"/>
      <c r="AD2080" s="12"/>
      <c r="AE2080" s="12"/>
    </row>
    <row r="2081" customFormat="false" ht="15.75" hidden="false" customHeight="false" outlineLevel="0" collapsed="false">
      <c r="A2081" s="12" t="str">
        <f aca="false">IF((AA2081&gt;=4), "Y", "N")</f>
        <v>Y</v>
      </c>
      <c r="B2081" s="74"/>
      <c r="C2081" s="26" t="s">
        <v>7723</v>
      </c>
      <c r="D2081" s="24"/>
      <c r="E2081" s="17"/>
      <c r="F2081" s="17"/>
      <c r="G2081" s="17"/>
      <c r="H2081" s="17"/>
      <c r="I2081" s="26" t="s">
        <v>209</v>
      </c>
      <c r="J2081" s="32"/>
      <c r="K2081" s="17"/>
      <c r="L2081" s="38"/>
      <c r="M2081" s="17"/>
      <c r="N2081" s="17"/>
      <c r="O2081" s="17"/>
      <c r="P2081" s="59" t="s">
        <v>7515</v>
      </c>
      <c r="Q2081" s="12"/>
      <c r="R2081" s="12"/>
      <c r="S2081" s="12"/>
      <c r="T2081" s="12"/>
      <c r="U2081" s="12"/>
      <c r="V2081" s="12"/>
      <c r="Z2081" s="12"/>
      <c r="AA2081" s="12" t="n">
        <v>5</v>
      </c>
      <c r="AB2081" s="12"/>
      <c r="AC2081" s="12"/>
      <c r="AD2081" s="12"/>
      <c r="AE2081" s="12"/>
    </row>
    <row r="2082" customFormat="false" ht="15.75" hidden="false" customHeight="false" outlineLevel="0" collapsed="false">
      <c r="A2082" s="12" t="str">
        <f aca="false">IF((AA2082&gt;=4), "Y", "N")</f>
        <v>Y</v>
      </c>
      <c r="B2082" s="74"/>
      <c r="C2082" s="125" t="s">
        <v>7724</v>
      </c>
      <c r="D2082" s="24"/>
      <c r="E2082" s="17"/>
      <c r="F2082" s="17"/>
      <c r="G2082" s="17"/>
      <c r="H2082" s="17"/>
      <c r="I2082" s="26" t="s">
        <v>209</v>
      </c>
      <c r="J2082" s="32"/>
      <c r="K2082" s="17"/>
      <c r="L2082" s="38"/>
      <c r="M2082" s="17"/>
      <c r="N2082" s="17"/>
      <c r="O2082" s="17"/>
      <c r="P2082" s="59" t="s">
        <v>7515</v>
      </c>
      <c r="Q2082" s="12"/>
      <c r="R2082" s="12"/>
      <c r="S2082" s="12"/>
      <c r="T2082" s="12"/>
      <c r="U2082" s="12"/>
      <c r="V2082" s="12"/>
      <c r="Z2082" s="12"/>
      <c r="AA2082" s="12" t="n">
        <v>5</v>
      </c>
      <c r="AB2082" s="12"/>
      <c r="AC2082" s="12"/>
      <c r="AD2082" s="12"/>
      <c r="AE2082" s="12"/>
    </row>
    <row r="2083" customFormat="false" ht="15.75" hidden="false" customHeight="false" outlineLevel="0" collapsed="false">
      <c r="A2083" s="12" t="str">
        <f aca="false">IF((AA2083&gt;=4), "Y", "N")</f>
        <v>Y</v>
      </c>
      <c r="B2083" s="74"/>
      <c r="C2083" s="26" t="s">
        <v>7725</v>
      </c>
      <c r="D2083" s="24"/>
      <c r="E2083" s="17"/>
      <c r="F2083" s="17"/>
      <c r="G2083" s="17"/>
      <c r="H2083" s="17"/>
      <c r="I2083" s="26" t="s">
        <v>209</v>
      </c>
      <c r="J2083" s="32"/>
      <c r="K2083" s="17"/>
      <c r="L2083" s="38"/>
      <c r="M2083" s="17"/>
      <c r="N2083" s="17"/>
      <c r="O2083" s="17"/>
      <c r="P2083" s="59" t="s">
        <v>7515</v>
      </c>
      <c r="Q2083" s="12"/>
      <c r="R2083" s="12"/>
      <c r="S2083" s="12"/>
      <c r="T2083" s="12"/>
      <c r="U2083" s="12"/>
      <c r="V2083" s="12"/>
      <c r="Z2083" s="12"/>
      <c r="AA2083" s="12" t="n">
        <v>5</v>
      </c>
      <c r="AB2083" s="12"/>
      <c r="AC2083" s="12"/>
      <c r="AD2083" s="12"/>
      <c r="AE2083" s="12"/>
    </row>
    <row r="2084" customFormat="false" ht="15.75" hidden="false" customHeight="false" outlineLevel="0" collapsed="false">
      <c r="A2084" s="12" t="str">
        <f aca="false">IF((AA2084&gt;=4), "Y", "N")</f>
        <v>Y</v>
      </c>
      <c r="B2084" s="74"/>
      <c r="C2084" s="26" t="s">
        <v>7726</v>
      </c>
      <c r="D2084" s="24"/>
      <c r="E2084" s="17"/>
      <c r="F2084" s="17"/>
      <c r="G2084" s="17"/>
      <c r="H2084" s="17"/>
      <c r="I2084" s="26" t="s">
        <v>209</v>
      </c>
      <c r="J2084" s="32"/>
      <c r="K2084" s="17"/>
      <c r="L2084" s="38"/>
      <c r="M2084" s="17"/>
      <c r="N2084" s="17"/>
      <c r="O2084" s="17"/>
      <c r="P2084" s="59" t="s">
        <v>7515</v>
      </c>
      <c r="Q2084" s="12"/>
      <c r="R2084" s="12"/>
      <c r="S2084" s="12"/>
      <c r="T2084" s="12"/>
      <c r="U2084" s="12"/>
      <c r="V2084" s="12"/>
      <c r="Z2084" s="12"/>
      <c r="AA2084" s="12" t="n">
        <v>5</v>
      </c>
      <c r="AB2084" s="12"/>
      <c r="AC2084" s="12"/>
      <c r="AD2084" s="12"/>
      <c r="AE2084" s="12"/>
    </row>
    <row r="2085" customFormat="false" ht="15.75" hidden="false" customHeight="false" outlineLevel="0" collapsed="false">
      <c r="A2085" s="12" t="str">
        <f aca="false">IF((AA2085&gt;=4), "Y", "N")</f>
        <v>Y</v>
      </c>
      <c r="B2085" s="74"/>
      <c r="C2085" s="26" t="s">
        <v>7727</v>
      </c>
      <c r="D2085" s="24"/>
      <c r="E2085" s="17"/>
      <c r="F2085" s="17"/>
      <c r="G2085" s="17"/>
      <c r="H2085" s="17"/>
      <c r="I2085" s="26" t="s">
        <v>209</v>
      </c>
      <c r="J2085" s="32"/>
      <c r="K2085" s="17"/>
      <c r="L2085" s="38"/>
      <c r="M2085" s="17"/>
      <c r="N2085" s="17"/>
      <c r="O2085" s="17"/>
      <c r="P2085" s="59" t="s">
        <v>7515</v>
      </c>
      <c r="Q2085" s="12"/>
      <c r="R2085" s="12"/>
      <c r="S2085" s="12"/>
      <c r="T2085" s="12"/>
      <c r="U2085" s="12"/>
      <c r="V2085" s="12"/>
      <c r="Z2085" s="12"/>
      <c r="AA2085" s="12" t="n">
        <v>5</v>
      </c>
      <c r="AB2085" s="12"/>
      <c r="AC2085" s="12"/>
      <c r="AD2085" s="12"/>
      <c r="AE2085" s="12"/>
    </row>
    <row r="2086" customFormat="false" ht="15.75" hidden="false" customHeight="false" outlineLevel="0" collapsed="false">
      <c r="A2086" s="12" t="str">
        <f aca="false">IF((AA2086&gt;=4), "Y", "N")</f>
        <v>Y</v>
      </c>
      <c r="B2086" s="74"/>
      <c r="C2086" s="26" t="s">
        <v>7728</v>
      </c>
      <c r="D2086" s="24"/>
      <c r="E2086" s="17"/>
      <c r="F2086" s="17"/>
      <c r="G2086" s="17"/>
      <c r="H2086" s="17"/>
      <c r="I2086" s="26" t="s">
        <v>209</v>
      </c>
      <c r="J2086" s="32"/>
      <c r="K2086" s="17"/>
      <c r="L2086" s="38"/>
      <c r="M2086" s="17"/>
      <c r="N2086" s="17"/>
      <c r="O2086" s="17"/>
      <c r="P2086" s="59" t="s">
        <v>7515</v>
      </c>
      <c r="Q2086" s="12"/>
      <c r="R2086" s="12"/>
      <c r="S2086" s="12"/>
      <c r="T2086" s="12"/>
      <c r="U2086" s="12"/>
      <c r="V2086" s="12"/>
      <c r="Z2086" s="12"/>
      <c r="AA2086" s="12" t="n">
        <v>5</v>
      </c>
      <c r="AB2086" s="12"/>
      <c r="AC2086" s="12"/>
      <c r="AD2086" s="12"/>
      <c r="AE2086" s="12"/>
    </row>
    <row r="2087" customFormat="false" ht="15.75" hidden="false" customHeight="false" outlineLevel="0" collapsed="false">
      <c r="A2087" s="12" t="str">
        <f aca="false">IF((AA2087&gt;=4), "Y", "N")</f>
        <v>Y</v>
      </c>
      <c r="B2087" s="74"/>
      <c r="C2087" s="26" t="s">
        <v>7729</v>
      </c>
      <c r="D2087" s="24"/>
      <c r="E2087" s="17"/>
      <c r="F2087" s="17"/>
      <c r="G2087" s="17"/>
      <c r="H2087" s="17"/>
      <c r="I2087" s="26" t="s">
        <v>209</v>
      </c>
      <c r="J2087" s="32"/>
      <c r="K2087" s="17"/>
      <c r="L2087" s="38"/>
      <c r="M2087" s="17"/>
      <c r="N2087" s="17"/>
      <c r="O2087" s="17"/>
      <c r="P2087" s="59" t="s">
        <v>7515</v>
      </c>
      <c r="Q2087" s="12"/>
      <c r="R2087" s="12"/>
      <c r="S2087" s="12"/>
      <c r="T2087" s="12"/>
      <c r="U2087" s="12"/>
      <c r="V2087" s="12"/>
      <c r="Z2087" s="12"/>
      <c r="AA2087" s="12" t="n">
        <v>5</v>
      </c>
      <c r="AB2087" s="12"/>
      <c r="AC2087" s="12"/>
      <c r="AD2087" s="12"/>
      <c r="AE2087" s="12"/>
    </row>
    <row r="2088" customFormat="false" ht="15.75" hidden="false" customHeight="false" outlineLevel="0" collapsed="false">
      <c r="A2088" s="12" t="str">
        <f aca="false">IF((AA2088&gt;=4), "Y", "N")</f>
        <v>Y</v>
      </c>
      <c r="B2088" s="74"/>
      <c r="C2088" s="26" t="s">
        <v>7730</v>
      </c>
      <c r="D2088" s="24"/>
      <c r="E2088" s="17"/>
      <c r="F2088" s="17"/>
      <c r="G2088" s="17"/>
      <c r="H2088" s="17"/>
      <c r="I2088" s="26" t="s">
        <v>209</v>
      </c>
      <c r="J2088" s="32"/>
      <c r="K2088" s="17"/>
      <c r="L2088" s="38"/>
      <c r="M2088" s="17"/>
      <c r="N2088" s="17"/>
      <c r="O2088" s="17"/>
      <c r="P2088" s="59" t="s">
        <v>7515</v>
      </c>
      <c r="Q2088" s="12"/>
      <c r="R2088" s="12"/>
      <c r="S2088" s="12"/>
      <c r="T2088" s="12"/>
      <c r="U2088" s="12"/>
      <c r="V2088" s="12"/>
      <c r="Z2088" s="12"/>
      <c r="AA2088" s="12" t="n">
        <v>5</v>
      </c>
      <c r="AB2088" s="12"/>
      <c r="AC2088" s="12"/>
      <c r="AD2088" s="12"/>
      <c r="AE2088" s="12"/>
    </row>
    <row r="2089" customFormat="false" ht="15.75" hidden="false" customHeight="false" outlineLevel="0" collapsed="false">
      <c r="A2089" s="12" t="str">
        <f aca="false">IF((AA2089&gt;=4), "Y", "N")</f>
        <v>Y</v>
      </c>
      <c r="B2089" s="74"/>
      <c r="C2089" s="26" t="s">
        <v>7731</v>
      </c>
      <c r="D2089" s="24"/>
      <c r="E2089" s="17"/>
      <c r="F2089" s="17"/>
      <c r="G2089" s="17"/>
      <c r="H2089" s="17"/>
      <c r="I2089" s="26" t="s">
        <v>209</v>
      </c>
      <c r="J2089" s="32"/>
      <c r="K2089" s="17"/>
      <c r="L2089" s="38"/>
      <c r="M2089" s="17"/>
      <c r="N2089" s="17"/>
      <c r="O2089" s="17"/>
      <c r="P2089" s="59" t="s">
        <v>7515</v>
      </c>
      <c r="Q2089" s="12"/>
      <c r="R2089" s="12"/>
      <c r="S2089" s="12"/>
      <c r="T2089" s="12"/>
      <c r="U2089" s="12"/>
      <c r="V2089" s="12"/>
      <c r="Z2089" s="12"/>
      <c r="AA2089" s="12" t="n">
        <v>5</v>
      </c>
      <c r="AB2089" s="12"/>
      <c r="AC2089" s="12"/>
      <c r="AD2089" s="12"/>
      <c r="AE2089" s="12"/>
    </row>
    <row r="2090" customFormat="false" ht="15.75" hidden="false" customHeight="false" outlineLevel="0" collapsed="false">
      <c r="A2090" s="12" t="str">
        <f aca="false">IF((AA2090&gt;=4), "Y", "N")</f>
        <v>Y</v>
      </c>
      <c r="B2090" s="74"/>
      <c r="C2090" s="26" t="s">
        <v>7732</v>
      </c>
      <c r="D2090" s="24"/>
      <c r="E2090" s="17"/>
      <c r="F2090" s="17"/>
      <c r="G2090" s="17"/>
      <c r="H2090" s="17"/>
      <c r="I2090" s="26" t="s">
        <v>209</v>
      </c>
      <c r="J2090" s="32"/>
      <c r="K2090" s="17"/>
      <c r="L2090" s="38"/>
      <c r="M2090" s="17"/>
      <c r="N2090" s="17"/>
      <c r="O2090" s="17"/>
      <c r="P2090" s="59" t="s">
        <v>7515</v>
      </c>
      <c r="Q2090" s="12"/>
      <c r="R2090" s="12"/>
      <c r="S2090" s="12"/>
      <c r="T2090" s="12"/>
      <c r="U2090" s="12"/>
      <c r="V2090" s="12"/>
      <c r="Z2090" s="12"/>
      <c r="AA2090" s="12" t="n">
        <v>5</v>
      </c>
      <c r="AB2090" s="12"/>
      <c r="AC2090" s="12"/>
      <c r="AD2090" s="12"/>
      <c r="AE2090" s="12"/>
    </row>
    <row r="2091" customFormat="false" ht="15.75" hidden="false" customHeight="false" outlineLevel="0" collapsed="false">
      <c r="A2091" s="12" t="str">
        <f aca="false">IF((AA2091&gt;=4), "Y", "N")</f>
        <v>Y</v>
      </c>
      <c r="B2091" s="74"/>
      <c r="C2091" s="26" t="s">
        <v>7733</v>
      </c>
      <c r="D2091" s="24"/>
      <c r="E2091" s="17"/>
      <c r="F2091" s="17"/>
      <c r="G2091" s="17"/>
      <c r="H2091" s="17"/>
      <c r="I2091" s="26" t="s">
        <v>209</v>
      </c>
      <c r="J2091" s="32"/>
      <c r="K2091" s="17"/>
      <c r="L2091" s="38"/>
      <c r="M2091" s="17"/>
      <c r="N2091" s="17"/>
      <c r="O2091" s="17"/>
      <c r="P2091" s="59" t="s">
        <v>7515</v>
      </c>
      <c r="Q2091" s="12"/>
      <c r="R2091" s="12"/>
      <c r="S2091" s="12"/>
      <c r="T2091" s="12"/>
      <c r="U2091" s="12"/>
      <c r="V2091" s="12"/>
      <c r="Z2091" s="12"/>
      <c r="AA2091" s="12" t="n">
        <v>5</v>
      </c>
      <c r="AB2091" s="12"/>
      <c r="AC2091" s="12"/>
      <c r="AD2091" s="12"/>
      <c r="AE2091" s="12"/>
    </row>
    <row r="2092" customFormat="false" ht="15.75" hidden="false" customHeight="false" outlineLevel="0" collapsed="false">
      <c r="A2092" s="12" t="str">
        <f aca="false">IF((AA2092&gt;=4), "Y", "N")</f>
        <v>Y</v>
      </c>
      <c r="B2092" s="74"/>
      <c r="C2092" s="26" t="s">
        <v>7734</v>
      </c>
      <c r="D2092" s="24"/>
      <c r="E2092" s="17"/>
      <c r="F2092" s="17"/>
      <c r="G2092" s="17"/>
      <c r="H2092" s="17"/>
      <c r="I2092" s="26" t="s">
        <v>209</v>
      </c>
      <c r="J2092" s="32"/>
      <c r="K2092" s="17"/>
      <c r="L2092" s="38"/>
      <c r="M2092" s="17"/>
      <c r="N2092" s="17"/>
      <c r="O2092" s="17"/>
      <c r="P2092" s="59" t="s">
        <v>7515</v>
      </c>
      <c r="Q2092" s="12"/>
      <c r="R2092" s="12"/>
      <c r="S2092" s="12"/>
      <c r="T2092" s="12"/>
      <c r="U2092" s="12"/>
      <c r="V2092" s="12"/>
      <c r="Z2092" s="12"/>
      <c r="AA2092" s="12" t="n">
        <v>5</v>
      </c>
      <c r="AB2092" s="12"/>
      <c r="AC2092" s="12"/>
      <c r="AD2092" s="12"/>
      <c r="AE2092" s="12"/>
    </row>
    <row r="2093" customFormat="false" ht="15.75" hidden="false" customHeight="false" outlineLevel="0" collapsed="false">
      <c r="A2093" s="12" t="str">
        <f aca="false">IF((AA2093&gt;=4), "Y", "N")</f>
        <v>Y</v>
      </c>
      <c r="B2093" s="74"/>
      <c r="C2093" s="26" t="s">
        <v>7735</v>
      </c>
      <c r="D2093" s="24"/>
      <c r="E2093" s="17"/>
      <c r="F2093" s="17"/>
      <c r="G2093" s="17"/>
      <c r="H2093" s="17"/>
      <c r="I2093" s="26" t="s">
        <v>209</v>
      </c>
      <c r="J2093" s="32"/>
      <c r="K2093" s="17"/>
      <c r="L2093" s="38"/>
      <c r="M2093" s="17"/>
      <c r="N2093" s="17"/>
      <c r="O2093" s="17"/>
      <c r="P2093" s="59" t="s">
        <v>7515</v>
      </c>
      <c r="Q2093" s="12"/>
      <c r="R2093" s="12"/>
      <c r="S2093" s="12"/>
      <c r="T2093" s="12"/>
      <c r="U2093" s="12"/>
      <c r="V2093" s="12"/>
      <c r="Z2093" s="12"/>
      <c r="AA2093" s="12" t="n">
        <v>5</v>
      </c>
      <c r="AB2093" s="12"/>
      <c r="AC2093" s="12"/>
      <c r="AD2093" s="12"/>
      <c r="AE2093" s="12"/>
    </row>
    <row r="2094" customFormat="false" ht="15.75" hidden="false" customHeight="false" outlineLevel="0" collapsed="false">
      <c r="A2094" s="12" t="str">
        <f aca="false">IF((AA2094&gt;=4), "Y", "N")</f>
        <v>Y</v>
      </c>
      <c r="B2094" s="74"/>
      <c r="C2094" s="26" t="s">
        <v>7736</v>
      </c>
      <c r="D2094" s="24"/>
      <c r="E2094" s="17"/>
      <c r="F2094" s="17"/>
      <c r="G2094" s="17"/>
      <c r="H2094" s="17"/>
      <c r="I2094" s="26" t="s">
        <v>209</v>
      </c>
      <c r="J2094" s="32"/>
      <c r="K2094" s="17"/>
      <c r="L2094" s="38"/>
      <c r="M2094" s="17"/>
      <c r="N2094" s="17"/>
      <c r="O2094" s="17"/>
      <c r="P2094" s="59" t="s">
        <v>7515</v>
      </c>
      <c r="Q2094" s="12"/>
      <c r="R2094" s="12"/>
      <c r="S2094" s="12"/>
      <c r="T2094" s="12"/>
      <c r="U2094" s="12"/>
      <c r="V2094" s="12"/>
      <c r="Z2094" s="12"/>
      <c r="AA2094" s="12" t="n">
        <v>5</v>
      </c>
      <c r="AB2094" s="12"/>
      <c r="AC2094" s="12"/>
      <c r="AD2094" s="12"/>
      <c r="AE2094" s="12"/>
    </row>
    <row r="2095" customFormat="false" ht="15.75" hidden="false" customHeight="false" outlineLevel="0" collapsed="false">
      <c r="A2095" s="12" t="str">
        <f aca="false">IF((AA2095&gt;=4), "Y", "N")</f>
        <v>Y</v>
      </c>
      <c r="B2095" s="74"/>
      <c r="C2095" s="26" t="s">
        <v>7737</v>
      </c>
      <c r="D2095" s="24"/>
      <c r="E2095" s="17"/>
      <c r="F2095" s="17"/>
      <c r="G2095" s="17"/>
      <c r="H2095" s="17"/>
      <c r="I2095" s="26" t="s">
        <v>209</v>
      </c>
      <c r="J2095" s="32"/>
      <c r="K2095" s="17"/>
      <c r="L2095" s="38"/>
      <c r="M2095" s="17"/>
      <c r="N2095" s="17"/>
      <c r="O2095" s="17"/>
      <c r="P2095" s="59" t="s">
        <v>7515</v>
      </c>
      <c r="Q2095" s="12"/>
      <c r="R2095" s="12"/>
      <c r="S2095" s="12"/>
      <c r="T2095" s="12"/>
      <c r="U2095" s="12"/>
      <c r="V2095" s="12"/>
      <c r="Z2095" s="12"/>
      <c r="AA2095" s="12" t="n">
        <v>5</v>
      </c>
      <c r="AB2095" s="12"/>
      <c r="AC2095" s="12"/>
      <c r="AD2095" s="12"/>
      <c r="AE2095" s="12"/>
    </row>
    <row r="2096" customFormat="false" ht="15.75" hidden="false" customHeight="false" outlineLevel="0" collapsed="false">
      <c r="A2096" s="12" t="str">
        <f aca="false">IF((AA2096&gt;=4), "Y", "N")</f>
        <v>Y</v>
      </c>
      <c r="B2096" s="74"/>
      <c r="C2096" s="26" t="s">
        <v>7738</v>
      </c>
      <c r="D2096" s="24"/>
      <c r="E2096" s="17"/>
      <c r="F2096" s="17"/>
      <c r="G2096" s="17"/>
      <c r="H2096" s="17"/>
      <c r="I2096" s="26" t="s">
        <v>209</v>
      </c>
      <c r="J2096" s="32"/>
      <c r="K2096" s="17"/>
      <c r="L2096" s="38"/>
      <c r="M2096" s="17"/>
      <c r="N2096" s="17"/>
      <c r="O2096" s="17"/>
      <c r="P2096" s="59" t="s">
        <v>7515</v>
      </c>
      <c r="Q2096" s="12"/>
      <c r="R2096" s="12"/>
      <c r="S2096" s="12"/>
      <c r="T2096" s="12"/>
      <c r="U2096" s="12"/>
      <c r="V2096" s="12"/>
      <c r="Z2096" s="12"/>
      <c r="AA2096" s="12" t="n">
        <v>5</v>
      </c>
      <c r="AB2096" s="12"/>
      <c r="AC2096" s="12"/>
      <c r="AD2096" s="12"/>
      <c r="AE2096" s="12"/>
    </row>
    <row r="2097" customFormat="false" ht="15.75" hidden="false" customHeight="false" outlineLevel="0" collapsed="false">
      <c r="A2097" s="12" t="str">
        <f aca="false">IF((AA2097&gt;=4), "Y", "N")</f>
        <v>Y</v>
      </c>
      <c r="B2097" s="74"/>
      <c r="C2097" s="26" t="s">
        <v>7739</v>
      </c>
      <c r="D2097" s="24"/>
      <c r="E2097" s="17"/>
      <c r="F2097" s="17"/>
      <c r="G2097" s="17"/>
      <c r="H2097" s="17"/>
      <c r="I2097" s="26" t="s">
        <v>209</v>
      </c>
      <c r="J2097" s="32"/>
      <c r="K2097" s="17"/>
      <c r="L2097" s="38"/>
      <c r="M2097" s="17"/>
      <c r="N2097" s="17"/>
      <c r="O2097" s="17"/>
      <c r="P2097" s="59" t="s">
        <v>7515</v>
      </c>
      <c r="Q2097" s="12"/>
      <c r="R2097" s="12"/>
      <c r="S2097" s="12"/>
      <c r="T2097" s="12"/>
      <c r="U2097" s="12"/>
      <c r="V2097" s="12"/>
      <c r="Z2097" s="12"/>
      <c r="AA2097" s="12" t="n">
        <v>5</v>
      </c>
      <c r="AB2097" s="12"/>
      <c r="AC2097" s="12"/>
      <c r="AD2097" s="12"/>
      <c r="AE2097" s="12"/>
    </row>
    <row r="2098" customFormat="false" ht="15.75" hidden="false" customHeight="false" outlineLevel="0" collapsed="false">
      <c r="A2098" s="12" t="str">
        <f aca="false">IF((AA2098&gt;=4), "Y", "N")</f>
        <v>Y</v>
      </c>
      <c r="B2098" s="74"/>
      <c r="C2098" s="26" t="s">
        <v>7740</v>
      </c>
      <c r="D2098" s="24"/>
      <c r="E2098" s="17"/>
      <c r="F2098" s="17"/>
      <c r="G2098" s="17"/>
      <c r="H2098" s="17"/>
      <c r="I2098" s="26" t="s">
        <v>209</v>
      </c>
      <c r="J2098" s="32"/>
      <c r="K2098" s="17"/>
      <c r="L2098" s="38"/>
      <c r="M2098" s="17"/>
      <c r="N2098" s="17"/>
      <c r="O2098" s="17"/>
      <c r="P2098" s="59" t="s">
        <v>7515</v>
      </c>
      <c r="Q2098" s="12"/>
      <c r="R2098" s="12"/>
      <c r="S2098" s="12"/>
      <c r="T2098" s="12"/>
      <c r="U2098" s="12"/>
      <c r="V2098" s="12"/>
      <c r="Z2098" s="12"/>
      <c r="AA2098" s="12" t="n">
        <v>5</v>
      </c>
      <c r="AB2098" s="12"/>
      <c r="AC2098" s="12"/>
      <c r="AD2098" s="12"/>
      <c r="AE2098" s="12"/>
    </row>
    <row r="2099" customFormat="false" ht="15.75" hidden="false" customHeight="false" outlineLevel="0" collapsed="false">
      <c r="A2099" s="12" t="str">
        <f aca="false">IF((AA2099&gt;=4), "Y", "N")</f>
        <v>Y</v>
      </c>
      <c r="B2099" s="74"/>
      <c r="C2099" s="26" t="s">
        <v>7741</v>
      </c>
      <c r="D2099" s="24"/>
      <c r="E2099" s="17"/>
      <c r="F2099" s="17"/>
      <c r="G2099" s="17"/>
      <c r="H2099" s="17"/>
      <c r="I2099" s="26" t="s">
        <v>209</v>
      </c>
      <c r="J2099" s="32"/>
      <c r="K2099" s="17"/>
      <c r="L2099" s="38"/>
      <c r="M2099" s="17"/>
      <c r="N2099" s="17"/>
      <c r="O2099" s="17"/>
      <c r="P2099" s="59" t="s">
        <v>7515</v>
      </c>
      <c r="Q2099" s="12"/>
      <c r="R2099" s="12"/>
      <c r="S2099" s="12"/>
      <c r="T2099" s="12"/>
      <c r="U2099" s="12"/>
      <c r="V2099" s="12"/>
      <c r="Z2099" s="12"/>
      <c r="AA2099" s="12" t="n">
        <v>5</v>
      </c>
      <c r="AB2099" s="12"/>
      <c r="AC2099" s="12"/>
      <c r="AD2099" s="12"/>
      <c r="AE2099" s="12"/>
    </row>
    <row r="2100" customFormat="false" ht="15.75" hidden="false" customHeight="false" outlineLevel="0" collapsed="false">
      <c r="A2100" s="12" t="str">
        <f aca="false">IF((AA2100&gt;=4), "Y", "N")</f>
        <v>Y</v>
      </c>
      <c r="B2100" s="74"/>
      <c r="C2100" s="26" t="s">
        <v>7742</v>
      </c>
      <c r="D2100" s="24"/>
      <c r="E2100" s="17"/>
      <c r="F2100" s="17"/>
      <c r="G2100" s="17"/>
      <c r="H2100" s="17"/>
      <c r="I2100" s="26" t="s">
        <v>209</v>
      </c>
      <c r="J2100" s="32"/>
      <c r="K2100" s="17"/>
      <c r="L2100" s="38"/>
      <c r="M2100" s="17"/>
      <c r="N2100" s="17"/>
      <c r="O2100" s="17"/>
      <c r="P2100" s="59" t="s">
        <v>7515</v>
      </c>
      <c r="Q2100" s="12"/>
      <c r="R2100" s="12"/>
      <c r="S2100" s="12"/>
      <c r="T2100" s="12"/>
      <c r="U2100" s="12"/>
      <c r="V2100" s="12"/>
      <c r="Z2100" s="12"/>
      <c r="AA2100" s="12" t="n">
        <v>5</v>
      </c>
      <c r="AB2100" s="12"/>
      <c r="AC2100" s="12"/>
      <c r="AD2100" s="12"/>
      <c r="AE2100" s="12"/>
    </row>
    <row r="2101" customFormat="false" ht="15.75" hidden="false" customHeight="false" outlineLevel="0" collapsed="false">
      <c r="A2101" s="12" t="str">
        <f aca="false">IF((AA2101&gt;=4), "Y", "N")</f>
        <v>Y</v>
      </c>
      <c r="B2101" s="74"/>
      <c r="C2101" s="26" t="s">
        <v>7743</v>
      </c>
      <c r="D2101" s="24"/>
      <c r="E2101" s="17"/>
      <c r="F2101" s="17"/>
      <c r="G2101" s="17"/>
      <c r="H2101" s="17"/>
      <c r="I2101" s="26" t="s">
        <v>209</v>
      </c>
      <c r="J2101" s="32"/>
      <c r="K2101" s="17"/>
      <c r="L2101" s="38"/>
      <c r="M2101" s="17"/>
      <c r="N2101" s="17"/>
      <c r="O2101" s="17"/>
      <c r="P2101" s="59" t="s">
        <v>7515</v>
      </c>
      <c r="Q2101" s="12"/>
      <c r="R2101" s="12"/>
      <c r="S2101" s="12"/>
      <c r="T2101" s="12"/>
      <c r="U2101" s="12"/>
      <c r="V2101" s="12"/>
      <c r="Z2101" s="12"/>
      <c r="AA2101" s="12" t="n">
        <v>5</v>
      </c>
      <c r="AB2101" s="12"/>
      <c r="AC2101" s="12"/>
      <c r="AD2101" s="12"/>
      <c r="AE2101" s="12"/>
    </row>
    <row r="2102" customFormat="false" ht="15.75" hidden="false" customHeight="false" outlineLevel="0" collapsed="false">
      <c r="A2102" s="12" t="str">
        <f aca="false">IF((AA2102&gt;=4), "Y", "N")</f>
        <v>Y</v>
      </c>
      <c r="B2102" s="74"/>
      <c r="C2102" s="26" t="s">
        <v>7744</v>
      </c>
      <c r="D2102" s="24"/>
      <c r="E2102" s="17"/>
      <c r="F2102" s="17"/>
      <c r="G2102" s="17"/>
      <c r="H2102" s="17"/>
      <c r="I2102" s="26" t="s">
        <v>209</v>
      </c>
      <c r="J2102" s="32"/>
      <c r="K2102" s="17"/>
      <c r="L2102" s="38"/>
      <c r="M2102" s="17"/>
      <c r="N2102" s="17"/>
      <c r="O2102" s="17"/>
      <c r="P2102" s="59" t="s">
        <v>7515</v>
      </c>
      <c r="Q2102" s="12"/>
      <c r="R2102" s="12"/>
      <c r="S2102" s="12"/>
      <c r="T2102" s="12"/>
      <c r="U2102" s="12"/>
      <c r="V2102" s="12"/>
      <c r="Z2102" s="12"/>
      <c r="AA2102" s="12" t="n">
        <v>5</v>
      </c>
      <c r="AB2102" s="12"/>
      <c r="AC2102" s="12"/>
      <c r="AD2102" s="12"/>
      <c r="AE2102" s="12"/>
    </row>
    <row r="2103" customFormat="false" ht="15.75" hidden="false" customHeight="false" outlineLevel="0" collapsed="false">
      <c r="A2103" s="12" t="str">
        <f aca="false">IF((AA2103&gt;=4), "Y", "N")</f>
        <v>Y</v>
      </c>
      <c r="B2103" s="74"/>
      <c r="C2103" s="26" t="s">
        <v>7745</v>
      </c>
      <c r="D2103" s="24"/>
      <c r="E2103" s="17"/>
      <c r="F2103" s="17"/>
      <c r="G2103" s="17"/>
      <c r="H2103" s="17"/>
      <c r="I2103" s="26" t="s">
        <v>209</v>
      </c>
      <c r="J2103" s="32"/>
      <c r="K2103" s="17"/>
      <c r="L2103" s="38"/>
      <c r="M2103" s="17"/>
      <c r="N2103" s="17"/>
      <c r="O2103" s="17"/>
      <c r="P2103" s="59" t="s">
        <v>7515</v>
      </c>
      <c r="Q2103" s="12"/>
      <c r="R2103" s="12"/>
      <c r="S2103" s="12"/>
      <c r="T2103" s="12"/>
      <c r="U2103" s="12"/>
      <c r="V2103" s="12"/>
      <c r="Z2103" s="12"/>
      <c r="AA2103" s="12" t="n">
        <v>5</v>
      </c>
      <c r="AB2103" s="12"/>
      <c r="AC2103" s="12"/>
      <c r="AD2103" s="12"/>
      <c r="AE2103" s="12"/>
    </row>
    <row r="2104" customFormat="false" ht="15.75" hidden="false" customHeight="false" outlineLevel="0" collapsed="false">
      <c r="A2104" s="12" t="str">
        <f aca="false">IF((AA2104&gt;=4), "Y", "N")</f>
        <v>Y</v>
      </c>
      <c r="B2104" s="74"/>
      <c r="C2104" s="26" t="s">
        <v>7746</v>
      </c>
      <c r="D2104" s="24"/>
      <c r="E2104" s="17"/>
      <c r="F2104" s="17"/>
      <c r="G2104" s="17"/>
      <c r="H2104" s="17"/>
      <c r="I2104" s="26" t="s">
        <v>209</v>
      </c>
      <c r="J2104" s="32"/>
      <c r="K2104" s="17"/>
      <c r="L2104" s="38"/>
      <c r="M2104" s="17"/>
      <c r="N2104" s="17"/>
      <c r="O2104" s="17"/>
      <c r="P2104" s="59" t="s">
        <v>7515</v>
      </c>
      <c r="Q2104" s="12"/>
      <c r="R2104" s="12"/>
      <c r="S2104" s="12"/>
      <c r="T2104" s="12"/>
      <c r="U2104" s="12"/>
      <c r="V2104" s="12"/>
      <c r="Z2104" s="12"/>
      <c r="AA2104" s="12" t="n">
        <v>5</v>
      </c>
      <c r="AB2104" s="12"/>
      <c r="AC2104" s="12"/>
      <c r="AD2104" s="12"/>
      <c r="AE2104" s="12"/>
    </row>
    <row r="2105" customFormat="false" ht="15.75" hidden="false" customHeight="false" outlineLevel="0" collapsed="false">
      <c r="A2105" s="12" t="str">
        <f aca="false">IF((AA2105&gt;=4), "Y", "N")</f>
        <v>Y</v>
      </c>
      <c r="B2105" s="74"/>
      <c r="C2105" s="26" t="s">
        <v>7747</v>
      </c>
      <c r="D2105" s="24"/>
      <c r="E2105" s="17"/>
      <c r="F2105" s="17"/>
      <c r="G2105" s="17"/>
      <c r="H2105" s="17"/>
      <c r="I2105" s="26" t="s">
        <v>209</v>
      </c>
      <c r="J2105" s="32"/>
      <c r="K2105" s="17"/>
      <c r="L2105" s="38"/>
      <c r="M2105" s="17"/>
      <c r="N2105" s="17"/>
      <c r="O2105" s="17"/>
      <c r="P2105" s="59" t="s">
        <v>7515</v>
      </c>
      <c r="Q2105" s="12"/>
      <c r="R2105" s="12"/>
      <c r="S2105" s="12"/>
      <c r="T2105" s="12"/>
      <c r="U2105" s="12"/>
      <c r="V2105" s="12"/>
      <c r="Z2105" s="12"/>
      <c r="AA2105" s="12" t="n">
        <v>5</v>
      </c>
      <c r="AB2105" s="12"/>
      <c r="AC2105" s="12"/>
      <c r="AD2105" s="12"/>
      <c r="AE2105" s="12"/>
    </row>
    <row r="2106" customFormat="false" ht="15.75" hidden="false" customHeight="false" outlineLevel="0" collapsed="false">
      <c r="A2106" s="12" t="str">
        <f aca="false">IF((AA2106&gt;=4), "Y", "N")</f>
        <v>Y</v>
      </c>
      <c r="B2106" s="74"/>
      <c r="C2106" s="26" t="s">
        <v>7748</v>
      </c>
      <c r="D2106" s="24"/>
      <c r="E2106" s="17"/>
      <c r="F2106" s="17"/>
      <c r="G2106" s="17"/>
      <c r="H2106" s="17"/>
      <c r="I2106" s="26" t="s">
        <v>209</v>
      </c>
      <c r="J2106" s="32"/>
      <c r="K2106" s="17"/>
      <c r="L2106" s="38"/>
      <c r="M2106" s="17"/>
      <c r="N2106" s="17"/>
      <c r="O2106" s="17"/>
      <c r="P2106" s="59" t="s">
        <v>7515</v>
      </c>
      <c r="Q2106" s="12"/>
      <c r="R2106" s="12"/>
      <c r="S2106" s="12"/>
      <c r="T2106" s="12"/>
      <c r="U2106" s="12"/>
      <c r="V2106" s="12"/>
      <c r="Z2106" s="12"/>
      <c r="AA2106" s="12" t="n">
        <v>5</v>
      </c>
      <c r="AB2106" s="12"/>
      <c r="AC2106" s="12"/>
      <c r="AD2106" s="12"/>
      <c r="AE2106" s="12"/>
    </row>
    <row r="2107" customFormat="false" ht="15.75" hidden="false" customHeight="false" outlineLevel="0" collapsed="false">
      <c r="A2107" s="12" t="str">
        <f aca="false">IF((AA2107&gt;=4), "Y", "N")</f>
        <v>Y</v>
      </c>
      <c r="B2107" s="74"/>
      <c r="C2107" s="26" t="s">
        <v>7749</v>
      </c>
      <c r="D2107" s="24"/>
      <c r="E2107" s="17"/>
      <c r="F2107" s="17"/>
      <c r="G2107" s="17"/>
      <c r="H2107" s="17"/>
      <c r="I2107" s="26" t="s">
        <v>209</v>
      </c>
      <c r="J2107" s="32"/>
      <c r="K2107" s="17"/>
      <c r="L2107" s="38"/>
      <c r="M2107" s="17"/>
      <c r="N2107" s="17"/>
      <c r="O2107" s="17"/>
      <c r="P2107" s="59" t="s">
        <v>7515</v>
      </c>
      <c r="Q2107" s="12"/>
      <c r="R2107" s="12"/>
      <c r="S2107" s="12"/>
      <c r="T2107" s="12"/>
      <c r="U2107" s="12"/>
      <c r="V2107" s="12"/>
      <c r="Z2107" s="12"/>
      <c r="AA2107" s="12" t="n">
        <v>5</v>
      </c>
      <c r="AB2107" s="12"/>
      <c r="AC2107" s="12"/>
      <c r="AD2107" s="12"/>
      <c r="AE2107" s="12"/>
    </row>
    <row r="2108" customFormat="false" ht="15.75" hidden="false" customHeight="false" outlineLevel="0" collapsed="false">
      <c r="A2108" s="12" t="str">
        <f aca="false">IF((AA2108&gt;=4), "Y", "N")</f>
        <v>Y</v>
      </c>
      <c r="B2108" s="74"/>
      <c r="C2108" s="26" t="s">
        <v>7750</v>
      </c>
      <c r="D2108" s="24"/>
      <c r="E2108" s="17"/>
      <c r="F2108" s="17"/>
      <c r="G2108" s="17"/>
      <c r="H2108" s="17"/>
      <c r="I2108" s="26" t="s">
        <v>209</v>
      </c>
      <c r="J2108" s="32"/>
      <c r="K2108" s="17"/>
      <c r="L2108" s="38"/>
      <c r="M2108" s="17"/>
      <c r="N2108" s="17"/>
      <c r="O2108" s="17"/>
      <c r="P2108" s="59" t="s">
        <v>7515</v>
      </c>
      <c r="Q2108" s="12"/>
      <c r="R2108" s="12"/>
      <c r="S2108" s="12"/>
      <c r="T2108" s="12"/>
      <c r="U2108" s="12"/>
      <c r="V2108" s="12"/>
      <c r="Z2108" s="12"/>
      <c r="AA2108" s="12" t="n">
        <v>5</v>
      </c>
      <c r="AB2108" s="12"/>
      <c r="AC2108" s="12"/>
      <c r="AD2108" s="12"/>
      <c r="AE2108" s="12"/>
    </row>
    <row r="2109" customFormat="false" ht="15.75" hidden="false" customHeight="false" outlineLevel="0" collapsed="false">
      <c r="A2109" s="12" t="str">
        <f aca="false">IF((AA2109&gt;=4), "Y", "N")</f>
        <v>Y</v>
      </c>
      <c r="B2109" s="74"/>
      <c r="C2109" s="26" t="s">
        <v>7751</v>
      </c>
      <c r="D2109" s="24"/>
      <c r="E2109" s="17"/>
      <c r="F2109" s="17"/>
      <c r="G2109" s="17"/>
      <c r="H2109" s="17"/>
      <c r="I2109" s="26" t="s">
        <v>209</v>
      </c>
      <c r="J2109" s="32"/>
      <c r="K2109" s="17"/>
      <c r="L2109" s="38"/>
      <c r="M2109" s="17"/>
      <c r="N2109" s="17"/>
      <c r="O2109" s="17"/>
      <c r="P2109" s="59" t="s">
        <v>7515</v>
      </c>
      <c r="Q2109" s="12"/>
      <c r="R2109" s="12"/>
      <c r="S2109" s="12"/>
      <c r="T2109" s="12"/>
      <c r="U2109" s="12"/>
      <c r="V2109" s="12"/>
      <c r="Z2109" s="12"/>
      <c r="AA2109" s="12" t="n">
        <v>5</v>
      </c>
      <c r="AB2109" s="12"/>
      <c r="AC2109" s="12"/>
      <c r="AD2109" s="12"/>
      <c r="AE2109" s="12"/>
    </row>
    <row r="2110" customFormat="false" ht="15.75" hidden="false" customHeight="false" outlineLevel="0" collapsed="false">
      <c r="A2110" s="12" t="str">
        <f aca="false">IF((AA2110&gt;=4), "Y", "N")</f>
        <v>Y</v>
      </c>
      <c r="B2110" s="74"/>
      <c r="C2110" s="26" t="s">
        <v>7752</v>
      </c>
      <c r="D2110" s="24"/>
      <c r="E2110" s="17"/>
      <c r="F2110" s="17"/>
      <c r="G2110" s="17"/>
      <c r="H2110" s="17"/>
      <c r="I2110" s="26" t="s">
        <v>209</v>
      </c>
      <c r="J2110" s="32"/>
      <c r="K2110" s="17"/>
      <c r="L2110" s="38"/>
      <c r="M2110" s="17"/>
      <c r="N2110" s="17"/>
      <c r="O2110" s="17"/>
      <c r="P2110" s="59" t="s">
        <v>7515</v>
      </c>
      <c r="Q2110" s="12"/>
      <c r="R2110" s="12"/>
      <c r="S2110" s="12"/>
      <c r="T2110" s="12"/>
      <c r="U2110" s="12"/>
      <c r="V2110" s="12"/>
      <c r="Z2110" s="12"/>
      <c r="AA2110" s="12" t="n">
        <v>5</v>
      </c>
      <c r="AB2110" s="12"/>
      <c r="AC2110" s="12"/>
      <c r="AD2110" s="12"/>
      <c r="AE2110" s="12"/>
    </row>
    <row r="2111" customFormat="false" ht="15.75" hidden="false" customHeight="false" outlineLevel="0" collapsed="false">
      <c r="A2111" s="12" t="str">
        <f aca="false">IF((AA2111&gt;=4), "Y", "N")</f>
        <v>Y</v>
      </c>
      <c r="B2111" s="74"/>
      <c r="C2111" s="26" t="s">
        <v>7753</v>
      </c>
      <c r="D2111" s="24"/>
      <c r="E2111" s="17"/>
      <c r="F2111" s="17"/>
      <c r="G2111" s="17"/>
      <c r="H2111" s="17"/>
      <c r="I2111" s="26" t="s">
        <v>209</v>
      </c>
      <c r="J2111" s="32"/>
      <c r="K2111" s="17"/>
      <c r="L2111" s="38"/>
      <c r="M2111" s="17"/>
      <c r="N2111" s="17"/>
      <c r="O2111" s="17"/>
      <c r="P2111" s="59" t="s">
        <v>7515</v>
      </c>
      <c r="Q2111" s="12"/>
      <c r="R2111" s="12"/>
      <c r="S2111" s="12"/>
      <c r="T2111" s="12"/>
      <c r="U2111" s="12"/>
      <c r="V2111" s="12"/>
      <c r="Z2111" s="12"/>
      <c r="AA2111" s="12" t="n">
        <v>5</v>
      </c>
      <c r="AB2111" s="12"/>
      <c r="AC2111" s="12"/>
      <c r="AD2111" s="12"/>
      <c r="AE2111" s="12"/>
    </row>
    <row r="2112" customFormat="false" ht="15.75" hidden="false" customHeight="false" outlineLevel="0" collapsed="false">
      <c r="A2112" s="12" t="str">
        <f aca="false">IF((AA2112&gt;=4), "Y", "N")</f>
        <v>Y</v>
      </c>
      <c r="B2112" s="74"/>
      <c r="C2112" s="26" t="s">
        <v>7754</v>
      </c>
      <c r="D2112" s="24"/>
      <c r="E2112" s="17"/>
      <c r="F2112" s="17"/>
      <c r="G2112" s="17"/>
      <c r="H2112" s="17"/>
      <c r="I2112" s="26" t="s">
        <v>209</v>
      </c>
      <c r="J2112" s="32"/>
      <c r="K2112" s="17"/>
      <c r="L2112" s="38"/>
      <c r="M2112" s="17"/>
      <c r="N2112" s="17"/>
      <c r="O2112" s="17"/>
      <c r="P2112" s="59" t="s">
        <v>7515</v>
      </c>
      <c r="Q2112" s="12"/>
      <c r="R2112" s="12"/>
      <c r="S2112" s="12"/>
      <c r="T2112" s="12"/>
      <c r="U2112" s="12"/>
      <c r="V2112" s="12"/>
      <c r="Z2112" s="12"/>
      <c r="AA2112" s="12" t="n">
        <v>5</v>
      </c>
      <c r="AB2112" s="12"/>
      <c r="AC2112" s="12"/>
      <c r="AD2112" s="12"/>
      <c r="AE2112" s="12"/>
    </row>
    <row r="2113" customFormat="false" ht="15.75" hidden="false" customHeight="false" outlineLevel="0" collapsed="false">
      <c r="A2113" s="12" t="str">
        <f aca="false">IF((AA2113&gt;=4), "Y", "N")</f>
        <v>Y</v>
      </c>
      <c r="B2113" s="74"/>
      <c r="C2113" s="26" t="s">
        <v>7755</v>
      </c>
      <c r="D2113" s="24"/>
      <c r="E2113" s="17"/>
      <c r="F2113" s="17"/>
      <c r="G2113" s="17"/>
      <c r="H2113" s="17"/>
      <c r="I2113" s="26" t="s">
        <v>209</v>
      </c>
      <c r="J2113" s="32"/>
      <c r="K2113" s="17"/>
      <c r="L2113" s="38"/>
      <c r="M2113" s="17"/>
      <c r="N2113" s="17"/>
      <c r="O2113" s="17"/>
      <c r="P2113" s="59" t="s">
        <v>7515</v>
      </c>
      <c r="Q2113" s="12"/>
      <c r="R2113" s="12"/>
      <c r="S2113" s="12"/>
      <c r="T2113" s="12"/>
      <c r="U2113" s="12"/>
      <c r="V2113" s="12"/>
      <c r="Z2113" s="12"/>
      <c r="AA2113" s="12" t="n">
        <v>5</v>
      </c>
      <c r="AB2113" s="12"/>
      <c r="AC2113" s="12"/>
      <c r="AD2113" s="12"/>
      <c r="AE2113" s="12"/>
    </row>
    <row r="2114" customFormat="false" ht="15.75" hidden="false" customHeight="false" outlineLevel="0" collapsed="false">
      <c r="A2114" s="12" t="str">
        <f aca="false">IF((AA2114&gt;=4), "Y", "N")</f>
        <v>Y</v>
      </c>
      <c r="B2114" s="74"/>
      <c r="C2114" s="125" t="s">
        <v>7756</v>
      </c>
      <c r="D2114" s="24"/>
      <c r="E2114" s="17"/>
      <c r="F2114" s="17"/>
      <c r="G2114" s="17"/>
      <c r="H2114" s="17"/>
      <c r="I2114" s="26" t="s">
        <v>209</v>
      </c>
      <c r="J2114" s="32"/>
      <c r="K2114" s="17"/>
      <c r="L2114" s="38"/>
      <c r="M2114" s="17"/>
      <c r="N2114" s="17"/>
      <c r="O2114" s="17"/>
      <c r="P2114" s="59" t="s">
        <v>7515</v>
      </c>
      <c r="Q2114" s="12"/>
      <c r="R2114" s="12"/>
      <c r="S2114" s="12"/>
      <c r="T2114" s="12"/>
      <c r="U2114" s="12"/>
      <c r="V2114" s="12"/>
      <c r="Z2114" s="12"/>
      <c r="AA2114" s="12" t="n">
        <v>5</v>
      </c>
      <c r="AB2114" s="12"/>
      <c r="AC2114" s="12"/>
      <c r="AD2114" s="12"/>
      <c r="AE2114" s="12"/>
    </row>
    <row r="2115" customFormat="false" ht="15.75" hidden="false" customHeight="false" outlineLevel="0" collapsed="false">
      <c r="A2115" s="12" t="str">
        <f aca="false">IF((AA2115&gt;=4), "Y", "N")</f>
        <v>Y</v>
      </c>
      <c r="B2115" s="74"/>
      <c r="C2115" s="26" t="s">
        <v>7757</v>
      </c>
      <c r="D2115" s="24"/>
      <c r="E2115" s="17"/>
      <c r="F2115" s="17"/>
      <c r="G2115" s="17"/>
      <c r="H2115" s="17"/>
      <c r="I2115" s="26" t="s">
        <v>209</v>
      </c>
      <c r="J2115" s="32"/>
      <c r="K2115" s="17"/>
      <c r="L2115" s="38"/>
      <c r="M2115" s="17"/>
      <c r="N2115" s="17"/>
      <c r="O2115" s="17"/>
      <c r="P2115" s="59" t="s">
        <v>7515</v>
      </c>
      <c r="Q2115" s="12"/>
      <c r="R2115" s="12"/>
      <c r="S2115" s="12"/>
      <c r="T2115" s="12"/>
      <c r="U2115" s="12"/>
      <c r="V2115" s="12"/>
      <c r="Z2115" s="12"/>
      <c r="AA2115" s="12" t="n">
        <v>5</v>
      </c>
      <c r="AB2115" s="12"/>
      <c r="AC2115" s="12"/>
      <c r="AD2115" s="12"/>
      <c r="AE2115" s="12"/>
    </row>
    <row r="2116" customFormat="false" ht="15.75" hidden="false" customHeight="false" outlineLevel="0" collapsed="false">
      <c r="A2116" s="12" t="str">
        <f aca="false">IF((AA2116&gt;=4), "Y", "N")</f>
        <v>Y</v>
      </c>
      <c r="B2116" s="74"/>
      <c r="C2116" s="26" t="s">
        <v>7758</v>
      </c>
      <c r="D2116" s="24"/>
      <c r="E2116" s="17"/>
      <c r="F2116" s="17"/>
      <c r="G2116" s="17"/>
      <c r="H2116" s="17"/>
      <c r="I2116" s="26" t="s">
        <v>209</v>
      </c>
      <c r="J2116" s="32"/>
      <c r="K2116" s="17"/>
      <c r="L2116" s="38"/>
      <c r="M2116" s="17"/>
      <c r="N2116" s="17"/>
      <c r="O2116" s="17"/>
      <c r="P2116" s="59" t="s">
        <v>7515</v>
      </c>
      <c r="Q2116" s="12"/>
      <c r="R2116" s="12"/>
      <c r="S2116" s="12"/>
      <c r="T2116" s="12"/>
      <c r="U2116" s="12"/>
      <c r="V2116" s="12"/>
      <c r="Z2116" s="12"/>
      <c r="AA2116" s="12" t="n">
        <v>5</v>
      </c>
      <c r="AB2116" s="12"/>
      <c r="AC2116" s="12"/>
      <c r="AD2116" s="12"/>
      <c r="AE2116" s="12"/>
    </row>
    <row r="2117" customFormat="false" ht="15.75" hidden="false" customHeight="false" outlineLevel="0" collapsed="false">
      <c r="A2117" s="12" t="str">
        <f aca="false">IF((AA2117&gt;=4), "Y", "N")</f>
        <v>Y</v>
      </c>
      <c r="B2117" s="74"/>
      <c r="C2117" s="26" t="s">
        <v>7759</v>
      </c>
      <c r="D2117" s="24"/>
      <c r="E2117" s="17"/>
      <c r="F2117" s="17"/>
      <c r="G2117" s="17"/>
      <c r="H2117" s="17"/>
      <c r="I2117" s="26" t="s">
        <v>209</v>
      </c>
      <c r="J2117" s="32"/>
      <c r="K2117" s="17"/>
      <c r="L2117" s="38"/>
      <c r="M2117" s="17"/>
      <c r="N2117" s="17"/>
      <c r="O2117" s="17"/>
      <c r="P2117" s="59" t="s">
        <v>7515</v>
      </c>
      <c r="Q2117" s="12"/>
      <c r="R2117" s="12"/>
      <c r="S2117" s="12"/>
      <c r="T2117" s="12"/>
      <c r="U2117" s="12"/>
      <c r="V2117" s="12"/>
      <c r="Z2117" s="12"/>
      <c r="AA2117" s="12" t="n">
        <v>5</v>
      </c>
      <c r="AB2117" s="12"/>
      <c r="AC2117" s="12"/>
      <c r="AD2117" s="12"/>
      <c r="AE2117" s="12"/>
    </row>
    <row r="2118" customFormat="false" ht="15.75" hidden="false" customHeight="false" outlineLevel="0" collapsed="false">
      <c r="A2118" s="12" t="str">
        <f aca="false">IF((AA2118&gt;=4), "Y", "N")</f>
        <v>Y</v>
      </c>
      <c r="B2118" s="74"/>
      <c r="C2118" s="26" t="s">
        <v>7760</v>
      </c>
      <c r="D2118" s="24"/>
      <c r="E2118" s="17"/>
      <c r="F2118" s="17"/>
      <c r="G2118" s="17"/>
      <c r="H2118" s="17"/>
      <c r="I2118" s="26" t="s">
        <v>209</v>
      </c>
      <c r="J2118" s="32"/>
      <c r="K2118" s="17"/>
      <c r="L2118" s="38"/>
      <c r="M2118" s="17"/>
      <c r="N2118" s="17"/>
      <c r="O2118" s="17"/>
      <c r="P2118" s="59" t="s">
        <v>7515</v>
      </c>
      <c r="Q2118" s="12"/>
      <c r="R2118" s="12"/>
      <c r="S2118" s="12"/>
      <c r="T2118" s="12"/>
      <c r="U2118" s="12"/>
      <c r="V2118" s="12"/>
      <c r="Z2118" s="12"/>
      <c r="AA2118" s="12" t="n">
        <v>5</v>
      </c>
      <c r="AB2118" s="12"/>
      <c r="AC2118" s="12"/>
      <c r="AD2118" s="12"/>
      <c r="AE2118" s="12"/>
    </row>
    <row r="2119" customFormat="false" ht="15.75" hidden="false" customHeight="false" outlineLevel="0" collapsed="false">
      <c r="A2119" s="12" t="str">
        <f aca="false">IF((AA2119&gt;=4), "Y", "N")</f>
        <v>Y</v>
      </c>
      <c r="B2119" s="74"/>
      <c r="C2119" s="26" t="s">
        <v>7761</v>
      </c>
      <c r="D2119" s="24"/>
      <c r="E2119" s="17"/>
      <c r="F2119" s="17"/>
      <c r="G2119" s="17"/>
      <c r="H2119" s="17"/>
      <c r="I2119" s="26" t="s">
        <v>209</v>
      </c>
      <c r="J2119" s="32"/>
      <c r="K2119" s="17"/>
      <c r="L2119" s="38"/>
      <c r="M2119" s="17"/>
      <c r="N2119" s="17"/>
      <c r="O2119" s="17"/>
      <c r="P2119" s="59" t="s">
        <v>7515</v>
      </c>
      <c r="Q2119" s="12"/>
      <c r="R2119" s="12"/>
      <c r="S2119" s="12"/>
      <c r="T2119" s="12"/>
      <c r="U2119" s="12"/>
      <c r="V2119" s="12"/>
      <c r="Z2119" s="12"/>
      <c r="AA2119" s="12" t="n">
        <v>5</v>
      </c>
      <c r="AB2119" s="12"/>
      <c r="AC2119" s="12"/>
      <c r="AD2119" s="12"/>
      <c r="AE2119" s="12"/>
    </row>
    <row r="2120" customFormat="false" ht="15.75" hidden="false" customHeight="false" outlineLevel="0" collapsed="false">
      <c r="A2120" s="12" t="str">
        <f aca="false">IF((AA2120&gt;=4), "Y", "N")</f>
        <v>Y</v>
      </c>
      <c r="B2120" s="74"/>
      <c r="C2120" s="26" t="s">
        <v>7762</v>
      </c>
      <c r="D2120" s="24"/>
      <c r="E2120" s="17"/>
      <c r="F2120" s="17"/>
      <c r="G2120" s="17"/>
      <c r="H2120" s="17"/>
      <c r="I2120" s="26" t="s">
        <v>209</v>
      </c>
      <c r="J2120" s="32"/>
      <c r="K2120" s="17"/>
      <c r="L2120" s="38"/>
      <c r="M2120" s="17"/>
      <c r="N2120" s="17"/>
      <c r="O2120" s="17"/>
      <c r="P2120" s="59" t="s">
        <v>7515</v>
      </c>
      <c r="Q2120" s="12"/>
      <c r="R2120" s="12"/>
      <c r="S2120" s="12"/>
      <c r="T2120" s="12"/>
      <c r="U2120" s="12"/>
      <c r="V2120" s="12"/>
      <c r="Z2120" s="12"/>
      <c r="AA2120" s="12" t="n">
        <v>5</v>
      </c>
      <c r="AB2120" s="12"/>
      <c r="AC2120" s="12"/>
      <c r="AD2120" s="12"/>
      <c r="AE2120" s="12"/>
    </row>
    <row r="2121" customFormat="false" ht="15.75" hidden="false" customHeight="false" outlineLevel="0" collapsed="false">
      <c r="A2121" s="12" t="str">
        <f aca="false">IF((AA2121&gt;=4), "Y", "N")</f>
        <v>Y</v>
      </c>
      <c r="B2121" s="74"/>
      <c r="C2121" s="26" t="s">
        <v>7763</v>
      </c>
      <c r="D2121" s="24"/>
      <c r="E2121" s="17"/>
      <c r="F2121" s="17"/>
      <c r="G2121" s="17"/>
      <c r="H2121" s="17"/>
      <c r="I2121" s="26" t="s">
        <v>209</v>
      </c>
      <c r="J2121" s="32"/>
      <c r="K2121" s="17"/>
      <c r="L2121" s="38"/>
      <c r="M2121" s="17"/>
      <c r="N2121" s="17"/>
      <c r="O2121" s="17"/>
      <c r="P2121" s="59" t="s">
        <v>7515</v>
      </c>
      <c r="Q2121" s="12"/>
      <c r="R2121" s="12"/>
      <c r="S2121" s="12"/>
      <c r="T2121" s="12"/>
      <c r="U2121" s="12"/>
      <c r="V2121" s="12"/>
      <c r="Z2121" s="12"/>
      <c r="AA2121" s="12" t="n">
        <v>5</v>
      </c>
      <c r="AB2121" s="12"/>
      <c r="AC2121" s="12"/>
      <c r="AD2121" s="12"/>
      <c r="AE2121" s="12"/>
    </row>
    <row r="2122" customFormat="false" ht="15.75" hidden="false" customHeight="false" outlineLevel="0" collapsed="false">
      <c r="A2122" s="12" t="str">
        <f aca="false">IF((AA2122&gt;=4), "Y", "N")</f>
        <v>Y</v>
      </c>
      <c r="B2122" s="74"/>
      <c r="C2122" s="125" t="s">
        <v>7764</v>
      </c>
      <c r="D2122" s="24"/>
      <c r="E2122" s="17"/>
      <c r="F2122" s="17"/>
      <c r="G2122" s="17"/>
      <c r="H2122" s="17"/>
      <c r="I2122" s="26" t="s">
        <v>209</v>
      </c>
      <c r="J2122" s="32"/>
      <c r="K2122" s="17"/>
      <c r="L2122" s="38"/>
      <c r="M2122" s="17"/>
      <c r="N2122" s="17"/>
      <c r="O2122" s="17"/>
      <c r="P2122" s="59" t="s">
        <v>7515</v>
      </c>
      <c r="Q2122" s="12"/>
      <c r="R2122" s="12"/>
      <c r="S2122" s="12"/>
      <c r="T2122" s="12"/>
      <c r="U2122" s="12"/>
      <c r="V2122" s="12"/>
      <c r="Z2122" s="12"/>
      <c r="AA2122" s="12" t="n">
        <v>5</v>
      </c>
      <c r="AB2122" s="12"/>
      <c r="AC2122" s="12"/>
      <c r="AD2122" s="12"/>
      <c r="AE2122" s="12"/>
    </row>
    <row r="2123" customFormat="false" ht="15.75" hidden="false" customHeight="false" outlineLevel="0" collapsed="false">
      <c r="A2123" s="12" t="str">
        <f aca="false">IF((AA2123&gt;=4), "Y", "N")</f>
        <v>Y</v>
      </c>
      <c r="B2123" s="74"/>
      <c r="C2123" s="26" t="s">
        <v>7765</v>
      </c>
      <c r="D2123" s="24"/>
      <c r="E2123" s="17"/>
      <c r="F2123" s="17"/>
      <c r="G2123" s="17"/>
      <c r="H2123" s="17"/>
      <c r="I2123" s="26" t="s">
        <v>209</v>
      </c>
      <c r="J2123" s="32"/>
      <c r="K2123" s="17"/>
      <c r="L2123" s="38"/>
      <c r="M2123" s="17"/>
      <c r="N2123" s="17"/>
      <c r="O2123" s="17"/>
      <c r="P2123" s="59" t="s">
        <v>7515</v>
      </c>
      <c r="Q2123" s="12"/>
      <c r="R2123" s="12"/>
      <c r="S2123" s="12"/>
      <c r="T2123" s="12"/>
      <c r="U2123" s="12"/>
      <c r="V2123" s="12"/>
      <c r="Z2123" s="12"/>
      <c r="AA2123" s="12" t="n">
        <v>5</v>
      </c>
      <c r="AB2123" s="12"/>
      <c r="AC2123" s="12"/>
      <c r="AD2123" s="12"/>
      <c r="AE2123" s="12"/>
    </row>
    <row r="2124" customFormat="false" ht="15.75" hidden="false" customHeight="false" outlineLevel="0" collapsed="false">
      <c r="A2124" s="12" t="str">
        <f aca="false">IF((AA2124&gt;=4), "Y", "N")</f>
        <v>Y</v>
      </c>
      <c r="B2124" s="74"/>
      <c r="C2124" s="26" t="s">
        <v>7766</v>
      </c>
      <c r="D2124" s="24"/>
      <c r="E2124" s="17"/>
      <c r="F2124" s="17"/>
      <c r="G2124" s="17"/>
      <c r="H2124" s="17"/>
      <c r="I2124" s="26" t="s">
        <v>209</v>
      </c>
      <c r="J2124" s="32"/>
      <c r="K2124" s="17"/>
      <c r="L2124" s="38"/>
      <c r="M2124" s="17"/>
      <c r="N2124" s="17"/>
      <c r="O2124" s="17"/>
      <c r="P2124" s="59" t="s">
        <v>7515</v>
      </c>
      <c r="Q2124" s="12"/>
      <c r="R2124" s="12"/>
      <c r="S2124" s="12"/>
      <c r="T2124" s="12"/>
      <c r="U2124" s="12"/>
      <c r="V2124" s="12"/>
      <c r="Z2124" s="12"/>
      <c r="AA2124" s="12" t="n">
        <v>5</v>
      </c>
      <c r="AB2124" s="12"/>
      <c r="AC2124" s="12"/>
      <c r="AD2124" s="12"/>
      <c r="AE2124" s="12"/>
    </row>
    <row r="2125" customFormat="false" ht="15.75" hidden="false" customHeight="false" outlineLevel="0" collapsed="false">
      <c r="A2125" s="12" t="str">
        <f aca="false">IF((AA2125&gt;=4), "Y", "N")</f>
        <v>Y</v>
      </c>
      <c r="B2125" s="74"/>
      <c r="C2125" s="26" t="s">
        <v>7767</v>
      </c>
      <c r="D2125" s="24"/>
      <c r="E2125" s="17"/>
      <c r="F2125" s="17"/>
      <c r="G2125" s="17"/>
      <c r="H2125" s="17"/>
      <c r="I2125" s="26" t="s">
        <v>209</v>
      </c>
      <c r="J2125" s="32"/>
      <c r="K2125" s="17"/>
      <c r="L2125" s="38"/>
      <c r="M2125" s="17"/>
      <c r="N2125" s="17"/>
      <c r="O2125" s="17"/>
      <c r="P2125" s="59" t="s">
        <v>7515</v>
      </c>
      <c r="Q2125" s="12"/>
      <c r="R2125" s="12"/>
      <c r="S2125" s="12"/>
      <c r="T2125" s="12"/>
      <c r="U2125" s="12"/>
      <c r="V2125" s="12"/>
      <c r="Z2125" s="12"/>
      <c r="AA2125" s="12" t="n">
        <v>5</v>
      </c>
      <c r="AB2125" s="12"/>
      <c r="AC2125" s="12"/>
      <c r="AD2125" s="12"/>
      <c r="AE2125" s="12"/>
    </row>
    <row r="2126" customFormat="false" ht="15.75" hidden="false" customHeight="false" outlineLevel="0" collapsed="false">
      <c r="A2126" s="12" t="str">
        <f aca="false">IF((AA2126&gt;=4), "Y", "N")</f>
        <v>Y</v>
      </c>
      <c r="B2126" s="74"/>
      <c r="C2126" s="26" t="s">
        <v>7768</v>
      </c>
      <c r="D2126" s="24"/>
      <c r="E2126" s="17"/>
      <c r="F2126" s="17"/>
      <c r="G2126" s="17"/>
      <c r="H2126" s="17"/>
      <c r="I2126" s="26" t="s">
        <v>209</v>
      </c>
      <c r="J2126" s="32"/>
      <c r="K2126" s="17"/>
      <c r="L2126" s="38"/>
      <c r="M2126" s="17"/>
      <c r="N2126" s="17"/>
      <c r="O2126" s="17"/>
      <c r="P2126" s="59" t="s">
        <v>7515</v>
      </c>
      <c r="Q2126" s="12"/>
      <c r="R2126" s="12"/>
      <c r="S2126" s="12"/>
      <c r="T2126" s="12"/>
      <c r="U2126" s="12"/>
      <c r="V2126" s="12"/>
      <c r="Z2126" s="12"/>
      <c r="AA2126" s="12" t="n">
        <v>5</v>
      </c>
      <c r="AB2126" s="12"/>
      <c r="AC2126" s="12"/>
      <c r="AD2126" s="12"/>
      <c r="AE2126" s="12"/>
    </row>
    <row r="2127" customFormat="false" ht="15.75" hidden="false" customHeight="false" outlineLevel="0" collapsed="false">
      <c r="A2127" s="12" t="str">
        <f aca="false">IF((AA2127&gt;=4), "Y", "N")</f>
        <v>Y</v>
      </c>
      <c r="B2127" s="74"/>
      <c r="C2127" s="26" t="s">
        <v>7769</v>
      </c>
      <c r="D2127" s="24"/>
      <c r="E2127" s="17"/>
      <c r="F2127" s="17"/>
      <c r="G2127" s="17"/>
      <c r="H2127" s="17"/>
      <c r="I2127" s="26" t="s">
        <v>209</v>
      </c>
      <c r="J2127" s="32"/>
      <c r="K2127" s="17"/>
      <c r="L2127" s="38"/>
      <c r="M2127" s="17"/>
      <c r="N2127" s="17"/>
      <c r="O2127" s="17"/>
      <c r="P2127" s="59" t="s">
        <v>7515</v>
      </c>
      <c r="Q2127" s="12"/>
      <c r="R2127" s="12"/>
      <c r="S2127" s="12"/>
      <c r="T2127" s="12"/>
      <c r="U2127" s="12"/>
      <c r="V2127" s="12"/>
      <c r="Z2127" s="12"/>
      <c r="AA2127" s="12" t="n">
        <v>5</v>
      </c>
      <c r="AB2127" s="12"/>
      <c r="AC2127" s="12"/>
      <c r="AD2127" s="12"/>
      <c r="AE2127" s="12"/>
    </row>
    <row r="2128" customFormat="false" ht="15.75" hidden="false" customHeight="false" outlineLevel="0" collapsed="false">
      <c r="A2128" s="12" t="str">
        <f aca="false">IF((AA2128&gt;=4), "Y", "N")</f>
        <v>Y</v>
      </c>
      <c r="B2128" s="74"/>
      <c r="C2128" s="26" t="s">
        <v>7770</v>
      </c>
      <c r="D2128" s="24"/>
      <c r="E2128" s="17"/>
      <c r="F2128" s="17"/>
      <c r="G2128" s="17"/>
      <c r="H2128" s="17"/>
      <c r="I2128" s="26" t="s">
        <v>209</v>
      </c>
      <c r="J2128" s="32"/>
      <c r="K2128" s="17"/>
      <c r="L2128" s="38"/>
      <c r="M2128" s="17"/>
      <c r="N2128" s="17"/>
      <c r="O2128" s="17"/>
      <c r="P2128" s="59" t="s">
        <v>7515</v>
      </c>
      <c r="Q2128" s="12"/>
      <c r="R2128" s="12"/>
      <c r="S2128" s="12"/>
      <c r="T2128" s="12"/>
      <c r="U2128" s="12"/>
      <c r="V2128" s="12"/>
      <c r="Z2128" s="12"/>
      <c r="AA2128" s="12" t="n">
        <v>5</v>
      </c>
      <c r="AB2128" s="12"/>
      <c r="AC2128" s="12"/>
      <c r="AD2128" s="12"/>
      <c r="AE2128" s="12"/>
    </row>
    <row r="2129" customFormat="false" ht="15.75" hidden="false" customHeight="false" outlineLevel="0" collapsed="false">
      <c r="A2129" s="12" t="str">
        <f aca="false">IF((AA2129&gt;=4), "Y", "N")</f>
        <v>Y</v>
      </c>
      <c r="B2129" s="74"/>
      <c r="C2129" s="26" t="s">
        <v>7771</v>
      </c>
      <c r="D2129" s="24"/>
      <c r="E2129" s="17"/>
      <c r="F2129" s="17"/>
      <c r="G2129" s="17"/>
      <c r="H2129" s="17"/>
      <c r="I2129" s="26" t="s">
        <v>209</v>
      </c>
      <c r="J2129" s="32"/>
      <c r="K2129" s="17"/>
      <c r="L2129" s="38"/>
      <c r="M2129" s="17"/>
      <c r="N2129" s="17"/>
      <c r="O2129" s="17"/>
      <c r="P2129" s="59" t="s">
        <v>7515</v>
      </c>
      <c r="Q2129" s="12"/>
      <c r="R2129" s="12"/>
      <c r="S2129" s="12"/>
      <c r="T2129" s="12"/>
      <c r="U2129" s="12"/>
      <c r="V2129" s="12"/>
      <c r="Z2129" s="12"/>
      <c r="AA2129" s="12" t="n">
        <v>5</v>
      </c>
      <c r="AB2129" s="12"/>
      <c r="AC2129" s="12"/>
      <c r="AD2129" s="12"/>
      <c r="AE2129" s="12"/>
    </row>
    <row r="2130" customFormat="false" ht="15.75" hidden="false" customHeight="false" outlineLevel="0" collapsed="false">
      <c r="A2130" s="12" t="str">
        <f aca="false">IF((AA2130&gt;=4), "Y", "N")</f>
        <v>Y</v>
      </c>
      <c r="B2130" s="74"/>
      <c r="C2130" s="26" t="s">
        <v>7772</v>
      </c>
      <c r="D2130" s="24"/>
      <c r="E2130" s="17"/>
      <c r="F2130" s="17"/>
      <c r="G2130" s="17"/>
      <c r="H2130" s="17"/>
      <c r="I2130" s="26" t="s">
        <v>209</v>
      </c>
      <c r="J2130" s="32"/>
      <c r="K2130" s="17"/>
      <c r="L2130" s="38"/>
      <c r="M2130" s="17"/>
      <c r="N2130" s="17"/>
      <c r="O2130" s="17"/>
      <c r="P2130" s="59" t="s">
        <v>7515</v>
      </c>
      <c r="Q2130" s="12"/>
      <c r="R2130" s="12"/>
      <c r="S2130" s="12"/>
      <c r="T2130" s="12"/>
      <c r="U2130" s="12"/>
      <c r="V2130" s="12"/>
      <c r="Z2130" s="12"/>
      <c r="AA2130" s="12" t="n">
        <v>5</v>
      </c>
      <c r="AB2130" s="12"/>
      <c r="AC2130" s="12"/>
      <c r="AD2130" s="12"/>
      <c r="AE2130" s="12"/>
    </row>
    <row r="2131" customFormat="false" ht="15.75" hidden="false" customHeight="false" outlineLevel="0" collapsed="false">
      <c r="A2131" s="12" t="str">
        <f aca="false">IF((AA2131&gt;=4), "Y", "N")</f>
        <v>Y</v>
      </c>
      <c r="B2131" s="74"/>
      <c r="C2131" s="26" t="s">
        <v>7773</v>
      </c>
      <c r="D2131" s="24"/>
      <c r="E2131" s="17"/>
      <c r="F2131" s="17"/>
      <c r="G2131" s="17"/>
      <c r="H2131" s="17"/>
      <c r="I2131" s="26" t="s">
        <v>209</v>
      </c>
      <c r="J2131" s="32"/>
      <c r="K2131" s="17"/>
      <c r="L2131" s="38"/>
      <c r="M2131" s="17"/>
      <c r="N2131" s="17"/>
      <c r="O2131" s="17"/>
      <c r="P2131" s="59" t="s">
        <v>7515</v>
      </c>
      <c r="Q2131" s="12"/>
      <c r="R2131" s="12"/>
      <c r="S2131" s="12"/>
      <c r="T2131" s="12"/>
      <c r="U2131" s="12"/>
      <c r="V2131" s="12"/>
      <c r="Z2131" s="12"/>
      <c r="AA2131" s="12" t="n">
        <v>5</v>
      </c>
      <c r="AB2131" s="12"/>
      <c r="AC2131" s="12"/>
      <c r="AD2131" s="12"/>
      <c r="AE2131" s="12"/>
    </row>
    <row r="2132" customFormat="false" ht="15.75" hidden="false" customHeight="false" outlineLevel="0" collapsed="false">
      <c r="A2132" s="12" t="str">
        <f aca="false">IF((AA2132&gt;=4), "Y", "N")</f>
        <v>Y</v>
      </c>
      <c r="B2132" s="74"/>
      <c r="C2132" s="26" t="s">
        <v>7774</v>
      </c>
      <c r="D2132" s="24"/>
      <c r="E2132" s="17"/>
      <c r="F2132" s="17"/>
      <c r="G2132" s="17"/>
      <c r="H2132" s="17"/>
      <c r="I2132" s="26" t="s">
        <v>209</v>
      </c>
      <c r="J2132" s="32"/>
      <c r="K2132" s="17"/>
      <c r="L2132" s="38"/>
      <c r="M2132" s="17"/>
      <c r="N2132" s="17"/>
      <c r="O2132" s="17"/>
      <c r="P2132" s="59" t="s">
        <v>7515</v>
      </c>
      <c r="Q2132" s="12"/>
      <c r="R2132" s="12"/>
      <c r="S2132" s="12"/>
      <c r="T2132" s="12"/>
      <c r="U2132" s="12"/>
      <c r="V2132" s="12"/>
      <c r="Z2132" s="12"/>
      <c r="AA2132" s="12" t="n">
        <v>5</v>
      </c>
      <c r="AB2132" s="12"/>
      <c r="AC2132" s="12"/>
      <c r="AD2132" s="12"/>
      <c r="AE2132" s="12"/>
    </row>
    <row r="2133" customFormat="false" ht="15.75" hidden="false" customHeight="false" outlineLevel="0" collapsed="false">
      <c r="A2133" s="12" t="str">
        <f aca="false">IF((AA2133&gt;=4), "Y", "N")</f>
        <v>Y</v>
      </c>
      <c r="B2133" s="74"/>
      <c r="C2133" s="26" t="s">
        <v>7775</v>
      </c>
      <c r="D2133" s="24"/>
      <c r="E2133" s="17"/>
      <c r="F2133" s="17"/>
      <c r="G2133" s="17"/>
      <c r="H2133" s="17"/>
      <c r="I2133" s="26" t="s">
        <v>209</v>
      </c>
      <c r="J2133" s="32"/>
      <c r="K2133" s="17"/>
      <c r="L2133" s="38"/>
      <c r="M2133" s="17"/>
      <c r="N2133" s="17"/>
      <c r="O2133" s="17"/>
      <c r="P2133" s="59" t="s">
        <v>7515</v>
      </c>
      <c r="Q2133" s="12"/>
      <c r="R2133" s="12"/>
      <c r="S2133" s="12"/>
      <c r="T2133" s="12"/>
      <c r="U2133" s="12"/>
      <c r="V2133" s="12"/>
      <c r="Z2133" s="12"/>
      <c r="AA2133" s="12" t="n">
        <v>5</v>
      </c>
      <c r="AB2133" s="12"/>
      <c r="AC2133" s="12"/>
      <c r="AD2133" s="12"/>
      <c r="AE2133" s="12"/>
    </row>
    <row r="2134" customFormat="false" ht="15.75" hidden="false" customHeight="false" outlineLevel="0" collapsed="false">
      <c r="A2134" s="12" t="str">
        <f aca="false">IF((AA2134&gt;=4), "Y", "N")</f>
        <v>Y</v>
      </c>
      <c r="B2134" s="74"/>
      <c r="C2134" s="26" t="s">
        <v>7776</v>
      </c>
      <c r="D2134" s="24"/>
      <c r="E2134" s="17"/>
      <c r="F2134" s="17"/>
      <c r="G2134" s="17"/>
      <c r="H2134" s="17"/>
      <c r="I2134" s="26" t="s">
        <v>209</v>
      </c>
      <c r="J2134" s="32"/>
      <c r="K2134" s="17"/>
      <c r="L2134" s="38"/>
      <c r="M2134" s="17"/>
      <c r="N2134" s="17"/>
      <c r="O2134" s="17"/>
      <c r="P2134" s="59" t="s">
        <v>7515</v>
      </c>
      <c r="Q2134" s="12"/>
      <c r="R2134" s="12"/>
      <c r="S2134" s="12"/>
      <c r="T2134" s="12"/>
      <c r="U2134" s="12"/>
      <c r="V2134" s="12"/>
      <c r="Z2134" s="12"/>
      <c r="AA2134" s="12" t="n">
        <v>5</v>
      </c>
      <c r="AB2134" s="12"/>
      <c r="AC2134" s="12"/>
      <c r="AD2134" s="12"/>
      <c r="AE2134" s="12"/>
    </row>
    <row r="2135" customFormat="false" ht="15.75" hidden="false" customHeight="false" outlineLevel="0" collapsed="false">
      <c r="A2135" s="12" t="str">
        <f aca="false">IF((AA2135&gt;=4), "Y", "N")</f>
        <v>Y</v>
      </c>
      <c r="B2135" s="74"/>
      <c r="C2135" s="26" t="s">
        <v>7777</v>
      </c>
      <c r="D2135" s="24"/>
      <c r="E2135" s="17"/>
      <c r="F2135" s="17"/>
      <c r="G2135" s="17"/>
      <c r="H2135" s="17"/>
      <c r="I2135" s="26" t="s">
        <v>209</v>
      </c>
      <c r="J2135" s="32"/>
      <c r="K2135" s="17"/>
      <c r="L2135" s="38"/>
      <c r="M2135" s="17"/>
      <c r="N2135" s="17"/>
      <c r="O2135" s="17"/>
      <c r="P2135" s="59" t="s">
        <v>7515</v>
      </c>
      <c r="Q2135" s="12"/>
      <c r="R2135" s="12"/>
      <c r="S2135" s="12"/>
      <c r="T2135" s="12"/>
      <c r="U2135" s="12"/>
      <c r="V2135" s="12"/>
      <c r="Z2135" s="12"/>
      <c r="AA2135" s="12" t="n">
        <v>5</v>
      </c>
      <c r="AB2135" s="12"/>
      <c r="AC2135" s="12"/>
      <c r="AD2135" s="12"/>
      <c r="AE2135" s="12"/>
    </row>
    <row r="2136" customFormat="false" ht="15.75" hidden="false" customHeight="false" outlineLevel="0" collapsed="false">
      <c r="A2136" s="12" t="str">
        <f aca="false">IF((AA2136&gt;=4), "Y", "N")</f>
        <v>Y</v>
      </c>
      <c r="B2136" s="74"/>
      <c r="C2136" s="26" t="s">
        <v>7778</v>
      </c>
      <c r="D2136" s="24"/>
      <c r="E2136" s="17"/>
      <c r="F2136" s="17"/>
      <c r="G2136" s="17"/>
      <c r="H2136" s="17"/>
      <c r="I2136" s="26" t="s">
        <v>209</v>
      </c>
      <c r="J2136" s="32"/>
      <c r="K2136" s="17"/>
      <c r="L2136" s="38"/>
      <c r="M2136" s="17"/>
      <c r="N2136" s="17"/>
      <c r="O2136" s="17"/>
      <c r="P2136" s="59" t="s">
        <v>7515</v>
      </c>
      <c r="Q2136" s="12"/>
      <c r="R2136" s="12"/>
      <c r="S2136" s="12"/>
      <c r="T2136" s="12"/>
      <c r="U2136" s="12"/>
      <c r="V2136" s="12"/>
      <c r="Z2136" s="12"/>
      <c r="AA2136" s="12" t="n">
        <v>5</v>
      </c>
      <c r="AB2136" s="12"/>
      <c r="AC2136" s="12"/>
      <c r="AD2136" s="12"/>
      <c r="AE2136" s="12"/>
    </row>
    <row r="2137" customFormat="false" ht="15.75" hidden="false" customHeight="false" outlineLevel="0" collapsed="false">
      <c r="A2137" s="12" t="str">
        <f aca="false">IF((AA2137&gt;=4), "Y", "N")</f>
        <v>Y</v>
      </c>
      <c r="B2137" s="74"/>
      <c r="C2137" s="26" t="s">
        <v>7779</v>
      </c>
      <c r="D2137" s="24"/>
      <c r="E2137" s="17"/>
      <c r="F2137" s="17"/>
      <c r="G2137" s="17"/>
      <c r="H2137" s="17"/>
      <c r="I2137" s="26" t="s">
        <v>209</v>
      </c>
      <c r="J2137" s="32"/>
      <c r="K2137" s="17"/>
      <c r="L2137" s="38"/>
      <c r="M2137" s="17"/>
      <c r="N2137" s="17"/>
      <c r="O2137" s="17"/>
      <c r="P2137" s="59" t="s">
        <v>7515</v>
      </c>
      <c r="Q2137" s="12"/>
      <c r="R2137" s="12"/>
      <c r="S2137" s="12"/>
      <c r="T2137" s="12"/>
      <c r="U2137" s="12"/>
      <c r="V2137" s="12"/>
      <c r="Z2137" s="12"/>
      <c r="AA2137" s="12" t="n">
        <v>5</v>
      </c>
      <c r="AB2137" s="12"/>
      <c r="AC2137" s="12"/>
      <c r="AD2137" s="12"/>
      <c r="AE2137" s="12"/>
    </row>
    <row r="2138" customFormat="false" ht="15.75" hidden="false" customHeight="false" outlineLevel="0" collapsed="false">
      <c r="A2138" s="12" t="str">
        <f aca="false">IF((AA2138&gt;=4), "Y", "N")</f>
        <v>Y</v>
      </c>
      <c r="B2138" s="74"/>
      <c r="C2138" s="26" t="s">
        <v>7780</v>
      </c>
      <c r="D2138" s="24"/>
      <c r="E2138" s="17"/>
      <c r="F2138" s="17"/>
      <c r="G2138" s="17"/>
      <c r="H2138" s="17"/>
      <c r="I2138" s="26" t="s">
        <v>209</v>
      </c>
      <c r="J2138" s="32"/>
      <c r="K2138" s="17"/>
      <c r="L2138" s="38"/>
      <c r="M2138" s="17"/>
      <c r="N2138" s="17"/>
      <c r="O2138" s="17"/>
      <c r="P2138" s="59" t="s">
        <v>7515</v>
      </c>
      <c r="Q2138" s="12"/>
      <c r="R2138" s="12"/>
      <c r="S2138" s="12"/>
      <c r="T2138" s="12"/>
      <c r="U2138" s="12"/>
      <c r="V2138" s="12"/>
      <c r="Z2138" s="12"/>
      <c r="AA2138" s="12" t="n">
        <v>5</v>
      </c>
      <c r="AB2138" s="12"/>
      <c r="AC2138" s="12"/>
      <c r="AD2138" s="12"/>
      <c r="AE2138" s="12"/>
    </row>
    <row r="2139" customFormat="false" ht="15.75" hidden="false" customHeight="false" outlineLevel="0" collapsed="false">
      <c r="A2139" s="12" t="str">
        <f aca="false">IF((AA2139&gt;=4), "Y", "N")</f>
        <v>Y</v>
      </c>
      <c r="B2139" s="74"/>
      <c r="C2139" s="26" t="s">
        <v>7781</v>
      </c>
      <c r="D2139" s="24"/>
      <c r="E2139" s="17"/>
      <c r="F2139" s="17"/>
      <c r="G2139" s="17"/>
      <c r="H2139" s="17"/>
      <c r="I2139" s="26" t="s">
        <v>209</v>
      </c>
      <c r="J2139" s="32"/>
      <c r="K2139" s="17"/>
      <c r="L2139" s="38"/>
      <c r="M2139" s="17"/>
      <c r="N2139" s="17"/>
      <c r="O2139" s="17"/>
      <c r="P2139" s="59" t="s">
        <v>7515</v>
      </c>
      <c r="Q2139" s="12"/>
      <c r="R2139" s="12"/>
      <c r="S2139" s="12"/>
      <c r="T2139" s="12"/>
      <c r="U2139" s="12"/>
      <c r="V2139" s="12"/>
      <c r="Z2139" s="12"/>
      <c r="AA2139" s="12" t="n">
        <v>5</v>
      </c>
      <c r="AB2139" s="12"/>
      <c r="AC2139" s="12"/>
      <c r="AD2139" s="12"/>
      <c r="AE2139" s="12"/>
    </row>
    <row r="2140" customFormat="false" ht="15.75" hidden="false" customHeight="false" outlineLevel="0" collapsed="false">
      <c r="A2140" s="12" t="str">
        <f aca="false">IF((AA2140&gt;=4), "Y", "N")</f>
        <v>Y</v>
      </c>
      <c r="B2140" s="74"/>
      <c r="C2140" s="26" t="s">
        <v>7782</v>
      </c>
      <c r="D2140" s="24"/>
      <c r="E2140" s="17"/>
      <c r="F2140" s="17"/>
      <c r="G2140" s="17"/>
      <c r="H2140" s="17"/>
      <c r="I2140" s="26" t="s">
        <v>209</v>
      </c>
      <c r="J2140" s="32"/>
      <c r="K2140" s="17"/>
      <c r="L2140" s="38"/>
      <c r="M2140" s="17"/>
      <c r="N2140" s="17"/>
      <c r="O2140" s="17"/>
      <c r="P2140" s="59" t="s">
        <v>7515</v>
      </c>
      <c r="Q2140" s="12"/>
      <c r="R2140" s="12"/>
      <c r="S2140" s="12"/>
      <c r="T2140" s="12"/>
      <c r="U2140" s="12"/>
      <c r="V2140" s="12"/>
      <c r="Z2140" s="12"/>
      <c r="AA2140" s="12" t="n">
        <v>5</v>
      </c>
      <c r="AB2140" s="12"/>
      <c r="AC2140" s="12"/>
      <c r="AD2140" s="12"/>
      <c r="AE2140" s="12"/>
    </row>
    <row r="2141" customFormat="false" ht="15.75" hidden="false" customHeight="false" outlineLevel="0" collapsed="false">
      <c r="A2141" s="12" t="str">
        <f aca="false">IF((AA2141&gt;=4), "Y", "N")</f>
        <v>Y</v>
      </c>
      <c r="B2141" s="74"/>
      <c r="C2141" s="26" t="s">
        <v>7783</v>
      </c>
      <c r="D2141" s="24"/>
      <c r="E2141" s="17"/>
      <c r="F2141" s="17"/>
      <c r="G2141" s="17"/>
      <c r="H2141" s="17"/>
      <c r="I2141" s="26" t="s">
        <v>209</v>
      </c>
      <c r="J2141" s="32"/>
      <c r="K2141" s="17"/>
      <c r="L2141" s="38"/>
      <c r="M2141" s="17"/>
      <c r="N2141" s="17"/>
      <c r="O2141" s="17"/>
      <c r="P2141" s="59" t="s">
        <v>7515</v>
      </c>
      <c r="Q2141" s="12"/>
      <c r="R2141" s="12"/>
      <c r="S2141" s="12"/>
      <c r="T2141" s="12"/>
      <c r="U2141" s="12"/>
      <c r="V2141" s="12"/>
      <c r="Z2141" s="12"/>
      <c r="AA2141" s="12" t="n">
        <v>5</v>
      </c>
      <c r="AB2141" s="12"/>
      <c r="AC2141" s="12"/>
      <c r="AD2141" s="12"/>
      <c r="AE2141" s="12"/>
    </row>
    <row r="2142" customFormat="false" ht="15.75" hidden="false" customHeight="false" outlineLevel="0" collapsed="false">
      <c r="A2142" s="12" t="str">
        <f aca="false">IF((AA2142&gt;=4), "Y", "N")</f>
        <v>Y</v>
      </c>
      <c r="B2142" s="74"/>
      <c r="C2142" s="26" t="s">
        <v>7784</v>
      </c>
      <c r="D2142" s="24"/>
      <c r="E2142" s="17"/>
      <c r="F2142" s="17"/>
      <c r="G2142" s="17"/>
      <c r="H2142" s="17"/>
      <c r="I2142" s="26" t="s">
        <v>209</v>
      </c>
      <c r="J2142" s="32"/>
      <c r="K2142" s="17"/>
      <c r="L2142" s="38"/>
      <c r="M2142" s="17"/>
      <c r="N2142" s="17"/>
      <c r="O2142" s="17"/>
      <c r="P2142" s="59" t="s">
        <v>7515</v>
      </c>
      <c r="Q2142" s="12"/>
      <c r="R2142" s="12"/>
      <c r="S2142" s="12"/>
      <c r="T2142" s="12"/>
      <c r="U2142" s="12"/>
      <c r="V2142" s="12"/>
      <c r="Z2142" s="12"/>
      <c r="AA2142" s="12" t="n">
        <v>5</v>
      </c>
      <c r="AB2142" s="12"/>
      <c r="AC2142" s="12"/>
      <c r="AD2142" s="12"/>
      <c r="AE2142" s="12"/>
    </row>
    <row r="2143" customFormat="false" ht="15.75" hidden="false" customHeight="false" outlineLevel="0" collapsed="false">
      <c r="A2143" s="12" t="str">
        <f aca="false">IF((AA2143&gt;=4), "Y", "N")</f>
        <v>Y</v>
      </c>
      <c r="B2143" s="74"/>
      <c r="C2143" s="26" t="s">
        <v>7785</v>
      </c>
      <c r="D2143" s="24"/>
      <c r="E2143" s="17"/>
      <c r="F2143" s="17"/>
      <c r="G2143" s="17"/>
      <c r="H2143" s="17"/>
      <c r="I2143" s="26" t="s">
        <v>209</v>
      </c>
      <c r="J2143" s="32"/>
      <c r="K2143" s="17"/>
      <c r="L2143" s="38"/>
      <c r="M2143" s="17"/>
      <c r="N2143" s="17"/>
      <c r="O2143" s="17"/>
      <c r="P2143" s="59" t="s">
        <v>7515</v>
      </c>
      <c r="Q2143" s="12"/>
      <c r="R2143" s="12"/>
      <c r="S2143" s="12"/>
      <c r="T2143" s="12"/>
      <c r="U2143" s="12"/>
      <c r="V2143" s="12"/>
      <c r="Z2143" s="12"/>
      <c r="AA2143" s="12" t="n">
        <v>5</v>
      </c>
      <c r="AB2143" s="12"/>
      <c r="AC2143" s="12"/>
      <c r="AD2143" s="12"/>
      <c r="AE2143" s="12"/>
    </row>
    <row r="2144" customFormat="false" ht="15.75" hidden="false" customHeight="false" outlineLevel="0" collapsed="false">
      <c r="A2144" s="12" t="str">
        <f aca="false">IF((AA2144&gt;=4), "Y", "N")</f>
        <v>Y</v>
      </c>
      <c r="B2144" s="74"/>
      <c r="C2144" s="26" t="s">
        <v>7786</v>
      </c>
      <c r="D2144" s="24"/>
      <c r="E2144" s="17"/>
      <c r="F2144" s="17"/>
      <c r="G2144" s="17"/>
      <c r="H2144" s="17"/>
      <c r="I2144" s="26" t="s">
        <v>209</v>
      </c>
      <c r="J2144" s="32"/>
      <c r="K2144" s="17"/>
      <c r="L2144" s="38"/>
      <c r="M2144" s="17"/>
      <c r="N2144" s="17"/>
      <c r="O2144" s="17"/>
      <c r="P2144" s="59" t="s">
        <v>7515</v>
      </c>
      <c r="Q2144" s="12"/>
      <c r="R2144" s="12"/>
      <c r="S2144" s="12"/>
      <c r="T2144" s="12"/>
      <c r="U2144" s="12"/>
      <c r="V2144" s="12"/>
      <c r="Z2144" s="12"/>
      <c r="AA2144" s="12" t="n">
        <v>5</v>
      </c>
      <c r="AB2144" s="12"/>
      <c r="AC2144" s="12"/>
      <c r="AD2144" s="12"/>
      <c r="AE2144" s="12"/>
    </row>
    <row r="2145" customFormat="false" ht="15.75" hidden="false" customHeight="false" outlineLevel="0" collapsed="false">
      <c r="A2145" s="12" t="str">
        <f aca="false">IF((AA2145&gt;=4), "Y", "N")</f>
        <v>Y</v>
      </c>
      <c r="B2145" s="74"/>
      <c r="C2145" s="26" t="s">
        <v>7787</v>
      </c>
      <c r="D2145" s="24"/>
      <c r="E2145" s="17"/>
      <c r="F2145" s="17"/>
      <c r="G2145" s="17"/>
      <c r="H2145" s="17"/>
      <c r="I2145" s="26" t="s">
        <v>209</v>
      </c>
      <c r="J2145" s="32"/>
      <c r="K2145" s="17"/>
      <c r="L2145" s="38"/>
      <c r="M2145" s="17"/>
      <c r="N2145" s="17"/>
      <c r="O2145" s="17"/>
      <c r="P2145" s="59" t="s">
        <v>7515</v>
      </c>
      <c r="Q2145" s="12"/>
      <c r="R2145" s="12"/>
      <c r="S2145" s="12"/>
      <c r="T2145" s="12"/>
      <c r="U2145" s="12"/>
      <c r="V2145" s="12"/>
      <c r="Z2145" s="12"/>
      <c r="AA2145" s="12" t="n">
        <v>5</v>
      </c>
      <c r="AB2145" s="12"/>
      <c r="AC2145" s="12"/>
      <c r="AD2145" s="12"/>
      <c r="AE2145" s="12"/>
    </row>
    <row r="2146" customFormat="false" ht="15.75" hidden="false" customHeight="false" outlineLevel="0" collapsed="false">
      <c r="A2146" s="12" t="str">
        <f aca="false">IF((AA2146&gt;=4), "Y", "N")</f>
        <v>Y</v>
      </c>
      <c r="B2146" s="74"/>
      <c r="C2146" s="26" t="s">
        <v>7788</v>
      </c>
      <c r="D2146" s="24"/>
      <c r="E2146" s="17"/>
      <c r="F2146" s="17"/>
      <c r="G2146" s="17"/>
      <c r="H2146" s="17"/>
      <c r="I2146" s="26" t="s">
        <v>209</v>
      </c>
      <c r="J2146" s="32"/>
      <c r="K2146" s="17"/>
      <c r="L2146" s="38"/>
      <c r="M2146" s="17"/>
      <c r="N2146" s="17"/>
      <c r="O2146" s="17"/>
      <c r="P2146" s="59" t="s">
        <v>7515</v>
      </c>
      <c r="Q2146" s="12"/>
      <c r="R2146" s="12"/>
      <c r="S2146" s="12"/>
      <c r="T2146" s="12"/>
      <c r="U2146" s="12"/>
      <c r="V2146" s="12"/>
      <c r="Z2146" s="12"/>
      <c r="AA2146" s="12" t="n">
        <v>5</v>
      </c>
      <c r="AB2146" s="12"/>
      <c r="AC2146" s="12"/>
      <c r="AD2146" s="12"/>
      <c r="AE2146" s="12"/>
    </row>
    <row r="2147" customFormat="false" ht="15.75" hidden="false" customHeight="false" outlineLevel="0" collapsed="false">
      <c r="A2147" s="12" t="str">
        <f aca="false">IF((AA2147&gt;=4), "Y", "N")</f>
        <v>Y</v>
      </c>
      <c r="B2147" s="74"/>
      <c r="C2147" s="26" t="s">
        <v>7789</v>
      </c>
      <c r="D2147" s="24"/>
      <c r="E2147" s="17"/>
      <c r="F2147" s="17"/>
      <c r="G2147" s="17"/>
      <c r="H2147" s="17"/>
      <c r="I2147" s="26" t="s">
        <v>209</v>
      </c>
      <c r="J2147" s="32"/>
      <c r="K2147" s="17"/>
      <c r="L2147" s="38"/>
      <c r="M2147" s="17"/>
      <c r="N2147" s="17"/>
      <c r="O2147" s="17"/>
      <c r="P2147" s="59" t="s">
        <v>7515</v>
      </c>
      <c r="Q2147" s="12"/>
      <c r="R2147" s="12"/>
      <c r="S2147" s="12"/>
      <c r="T2147" s="12"/>
      <c r="U2147" s="12"/>
      <c r="V2147" s="12"/>
      <c r="Z2147" s="12"/>
      <c r="AA2147" s="12" t="n">
        <v>5</v>
      </c>
      <c r="AB2147" s="12"/>
      <c r="AC2147" s="12"/>
      <c r="AD2147" s="12"/>
      <c r="AE2147" s="12"/>
    </row>
    <row r="2148" customFormat="false" ht="15.75" hidden="false" customHeight="false" outlineLevel="0" collapsed="false">
      <c r="A2148" s="12" t="str">
        <f aca="false">IF((AA2148&gt;=4), "Y", "N")</f>
        <v>Y</v>
      </c>
      <c r="B2148" s="74"/>
      <c r="C2148" s="26" t="s">
        <v>7790</v>
      </c>
      <c r="D2148" s="24"/>
      <c r="E2148" s="17"/>
      <c r="F2148" s="17"/>
      <c r="G2148" s="17"/>
      <c r="H2148" s="17"/>
      <c r="I2148" s="26" t="s">
        <v>209</v>
      </c>
      <c r="J2148" s="32"/>
      <c r="K2148" s="17"/>
      <c r="L2148" s="38"/>
      <c r="M2148" s="17"/>
      <c r="N2148" s="17"/>
      <c r="O2148" s="17"/>
      <c r="P2148" s="59" t="s">
        <v>7515</v>
      </c>
      <c r="Q2148" s="12"/>
      <c r="R2148" s="12"/>
      <c r="S2148" s="12"/>
      <c r="T2148" s="12"/>
      <c r="U2148" s="12"/>
      <c r="V2148" s="12"/>
      <c r="Z2148" s="12"/>
      <c r="AA2148" s="12" t="n">
        <v>5</v>
      </c>
      <c r="AB2148" s="12"/>
      <c r="AC2148" s="12"/>
      <c r="AD2148" s="12"/>
      <c r="AE2148" s="12"/>
    </row>
    <row r="2149" customFormat="false" ht="15.75" hidden="false" customHeight="false" outlineLevel="0" collapsed="false">
      <c r="A2149" s="12" t="str">
        <f aca="false">IF((AA2149&gt;=4), "Y", "N")</f>
        <v>Y</v>
      </c>
      <c r="B2149" s="74"/>
      <c r="C2149" s="26" t="s">
        <v>7791</v>
      </c>
      <c r="D2149" s="24"/>
      <c r="E2149" s="17"/>
      <c r="F2149" s="17"/>
      <c r="G2149" s="17"/>
      <c r="H2149" s="17"/>
      <c r="I2149" s="26" t="s">
        <v>209</v>
      </c>
      <c r="J2149" s="32"/>
      <c r="K2149" s="17"/>
      <c r="L2149" s="38"/>
      <c r="M2149" s="17"/>
      <c r="N2149" s="17"/>
      <c r="O2149" s="17"/>
      <c r="P2149" s="59" t="s">
        <v>7515</v>
      </c>
      <c r="Q2149" s="12"/>
      <c r="R2149" s="12"/>
      <c r="S2149" s="12"/>
      <c r="T2149" s="12"/>
      <c r="U2149" s="12"/>
      <c r="V2149" s="12"/>
      <c r="Z2149" s="12"/>
      <c r="AA2149" s="12" t="n">
        <v>5</v>
      </c>
      <c r="AB2149" s="12"/>
      <c r="AC2149" s="12"/>
      <c r="AD2149" s="12"/>
      <c r="AE2149" s="12"/>
    </row>
    <row r="2150" customFormat="false" ht="15.75" hidden="false" customHeight="false" outlineLevel="0" collapsed="false">
      <c r="A2150" s="12" t="str">
        <f aca="false">IF((AA2150&gt;=4), "Y", "N")</f>
        <v>Y</v>
      </c>
      <c r="B2150" s="74"/>
      <c r="C2150" s="26" t="s">
        <v>7792</v>
      </c>
      <c r="D2150" s="24"/>
      <c r="E2150" s="17"/>
      <c r="F2150" s="17"/>
      <c r="G2150" s="17"/>
      <c r="H2150" s="17"/>
      <c r="I2150" s="26" t="s">
        <v>209</v>
      </c>
      <c r="J2150" s="32"/>
      <c r="K2150" s="17"/>
      <c r="L2150" s="38"/>
      <c r="M2150" s="17"/>
      <c r="N2150" s="17"/>
      <c r="O2150" s="17"/>
      <c r="P2150" s="59" t="s">
        <v>7515</v>
      </c>
      <c r="Q2150" s="12"/>
      <c r="R2150" s="12"/>
      <c r="S2150" s="12"/>
      <c r="T2150" s="12"/>
      <c r="U2150" s="12"/>
      <c r="V2150" s="12"/>
      <c r="Z2150" s="12"/>
      <c r="AA2150" s="12" t="n">
        <v>5</v>
      </c>
      <c r="AB2150" s="12"/>
      <c r="AC2150" s="12"/>
      <c r="AD2150" s="12"/>
      <c r="AE2150" s="12"/>
    </row>
    <row r="2151" customFormat="false" ht="15.75" hidden="false" customHeight="false" outlineLevel="0" collapsed="false">
      <c r="A2151" s="12" t="str">
        <f aca="false">IF((AA2151&gt;=4), "Y", "N")</f>
        <v>Y</v>
      </c>
      <c r="B2151" s="74"/>
      <c r="C2151" s="26" t="s">
        <v>7793</v>
      </c>
      <c r="D2151" s="24"/>
      <c r="E2151" s="17"/>
      <c r="F2151" s="17"/>
      <c r="G2151" s="17"/>
      <c r="H2151" s="17"/>
      <c r="I2151" s="26" t="s">
        <v>209</v>
      </c>
      <c r="J2151" s="32"/>
      <c r="K2151" s="17"/>
      <c r="L2151" s="38"/>
      <c r="M2151" s="17"/>
      <c r="N2151" s="17"/>
      <c r="O2151" s="17"/>
      <c r="P2151" s="59" t="s">
        <v>7515</v>
      </c>
      <c r="Q2151" s="12"/>
      <c r="R2151" s="12"/>
      <c r="S2151" s="12"/>
      <c r="T2151" s="12"/>
      <c r="U2151" s="12"/>
      <c r="V2151" s="12"/>
      <c r="Z2151" s="12"/>
      <c r="AA2151" s="12" t="n">
        <v>5</v>
      </c>
      <c r="AB2151" s="12"/>
      <c r="AC2151" s="12"/>
      <c r="AD2151" s="12"/>
      <c r="AE2151" s="12"/>
    </row>
    <row r="2152" customFormat="false" ht="15.75" hidden="false" customHeight="false" outlineLevel="0" collapsed="false">
      <c r="A2152" s="12" t="str">
        <f aca="false">IF((AA2152&gt;=4), "Y", "N")</f>
        <v>Y</v>
      </c>
      <c r="B2152" s="74"/>
      <c r="C2152" s="26" t="s">
        <v>7794</v>
      </c>
      <c r="D2152" s="24"/>
      <c r="E2152" s="17"/>
      <c r="F2152" s="17"/>
      <c r="G2152" s="17"/>
      <c r="H2152" s="17"/>
      <c r="I2152" s="26" t="s">
        <v>209</v>
      </c>
      <c r="J2152" s="32"/>
      <c r="K2152" s="17"/>
      <c r="L2152" s="38"/>
      <c r="M2152" s="17"/>
      <c r="N2152" s="17"/>
      <c r="O2152" s="17"/>
      <c r="P2152" s="59" t="s">
        <v>7515</v>
      </c>
      <c r="Q2152" s="12"/>
      <c r="R2152" s="12"/>
      <c r="S2152" s="12"/>
      <c r="T2152" s="12"/>
      <c r="U2152" s="12"/>
      <c r="V2152" s="12"/>
      <c r="Z2152" s="12"/>
      <c r="AA2152" s="12" t="n">
        <v>5</v>
      </c>
      <c r="AB2152" s="12"/>
      <c r="AC2152" s="12"/>
      <c r="AD2152" s="12"/>
      <c r="AE2152" s="12"/>
    </row>
    <row r="2153" customFormat="false" ht="15.75" hidden="false" customHeight="false" outlineLevel="0" collapsed="false">
      <c r="A2153" s="12" t="str">
        <f aca="false">IF((AA2153&gt;=4), "Y", "N")</f>
        <v>Y</v>
      </c>
      <c r="B2153" s="74"/>
      <c r="C2153" s="26" t="s">
        <v>7795</v>
      </c>
      <c r="D2153" s="24"/>
      <c r="E2153" s="17"/>
      <c r="F2153" s="17"/>
      <c r="G2153" s="17"/>
      <c r="H2153" s="17"/>
      <c r="I2153" s="26" t="s">
        <v>209</v>
      </c>
      <c r="J2153" s="32"/>
      <c r="K2153" s="17"/>
      <c r="L2153" s="38"/>
      <c r="M2153" s="17"/>
      <c r="N2153" s="17"/>
      <c r="O2153" s="17"/>
      <c r="P2153" s="59" t="s">
        <v>7515</v>
      </c>
      <c r="Q2153" s="12"/>
      <c r="R2153" s="12"/>
      <c r="S2153" s="12"/>
      <c r="T2153" s="12"/>
      <c r="U2153" s="12"/>
      <c r="V2153" s="12"/>
      <c r="Z2153" s="12"/>
      <c r="AA2153" s="12" t="n">
        <v>5</v>
      </c>
      <c r="AB2153" s="12"/>
      <c r="AC2153" s="12"/>
      <c r="AD2153" s="12"/>
      <c r="AE2153" s="12"/>
    </row>
    <row r="2154" customFormat="false" ht="15.75" hidden="false" customHeight="false" outlineLevel="0" collapsed="false">
      <c r="A2154" s="12" t="str">
        <f aca="false">IF((AA2154&gt;=4), "Y", "N")</f>
        <v>Y</v>
      </c>
      <c r="B2154" s="74"/>
      <c r="C2154" s="125" t="s">
        <v>7796</v>
      </c>
      <c r="D2154" s="24"/>
      <c r="E2154" s="17"/>
      <c r="F2154" s="17"/>
      <c r="G2154" s="17"/>
      <c r="H2154" s="17"/>
      <c r="I2154" s="26" t="s">
        <v>209</v>
      </c>
      <c r="J2154" s="32"/>
      <c r="K2154" s="17"/>
      <c r="L2154" s="38"/>
      <c r="M2154" s="17"/>
      <c r="N2154" s="17"/>
      <c r="O2154" s="17"/>
      <c r="P2154" s="59" t="s">
        <v>7515</v>
      </c>
      <c r="Q2154" s="12"/>
      <c r="R2154" s="12"/>
      <c r="S2154" s="12"/>
      <c r="T2154" s="12"/>
      <c r="U2154" s="12"/>
      <c r="V2154" s="12"/>
      <c r="Z2154" s="12"/>
      <c r="AA2154" s="12" t="n">
        <v>5</v>
      </c>
      <c r="AB2154" s="12"/>
      <c r="AC2154" s="12"/>
      <c r="AD2154" s="12"/>
      <c r="AE2154" s="12"/>
    </row>
    <row r="2155" customFormat="false" ht="15.75" hidden="false" customHeight="false" outlineLevel="0" collapsed="false">
      <c r="A2155" s="12" t="str">
        <f aca="false">IF((AA2155&gt;=4), "Y", "N")</f>
        <v>Y</v>
      </c>
      <c r="B2155" s="74"/>
      <c r="C2155" s="26" t="s">
        <v>7797</v>
      </c>
      <c r="D2155" s="24"/>
      <c r="E2155" s="17"/>
      <c r="F2155" s="17"/>
      <c r="G2155" s="17"/>
      <c r="H2155" s="17"/>
      <c r="I2155" s="26" t="s">
        <v>209</v>
      </c>
      <c r="J2155" s="32"/>
      <c r="K2155" s="17"/>
      <c r="L2155" s="38"/>
      <c r="M2155" s="17"/>
      <c r="N2155" s="17"/>
      <c r="O2155" s="17"/>
      <c r="P2155" s="59" t="s">
        <v>7515</v>
      </c>
      <c r="Q2155" s="12"/>
      <c r="R2155" s="12"/>
      <c r="S2155" s="12"/>
      <c r="T2155" s="12"/>
      <c r="U2155" s="12"/>
      <c r="V2155" s="12"/>
      <c r="Z2155" s="12"/>
      <c r="AA2155" s="12" t="n">
        <v>5</v>
      </c>
      <c r="AB2155" s="12"/>
      <c r="AC2155" s="12"/>
      <c r="AD2155" s="12"/>
      <c r="AE2155" s="12"/>
    </row>
    <row r="2156" customFormat="false" ht="15.75" hidden="false" customHeight="false" outlineLevel="0" collapsed="false">
      <c r="A2156" s="12" t="str">
        <f aca="false">IF((AA2156&gt;=4), "Y", "N")</f>
        <v>Y</v>
      </c>
      <c r="B2156" s="74"/>
      <c r="C2156" s="125" t="s">
        <v>7798</v>
      </c>
      <c r="D2156" s="24"/>
      <c r="E2156" s="17"/>
      <c r="F2156" s="17"/>
      <c r="G2156" s="17"/>
      <c r="H2156" s="17"/>
      <c r="I2156" s="26" t="s">
        <v>209</v>
      </c>
      <c r="J2156" s="32"/>
      <c r="K2156" s="17"/>
      <c r="L2156" s="38"/>
      <c r="M2156" s="17"/>
      <c r="N2156" s="17"/>
      <c r="O2156" s="17"/>
      <c r="P2156" s="59" t="s">
        <v>7515</v>
      </c>
      <c r="Q2156" s="12"/>
      <c r="R2156" s="12"/>
      <c r="S2156" s="12"/>
      <c r="T2156" s="12"/>
      <c r="U2156" s="12"/>
      <c r="V2156" s="12"/>
      <c r="Z2156" s="12"/>
      <c r="AA2156" s="12" t="n">
        <v>5</v>
      </c>
      <c r="AB2156" s="12"/>
      <c r="AC2156" s="12"/>
      <c r="AD2156" s="12"/>
      <c r="AE2156" s="12"/>
    </row>
    <row r="2157" customFormat="false" ht="15.75" hidden="false" customHeight="false" outlineLevel="0" collapsed="false">
      <c r="A2157" s="12" t="str">
        <f aca="false">IF((AA2157&gt;=4), "Y", "N")</f>
        <v>Y</v>
      </c>
      <c r="B2157" s="74"/>
      <c r="C2157" s="26" t="s">
        <v>7799</v>
      </c>
      <c r="D2157" s="24"/>
      <c r="E2157" s="17"/>
      <c r="F2157" s="17"/>
      <c r="G2157" s="17"/>
      <c r="H2157" s="17"/>
      <c r="I2157" s="26" t="s">
        <v>209</v>
      </c>
      <c r="J2157" s="32"/>
      <c r="K2157" s="17"/>
      <c r="L2157" s="38"/>
      <c r="M2157" s="17"/>
      <c r="N2157" s="17"/>
      <c r="O2157" s="17"/>
      <c r="P2157" s="59" t="s">
        <v>7515</v>
      </c>
      <c r="Q2157" s="12"/>
      <c r="R2157" s="12"/>
      <c r="S2157" s="12"/>
      <c r="T2157" s="12"/>
      <c r="U2157" s="12"/>
      <c r="V2157" s="12"/>
      <c r="Z2157" s="12"/>
      <c r="AA2157" s="12" t="n">
        <v>5</v>
      </c>
      <c r="AB2157" s="12"/>
      <c r="AC2157" s="12"/>
      <c r="AD2157" s="12"/>
      <c r="AE2157" s="12"/>
    </row>
    <row r="2158" customFormat="false" ht="15.75" hidden="false" customHeight="false" outlineLevel="0" collapsed="false">
      <c r="A2158" s="12" t="str">
        <f aca="false">IF((AA2158&gt;=4), "Y", "N")</f>
        <v>Y</v>
      </c>
      <c r="B2158" s="74"/>
      <c r="C2158" s="26" t="s">
        <v>7800</v>
      </c>
      <c r="D2158" s="24"/>
      <c r="E2158" s="17"/>
      <c r="F2158" s="17"/>
      <c r="G2158" s="17"/>
      <c r="H2158" s="17"/>
      <c r="I2158" s="26" t="s">
        <v>209</v>
      </c>
      <c r="J2158" s="32"/>
      <c r="K2158" s="17"/>
      <c r="L2158" s="38"/>
      <c r="M2158" s="17"/>
      <c r="N2158" s="17"/>
      <c r="O2158" s="17"/>
      <c r="P2158" s="59" t="s">
        <v>7515</v>
      </c>
      <c r="Q2158" s="12"/>
      <c r="R2158" s="12"/>
      <c r="S2158" s="12"/>
      <c r="T2158" s="12"/>
      <c r="U2158" s="12"/>
      <c r="V2158" s="12"/>
      <c r="Z2158" s="12"/>
      <c r="AA2158" s="12" t="n">
        <v>5</v>
      </c>
      <c r="AB2158" s="12"/>
      <c r="AC2158" s="12"/>
      <c r="AD2158" s="12"/>
      <c r="AE2158" s="12"/>
    </row>
    <row r="2159" customFormat="false" ht="15.75" hidden="false" customHeight="false" outlineLevel="0" collapsed="false">
      <c r="A2159" s="12" t="str">
        <f aca="false">IF((AA2159&gt;=4), "Y", "N")</f>
        <v>Y</v>
      </c>
      <c r="B2159" s="74"/>
      <c r="C2159" s="26" t="s">
        <v>7801</v>
      </c>
      <c r="D2159" s="24"/>
      <c r="E2159" s="17"/>
      <c r="F2159" s="17"/>
      <c r="G2159" s="17"/>
      <c r="H2159" s="17"/>
      <c r="I2159" s="26" t="s">
        <v>209</v>
      </c>
      <c r="J2159" s="32"/>
      <c r="K2159" s="17"/>
      <c r="L2159" s="38"/>
      <c r="M2159" s="17"/>
      <c r="N2159" s="17"/>
      <c r="O2159" s="17"/>
      <c r="P2159" s="59" t="s">
        <v>7515</v>
      </c>
      <c r="Q2159" s="12"/>
      <c r="R2159" s="12"/>
      <c r="S2159" s="12"/>
      <c r="T2159" s="12"/>
      <c r="U2159" s="12"/>
      <c r="V2159" s="12"/>
      <c r="Z2159" s="12"/>
      <c r="AA2159" s="12" t="n">
        <v>5</v>
      </c>
      <c r="AB2159" s="12"/>
      <c r="AC2159" s="12"/>
      <c r="AD2159" s="12"/>
      <c r="AE2159" s="12"/>
    </row>
    <row r="2160" customFormat="false" ht="15.75" hidden="false" customHeight="false" outlineLevel="0" collapsed="false">
      <c r="A2160" s="12" t="str">
        <f aca="false">IF((AA2160&gt;=4), "Y", "N")</f>
        <v>Y</v>
      </c>
      <c r="B2160" s="74"/>
      <c r="C2160" s="26" t="s">
        <v>7802</v>
      </c>
      <c r="D2160" s="24"/>
      <c r="E2160" s="17"/>
      <c r="F2160" s="17"/>
      <c r="G2160" s="17"/>
      <c r="H2160" s="17"/>
      <c r="I2160" s="26" t="s">
        <v>209</v>
      </c>
      <c r="J2160" s="32"/>
      <c r="K2160" s="17"/>
      <c r="L2160" s="38"/>
      <c r="M2160" s="17"/>
      <c r="N2160" s="17"/>
      <c r="O2160" s="17"/>
      <c r="P2160" s="59" t="s">
        <v>7515</v>
      </c>
      <c r="Q2160" s="12"/>
      <c r="R2160" s="12"/>
      <c r="S2160" s="12"/>
      <c r="T2160" s="12"/>
      <c r="U2160" s="12"/>
      <c r="V2160" s="12"/>
      <c r="Z2160" s="12"/>
      <c r="AA2160" s="12" t="n">
        <v>5</v>
      </c>
      <c r="AB2160" s="12"/>
      <c r="AC2160" s="12"/>
      <c r="AD2160" s="12"/>
      <c r="AE2160" s="12"/>
    </row>
    <row r="2161" customFormat="false" ht="15.75" hidden="false" customHeight="false" outlineLevel="0" collapsed="false">
      <c r="A2161" s="12" t="str">
        <f aca="false">IF((AA2161&gt;=4), "Y", "N")</f>
        <v>Y</v>
      </c>
      <c r="B2161" s="74"/>
      <c r="C2161" s="26" t="s">
        <v>7803</v>
      </c>
      <c r="D2161" s="24"/>
      <c r="E2161" s="17"/>
      <c r="F2161" s="17"/>
      <c r="G2161" s="17"/>
      <c r="H2161" s="17"/>
      <c r="I2161" s="26" t="s">
        <v>209</v>
      </c>
      <c r="J2161" s="32"/>
      <c r="K2161" s="17"/>
      <c r="L2161" s="38"/>
      <c r="M2161" s="17"/>
      <c r="N2161" s="17"/>
      <c r="O2161" s="17"/>
      <c r="P2161" s="59" t="s">
        <v>7515</v>
      </c>
      <c r="Q2161" s="12"/>
      <c r="R2161" s="12"/>
      <c r="S2161" s="12"/>
      <c r="T2161" s="12"/>
      <c r="U2161" s="12"/>
      <c r="V2161" s="12"/>
      <c r="Z2161" s="12"/>
      <c r="AA2161" s="12" t="n">
        <v>5</v>
      </c>
      <c r="AB2161" s="12"/>
      <c r="AC2161" s="12"/>
      <c r="AD2161" s="12"/>
      <c r="AE2161" s="12"/>
    </row>
    <row r="2162" customFormat="false" ht="15.75" hidden="false" customHeight="false" outlineLevel="0" collapsed="false">
      <c r="A2162" s="12" t="str">
        <f aca="false">IF((AA2162&gt;=4), "Y", "N")</f>
        <v>Y</v>
      </c>
      <c r="B2162" s="74"/>
      <c r="C2162" s="26" t="s">
        <v>7804</v>
      </c>
      <c r="D2162" s="24"/>
      <c r="E2162" s="17"/>
      <c r="F2162" s="17"/>
      <c r="G2162" s="17"/>
      <c r="H2162" s="17"/>
      <c r="I2162" s="26" t="s">
        <v>209</v>
      </c>
      <c r="J2162" s="32"/>
      <c r="K2162" s="17"/>
      <c r="L2162" s="38"/>
      <c r="M2162" s="17"/>
      <c r="N2162" s="17"/>
      <c r="O2162" s="17"/>
      <c r="P2162" s="59" t="s">
        <v>7515</v>
      </c>
      <c r="Q2162" s="12"/>
      <c r="R2162" s="12"/>
      <c r="S2162" s="12"/>
      <c r="T2162" s="12"/>
      <c r="U2162" s="12"/>
      <c r="V2162" s="12"/>
      <c r="Z2162" s="12"/>
      <c r="AA2162" s="12" t="n">
        <v>5</v>
      </c>
      <c r="AB2162" s="12"/>
      <c r="AC2162" s="12"/>
      <c r="AD2162" s="12"/>
      <c r="AE2162" s="12"/>
    </row>
    <row r="2163" customFormat="false" ht="15.75" hidden="false" customHeight="false" outlineLevel="0" collapsed="false">
      <c r="A2163" s="12" t="str">
        <f aca="false">IF((AA2163&gt;=4), "Y", "N")</f>
        <v>Y</v>
      </c>
      <c r="B2163" s="74"/>
      <c r="C2163" s="26" t="s">
        <v>7805</v>
      </c>
      <c r="D2163" s="24"/>
      <c r="E2163" s="17"/>
      <c r="F2163" s="17"/>
      <c r="G2163" s="17"/>
      <c r="H2163" s="17"/>
      <c r="I2163" s="26" t="s">
        <v>209</v>
      </c>
      <c r="J2163" s="32"/>
      <c r="K2163" s="17"/>
      <c r="L2163" s="38"/>
      <c r="M2163" s="17"/>
      <c r="N2163" s="17"/>
      <c r="O2163" s="17"/>
      <c r="P2163" s="59" t="s">
        <v>7515</v>
      </c>
      <c r="Q2163" s="12"/>
      <c r="R2163" s="12"/>
      <c r="S2163" s="12"/>
      <c r="T2163" s="12"/>
      <c r="U2163" s="12"/>
      <c r="V2163" s="12"/>
      <c r="Z2163" s="12"/>
      <c r="AA2163" s="12" t="n">
        <v>5</v>
      </c>
      <c r="AB2163" s="12"/>
      <c r="AC2163" s="12"/>
      <c r="AD2163" s="12"/>
      <c r="AE2163" s="12"/>
    </row>
    <row r="2164" customFormat="false" ht="15.75" hidden="false" customHeight="false" outlineLevel="0" collapsed="false">
      <c r="A2164" s="12" t="str">
        <f aca="false">IF((AA2164&gt;=4), "Y", "N")</f>
        <v>Y</v>
      </c>
      <c r="B2164" s="74"/>
      <c r="C2164" s="26" t="s">
        <v>7806</v>
      </c>
      <c r="D2164" s="24"/>
      <c r="E2164" s="17"/>
      <c r="F2164" s="17"/>
      <c r="G2164" s="17"/>
      <c r="H2164" s="17"/>
      <c r="I2164" s="26" t="s">
        <v>209</v>
      </c>
      <c r="J2164" s="32"/>
      <c r="K2164" s="17"/>
      <c r="L2164" s="38"/>
      <c r="M2164" s="17"/>
      <c r="N2164" s="17"/>
      <c r="O2164" s="17"/>
      <c r="P2164" s="59" t="s">
        <v>7515</v>
      </c>
      <c r="Q2164" s="12"/>
      <c r="R2164" s="12"/>
      <c r="S2164" s="12"/>
      <c r="T2164" s="12"/>
      <c r="U2164" s="12"/>
      <c r="V2164" s="12"/>
      <c r="Z2164" s="12"/>
      <c r="AA2164" s="12" t="n">
        <v>5</v>
      </c>
      <c r="AB2164" s="12"/>
      <c r="AC2164" s="12"/>
      <c r="AD2164" s="12"/>
      <c r="AE2164" s="12"/>
    </row>
    <row r="2165" customFormat="false" ht="15.75" hidden="false" customHeight="false" outlineLevel="0" collapsed="false">
      <c r="A2165" s="12" t="str">
        <f aca="false">IF((AA2165&gt;=4), "Y", "N")</f>
        <v>Y</v>
      </c>
      <c r="B2165" s="74"/>
      <c r="C2165" s="26" t="s">
        <v>7807</v>
      </c>
      <c r="D2165" s="24"/>
      <c r="E2165" s="17"/>
      <c r="F2165" s="17"/>
      <c r="G2165" s="17"/>
      <c r="H2165" s="17"/>
      <c r="I2165" s="26" t="s">
        <v>209</v>
      </c>
      <c r="J2165" s="32"/>
      <c r="K2165" s="17"/>
      <c r="L2165" s="38"/>
      <c r="M2165" s="17"/>
      <c r="N2165" s="17"/>
      <c r="O2165" s="17"/>
      <c r="P2165" s="59" t="s">
        <v>7515</v>
      </c>
      <c r="Q2165" s="12"/>
      <c r="R2165" s="12"/>
      <c r="S2165" s="12"/>
      <c r="T2165" s="12"/>
      <c r="U2165" s="12"/>
      <c r="V2165" s="12"/>
      <c r="Z2165" s="12"/>
      <c r="AA2165" s="12" t="n">
        <v>5</v>
      </c>
      <c r="AB2165" s="12"/>
      <c r="AC2165" s="12"/>
      <c r="AD2165" s="12"/>
      <c r="AE2165" s="12"/>
    </row>
    <row r="2166" customFormat="false" ht="15.75" hidden="false" customHeight="false" outlineLevel="0" collapsed="false">
      <c r="A2166" s="12" t="str">
        <f aca="false">IF((AA2166&gt;=4), "Y", "N")</f>
        <v>Y</v>
      </c>
      <c r="B2166" s="74"/>
      <c r="C2166" s="26" t="s">
        <v>7808</v>
      </c>
      <c r="D2166" s="24"/>
      <c r="E2166" s="17"/>
      <c r="F2166" s="17"/>
      <c r="G2166" s="17"/>
      <c r="H2166" s="17"/>
      <c r="I2166" s="26" t="s">
        <v>209</v>
      </c>
      <c r="J2166" s="32"/>
      <c r="K2166" s="17"/>
      <c r="L2166" s="38"/>
      <c r="M2166" s="17"/>
      <c r="N2166" s="17"/>
      <c r="O2166" s="17"/>
      <c r="P2166" s="59" t="s">
        <v>7515</v>
      </c>
      <c r="Q2166" s="12"/>
      <c r="R2166" s="12"/>
      <c r="S2166" s="12"/>
      <c r="T2166" s="12"/>
      <c r="U2166" s="12"/>
      <c r="V2166" s="12"/>
      <c r="Z2166" s="12"/>
      <c r="AA2166" s="12" t="n">
        <v>5</v>
      </c>
      <c r="AB2166" s="12"/>
      <c r="AC2166" s="12"/>
      <c r="AD2166" s="12"/>
      <c r="AE2166" s="12"/>
    </row>
    <row r="2167" customFormat="false" ht="15.75" hidden="false" customHeight="false" outlineLevel="0" collapsed="false">
      <c r="A2167" s="12" t="str">
        <f aca="false">IF((AA2167&gt;=4), "Y", "N")</f>
        <v>Y</v>
      </c>
      <c r="B2167" s="74"/>
      <c r="C2167" s="26" t="s">
        <v>7809</v>
      </c>
      <c r="D2167" s="24"/>
      <c r="E2167" s="17"/>
      <c r="F2167" s="17"/>
      <c r="G2167" s="17"/>
      <c r="H2167" s="17"/>
      <c r="I2167" s="26" t="s">
        <v>209</v>
      </c>
      <c r="J2167" s="32"/>
      <c r="K2167" s="17"/>
      <c r="L2167" s="38"/>
      <c r="M2167" s="17"/>
      <c r="N2167" s="17"/>
      <c r="O2167" s="17"/>
      <c r="P2167" s="59" t="s">
        <v>7515</v>
      </c>
      <c r="Q2167" s="12"/>
      <c r="R2167" s="12"/>
      <c r="S2167" s="12"/>
      <c r="T2167" s="12"/>
      <c r="U2167" s="12"/>
      <c r="V2167" s="12"/>
      <c r="Z2167" s="12"/>
      <c r="AA2167" s="12" t="n">
        <v>5</v>
      </c>
      <c r="AB2167" s="12"/>
      <c r="AC2167" s="12"/>
      <c r="AD2167" s="12"/>
      <c r="AE2167" s="12"/>
    </row>
    <row r="2168" customFormat="false" ht="15.75" hidden="false" customHeight="false" outlineLevel="0" collapsed="false">
      <c r="A2168" s="12" t="str">
        <f aca="false">IF((AA2168&gt;=4), "Y", "N")</f>
        <v>Y</v>
      </c>
      <c r="B2168" s="74"/>
      <c r="C2168" s="26" t="s">
        <v>7810</v>
      </c>
      <c r="D2168" s="24"/>
      <c r="E2168" s="17"/>
      <c r="F2168" s="17"/>
      <c r="G2168" s="17"/>
      <c r="H2168" s="17"/>
      <c r="I2168" s="26" t="s">
        <v>209</v>
      </c>
      <c r="J2168" s="32"/>
      <c r="K2168" s="17"/>
      <c r="L2168" s="38"/>
      <c r="M2168" s="17"/>
      <c r="N2168" s="17"/>
      <c r="O2168" s="17"/>
      <c r="P2168" s="59" t="s">
        <v>7515</v>
      </c>
      <c r="Q2168" s="12"/>
      <c r="R2168" s="12"/>
      <c r="S2168" s="12"/>
      <c r="T2168" s="12"/>
      <c r="U2168" s="12"/>
      <c r="V2168" s="12"/>
      <c r="Z2168" s="12"/>
      <c r="AA2168" s="12" t="n">
        <v>5</v>
      </c>
      <c r="AB2168" s="12"/>
      <c r="AC2168" s="12"/>
      <c r="AD2168" s="12"/>
      <c r="AE2168" s="12"/>
    </row>
    <row r="2169" customFormat="false" ht="15.75" hidden="false" customHeight="false" outlineLevel="0" collapsed="false">
      <c r="A2169" s="12" t="str">
        <f aca="false">IF((AA2169&gt;=4), "Y", "N")</f>
        <v>Y</v>
      </c>
      <c r="B2169" s="74"/>
      <c r="C2169" s="26" t="s">
        <v>7811</v>
      </c>
      <c r="D2169" s="24"/>
      <c r="E2169" s="17"/>
      <c r="F2169" s="17"/>
      <c r="G2169" s="17"/>
      <c r="H2169" s="17"/>
      <c r="I2169" s="26" t="s">
        <v>209</v>
      </c>
      <c r="J2169" s="32"/>
      <c r="K2169" s="17"/>
      <c r="L2169" s="38"/>
      <c r="M2169" s="17"/>
      <c r="N2169" s="17"/>
      <c r="O2169" s="17"/>
      <c r="P2169" s="59" t="s">
        <v>7515</v>
      </c>
      <c r="Q2169" s="12"/>
      <c r="R2169" s="12"/>
      <c r="S2169" s="12"/>
      <c r="T2169" s="12"/>
      <c r="U2169" s="12"/>
      <c r="V2169" s="12"/>
      <c r="Z2169" s="12"/>
      <c r="AA2169" s="12" t="n">
        <v>5</v>
      </c>
      <c r="AB2169" s="12"/>
      <c r="AC2169" s="12"/>
      <c r="AD2169" s="12"/>
      <c r="AE2169" s="12"/>
    </row>
    <row r="2170" customFormat="false" ht="15.75" hidden="false" customHeight="false" outlineLevel="0" collapsed="false">
      <c r="A2170" s="12" t="str">
        <f aca="false">IF((AA2170&gt;=4), "Y", "N")</f>
        <v>Y</v>
      </c>
      <c r="B2170" s="74"/>
      <c r="C2170" s="26" t="s">
        <v>7812</v>
      </c>
      <c r="D2170" s="24"/>
      <c r="E2170" s="17"/>
      <c r="F2170" s="17"/>
      <c r="G2170" s="17"/>
      <c r="H2170" s="17"/>
      <c r="I2170" s="26" t="s">
        <v>209</v>
      </c>
      <c r="J2170" s="32"/>
      <c r="K2170" s="17"/>
      <c r="L2170" s="38"/>
      <c r="M2170" s="17"/>
      <c r="N2170" s="17"/>
      <c r="O2170" s="17"/>
      <c r="P2170" s="59" t="s">
        <v>7515</v>
      </c>
      <c r="Q2170" s="12"/>
      <c r="R2170" s="12"/>
      <c r="S2170" s="12"/>
      <c r="T2170" s="12"/>
      <c r="U2170" s="12"/>
      <c r="V2170" s="12"/>
      <c r="Z2170" s="12"/>
      <c r="AA2170" s="12" t="n">
        <v>5</v>
      </c>
      <c r="AB2170" s="12"/>
      <c r="AC2170" s="12"/>
      <c r="AD2170" s="12"/>
      <c r="AE2170" s="12"/>
    </row>
    <row r="2171" customFormat="false" ht="15.75" hidden="false" customHeight="false" outlineLevel="0" collapsed="false">
      <c r="A2171" s="12" t="str">
        <f aca="false">IF((AA2171&gt;=4), "Y", "N")</f>
        <v>Y</v>
      </c>
      <c r="B2171" s="74"/>
      <c r="C2171" s="26" t="s">
        <v>7813</v>
      </c>
      <c r="D2171" s="24"/>
      <c r="E2171" s="17"/>
      <c r="F2171" s="17"/>
      <c r="G2171" s="17"/>
      <c r="H2171" s="17"/>
      <c r="I2171" s="26" t="s">
        <v>209</v>
      </c>
      <c r="J2171" s="32"/>
      <c r="K2171" s="17"/>
      <c r="L2171" s="38"/>
      <c r="M2171" s="17"/>
      <c r="N2171" s="17"/>
      <c r="O2171" s="17"/>
      <c r="P2171" s="59" t="s">
        <v>7515</v>
      </c>
      <c r="Q2171" s="12"/>
      <c r="R2171" s="12"/>
      <c r="S2171" s="12"/>
      <c r="T2171" s="12"/>
      <c r="U2171" s="12"/>
      <c r="V2171" s="12"/>
      <c r="Z2171" s="12"/>
      <c r="AA2171" s="12" t="n">
        <v>5</v>
      </c>
      <c r="AB2171" s="12"/>
      <c r="AC2171" s="12"/>
      <c r="AD2171" s="12"/>
      <c r="AE2171" s="12"/>
    </row>
    <row r="2172" customFormat="false" ht="15.75" hidden="false" customHeight="false" outlineLevel="0" collapsed="false">
      <c r="A2172" s="12" t="str">
        <f aca="false">IF((AA2172&gt;=4), "Y", "N")</f>
        <v>Y</v>
      </c>
      <c r="B2172" s="74"/>
      <c r="C2172" s="26" t="s">
        <v>7814</v>
      </c>
      <c r="D2172" s="24"/>
      <c r="E2172" s="17"/>
      <c r="F2172" s="17"/>
      <c r="G2172" s="17"/>
      <c r="H2172" s="17"/>
      <c r="I2172" s="26" t="s">
        <v>209</v>
      </c>
      <c r="J2172" s="32"/>
      <c r="K2172" s="17"/>
      <c r="L2172" s="38"/>
      <c r="M2172" s="17"/>
      <c r="N2172" s="17"/>
      <c r="O2172" s="17"/>
      <c r="P2172" s="59" t="s">
        <v>7515</v>
      </c>
      <c r="Q2172" s="12"/>
      <c r="R2172" s="12"/>
      <c r="S2172" s="12"/>
      <c r="T2172" s="12"/>
      <c r="U2172" s="12"/>
      <c r="V2172" s="12"/>
      <c r="Z2172" s="12"/>
      <c r="AA2172" s="12" t="n">
        <v>5</v>
      </c>
      <c r="AB2172" s="12"/>
      <c r="AC2172" s="12"/>
      <c r="AD2172" s="12"/>
      <c r="AE2172" s="12"/>
    </row>
    <row r="2173" customFormat="false" ht="15.75" hidden="false" customHeight="false" outlineLevel="0" collapsed="false">
      <c r="A2173" s="12" t="str">
        <f aca="false">IF((AA2173&gt;=4), "Y", "N")</f>
        <v>Y</v>
      </c>
      <c r="B2173" s="74"/>
      <c r="C2173" s="26" t="s">
        <v>7815</v>
      </c>
      <c r="D2173" s="24"/>
      <c r="E2173" s="17"/>
      <c r="F2173" s="17"/>
      <c r="G2173" s="17"/>
      <c r="H2173" s="17"/>
      <c r="I2173" s="26" t="s">
        <v>209</v>
      </c>
      <c r="J2173" s="32"/>
      <c r="K2173" s="17"/>
      <c r="L2173" s="38"/>
      <c r="M2173" s="17"/>
      <c r="N2173" s="17"/>
      <c r="O2173" s="17"/>
      <c r="P2173" s="59" t="s">
        <v>7515</v>
      </c>
      <c r="Q2173" s="12"/>
      <c r="R2173" s="12"/>
      <c r="S2173" s="12"/>
      <c r="T2173" s="12"/>
      <c r="U2173" s="12"/>
      <c r="V2173" s="12"/>
      <c r="Z2173" s="12"/>
      <c r="AA2173" s="12" t="n">
        <v>5</v>
      </c>
      <c r="AB2173" s="12"/>
      <c r="AC2173" s="12"/>
      <c r="AD2173" s="12"/>
      <c r="AE2173" s="12"/>
    </row>
    <row r="2174" customFormat="false" ht="15.75" hidden="false" customHeight="false" outlineLevel="0" collapsed="false">
      <c r="A2174" s="12" t="str">
        <f aca="false">IF((AA2174&gt;=4), "Y", "N")</f>
        <v>Y</v>
      </c>
      <c r="B2174" s="74"/>
      <c r="C2174" s="26" t="s">
        <v>7816</v>
      </c>
      <c r="D2174" s="24"/>
      <c r="E2174" s="17"/>
      <c r="F2174" s="17"/>
      <c r="G2174" s="17"/>
      <c r="H2174" s="17"/>
      <c r="I2174" s="26" t="s">
        <v>209</v>
      </c>
      <c r="J2174" s="32"/>
      <c r="K2174" s="17"/>
      <c r="L2174" s="38"/>
      <c r="M2174" s="17"/>
      <c r="N2174" s="17"/>
      <c r="O2174" s="17"/>
      <c r="P2174" s="59" t="s">
        <v>7515</v>
      </c>
      <c r="Q2174" s="12"/>
      <c r="R2174" s="12"/>
      <c r="S2174" s="12"/>
      <c r="T2174" s="12"/>
      <c r="U2174" s="12"/>
      <c r="V2174" s="12"/>
      <c r="Z2174" s="12"/>
      <c r="AA2174" s="12" t="n">
        <v>5</v>
      </c>
      <c r="AB2174" s="12"/>
      <c r="AC2174" s="12"/>
      <c r="AD2174" s="12"/>
      <c r="AE2174" s="12"/>
    </row>
    <row r="2175" customFormat="false" ht="15.75" hidden="false" customHeight="false" outlineLevel="0" collapsed="false">
      <c r="A2175" s="12" t="str">
        <f aca="false">IF((AA2175&gt;=4), "Y", "N")</f>
        <v>Y</v>
      </c>
      <c r="B2175" s="74"/>
      <c r="C2175" s="26" t="s">
        <v>7817</v>
      </c>
      <c r="D2175" s="24"/>
      <c r="E2175" s="17"/>
      <c r="F2175" s="17"/>
      <c r="G2175" s="17"/>
      <c r="H2175" s="17"/>
      <c r="I2175" s="26" t="s">
        <v>209</v>
      </c>
      <c r="J2175" s="32"/>
      <c r="K2175" s="17"/>
      <c r="L2175" s="38"/>
      <c r="M2175" s="17"/>
      <c r="N2175" s="17"/>
      <c r="O2175" s="17"/>
      <c r="P2175" s="59" t="s">
        <v>7515</v>
      </c>
      <c r="Q2175" s="12"/>
      <c r="R2175" s="12"/>
      <c r="S2175" s="12"/>
      <c r="T2175" s="12"/>
      <c r="U2175" s="12"/>
      <c r="V2175" s="12"/>
      <c r="Z2175" s="12"/>
      <c r="AA2175" s="12" t="n">
        <v>5</v>
      </c>
      <c r="AB2175" s="12"/>
      <c r="AC2175" s="12"/>
      <c r="AD2175" s="12"/>
      <c r="AE2175" s="12"/>
    </row>
    <row r="2176" customFormat="false" ht="15.75" hidden="false" customHeight="false" outlineLevel="0" collapsed="false">
      <c r="A2176" s="12" t="str">
        <f aca="false">IF((AA2176&gt;=4), "Y", "N")</f>
        <v>Y</v>
      </c>
      <c r="B2176" s="74"/>
      <c r="C2176" s="26" t="s">
        <v>7818</v>
      </c>
      <c r="D2176" s="24"/>
      <c r="E2176" s="17"/>
      <c r="F2176" s="17"/>
      <c r="G2176" s="17"/>
      <c r="H2176" s="17"/>
      <c r="I2176" s="26" t="s">
        <v>209</v>
      </c>
      <c r="J2176" s="32"/>
      <c r="K2176" s="17"/>
      <c r="L2176" s="38"/>
      <c r="M2176" s="17"/>
      <c r="N2176" s="17"/>
      <c r="O2176" s="17"/>
      <c r="P2176" s="59" t="s">
        <v>7515</v>
      </c>
      <c r="Q2176" s="12"/>
      <c r="R2176" s="12"/>
      <c r="S2176" s="12"/>
      <c r="T2176" s="12"/>
      <c r="U2176" s="12"/>
      <c r="V2176" s="12"/>
      <c r="Z2176" s="12"/>
      <c r="AA2176" s="12" t="n">
        <v>5</v>
      </c>
      <c r="AB2176" s="12"/>
      <c r="AC2176" s="12"/>
      <c r="AD2176" s="12"/>
      <c r="AE2176" s="12"/>
    </row>
    <row r="2177" customFormat="false" ht="15.75" hidden="false" customHeight="false" outlineLevel="0" collapsed="false">
      <c r="A2177" s="12" t="str">
        <f aca="false">IF((AA2177&gt;=4), "Y", "N")</f>
        <v>Y</v>
      </c>
      <c r="B2177" s="74"/>
      <c r="C2177" s="26" t="s">
        <v>7819</v>
      </c>
      <c r="D2177" s="24"/>
      <c r="E2177" s="17"/>
      <c r="F2177" s="17"/>
      <c r="G2177" s="17"/>
      <c r="H2177" s="17"/>
      <c r="I2177" s="26" t="s">
        <v>209</v>
      </c>
      <c r="J2177" s="32"/>
      <c r="K2177" s="17"/>
      <c r="L2177" s="38"/>
      <c r="M2177" s="17"/>
      <c r="N2177" s="17"/>
      <c r="O2177" s="17"/>
      <c r="P2177" s="59" t="s">
        <v>7515</v>
      </c>
      <c r="Q2177" s="12"/>
      <c r="R2177" s="12"/>
      <c r="S2177" s="12"/>
      <c r="T2177" s="12"/>
      <c r="U2177" s="12"/>
      <c r="V2177" s="12"/>
      <c r="Z2177" s="12"/>
      <c r="AA2177" s="12" t="n">
        <v>5</v>
      </c>
      <c r="AB2177" s="12"/>
      <c r="AC2177" s="12"/>
      <c r="AD2177" s="12"/>
      <c r="AE2177" s="12"/>
    </row>
    <row r="2178" customFormat="false" ht="15.75" hidden="false" customHeight="false" outlineLevel="0" collapsed="false">
      <c r="A2178" s="12" t="str">
        <f aca="false">IF((AA2178&gt;=4), "Y", "N")</f>
        <v>Y</v>
      </c>
      <c r="B2178" s="74"/>
      <c r="C2178" s="26" t="s">
        <v>7820</v>
      </c>
      <c r="D2178" s="24"/>
      <c r="E2178" s="17"/>
      <c r="F2178" s="17"/>
      <c r="G2178" s="17"/>
      <c r="H2178" s="17"/>
      <c r="I2178" s="26" t="s">
        <v>209</v>
      </c>
      <c r="J2178" s="32"/>
      <c r="K2178" s="17"/>
      <c r="L2178" s="38"/>
      <c r="M2178" s="17"/>
      <c r="N2178" s="17"/>
      <c r="O2178" s="17"/>
      <c r="P2178" s="59" t="s">
        <v>7515</v>
      </c>
      <c r="Q2178" s="12"/>
      <c r="R2178" s="12"/>
      <c r="S2178" s="12"/>
      <c r="T2178" s="12"/>
      <c r="U2178" s="12"/>
      <c r="V2178" s="12"/>
      <c r="Z2178" s="12"/>
      <c r="AA2178" s="12" t="n">
        <v>5</v>
      </c>
      <c r="AB2178" s="12"/>
      <c r="AC2178" s="12"/>
      <c r="AD2178" s="12"/>
      <c r="AE2178" s="12"/>
    </row>
    <row r="2179" customFormat="false" ht="15.75" hidden="false" customHeight="false" outlineLevel="0" collapsed="false">
      <c r="A2179" s="12" t="str">
        <f aca="false">IF((AA2179&gt;=4), "Y", "N")</f>
        <v>Y</v>
      </c>
      <c r="B2179" s="74"/>
      <c r="C2179" s="125" t="s">
        <v>7821</v>
      </c>
      <c r="D2179" s="24"/>
      <c r="E2179" s="17"/>
      <c r="F2179" s="17"/>
      <c r="G2179" s="17"/>
      <c r="H2179" s="17"/>
      <c r="I2179" s="26" t="s">
        <v>209</v>
      </c>
      <c r="J2179" s="32"/>
      <c r="K2179" s="17"/>
      <c r="L2179" s="38"/>
      <c r="M2179" s="17"/>
      <c r="N2179" s="17"/>
      <c r="O2179" s="17"/>
      <c r="P2179" s="59" t="s">
        <v>7515</v>
      </c>
      <c r="Q2179" s="12"/>
      <c r="R2179" s="12"/>
      <c r="S2179" s="12"/>
      <c r="T2179" s="12"/>
      <c r="U2179" s="12"/>
      <c r="V2179" s="12"/>
      <c r="Z2179" s="12"/>
      <c r="AA2179" s="12" t="n">
        <v>5</v>
      </c>
      <c r="AB2179" s="12"/>
      <c r="AC2179" s="12"/>
      <c r="AD2179" s="12"/>
      <c r="AE2179" s="12"/>
    </row>
    <row r="2180" customFormat="false" ht="15.75" hidden="false" customHeight="false" outlineLevel="0" collapsed="false">
      <c r="A2180" s="12" t="str">
        <f aca="false">IF((AA2180&gt;=4), "Y", "N")</f>
        <v>Y</v>
      </c>
      <c r="B2180" s="74"/>
      <c r="C2180" s="26" t="s">
        <v>7822</v>
      </c>
      <c r="D2180" s="24"/>
      <c r="E2180" s="17"/>
      <c r="F2180" s="17"/>
      <c r="G2180" s="17"/>
      <c r="H2180" s="17"/>
      <c r="I2180" s="26" t="s">
        <v>209</v>
      </c>
      <c r="J2180" s="32"/>
      <c r="K2180" s="17"/>
      <c r="L2180" s="38"/>
      <c r="M2180" s="17"/>
      <c r="N2180" s="17"/>
      <c r="O2180" s="17"/>
      <c r="P2180" s="59" t="s">
        <v>7515</v>
      </c>
      <c r="Q2180" s="12"/>
      <c r="R2180" s="12"/>
      <c r="S2180" s="12"/>
      <c r="T2180" s="12"/>
      <c r="U2180" s="12"/>
      <c r="V2180" s="12"/>
      <c r="Z2180" s="12"/>
      <c r="AA2180" s="12" t="n">
        <v>5</v>
      </c>
      <c r="AB2180" s="12"/>
      <c r="AC2180" s="12"/>
      <c r="AD2180" s="12"/>
      <c r="AE2180" s="12"/>
    </row>
    <row r="2181" customFormat="false" ht="15.75" hidden="false" customHeight="false" outlineLevel="0" collapsed="false">
      <c r="A2181" s="12" t="str">
        <f aca="false">IF((AA2181&gt;=4), "Y", "N")</f>
        <v>Y</v>
      </c>
      <c r="B2181" s="74"/>
      <c r="C2181" s="26" t="s">
        <v>7823</v>
      </c>
      <c r="D2181" s="24"/>
      <c r="E2181" s="17"/>
      <c r="F2181" s="17"/>
      <c r="G2181" s="17"/>
      <c r="H2181" s="17"/>
      <c r="I2181" s="26" t="s">
        <v>209</v>
      </c>
      <c r="J2181" s="32"/>
      <c r="K2181" s="17"/>
      <c r="L2181" s="38"/>
      <c r="M2181" s="17"/>
      <c r="N2181" s="17"/>
      <c r="O2181" s="17"/>
      <c r="P2181" s="59" t="s">
        <v>7515</v>
      </c>
      <c r="Q2181" s="12"/>
      <c r="R2181" s="12"/>
      <c r="S2181" s="12"/>
      <c r="T2181" s="12"/>
      <c r="U2181" s="12"/>
      <c r="V2181" s="12"/>
      <c r="Z2181" s="12"/>
      <c r="AA2181" s="12" t="n">
        <v>5</v>
      </c>
      <c r="AB2181" s="12"/>
      <c r="AC2181" s="12"/>
      <c r="AD2181" s="12"/>
      <c r="AE2181" s="12"/>
    </row>
    <row r="2182" customFormat="false" ht="15.75" hidden="false" customHeight="false" outlineLevel="0" collapsed="false">
      <c r="A2182" s="12" t="str">
        <f aca="false">IF((AA2182&gt;=4), "Y", "N")</f>
        <v>Y</v>
      </c>
      <c r="B2182" s="74"/>
      <c r="C2182" s="26" t="s">
        <v>7824</v>
      </c>
      <c r="D2182" s="24"/>
      <c r="E2182" s="17"/>
      <c r="F2182" s="17"/>
      <c r="G2182" s="17"/>
      <c r="H2182" s="17"/>
      <c r="I2182" s="26" t="s">
        <v>209</v>
      </c>
      <c r="J2182" s="32"/>
      <c r="K2182" s="17"/>
      <c r="L2182" s="38"/>
      <c r="M2182" s="17"/>
      <c r="N2182" s="17"/>
      <c r="O2182" s="17"/>
      <c r="P2182" s="59" t="s">
        <v>7515</v>
      </c>
      <c r="Q2182" s="12"/>
      <c r="R2182" s="12"/>
      <c r="S2182" s="12"/>
      <c r="T2182" s="12"/>
      <c r="U2182" s="12"/>
      <c r="V2182" s="12"/>
      <c r="Z2182" s="12"/>
      <c r="AA2182" s="12" t="n">
        <v>5</v>
      </c>
      <c r="AB2182" s="12"/>
      <c r="AC2182" s="12"/>
      <c r="AD2182" s="12"/>
      <c r="AE2182" s="12"/>
    </row>
    <row r="2183" customFormat="false" ht="15.75" hidden="false" customHeight="false" outlineLevel="0" collapsed="false">
      <c r="A2183" s="12" t="str">
        <f aca="false">IF((AA2183&gt;=4), "Y", "N")</f>
        <v>Y</v>
      </c>
      <c r="B2183" s="74"/>
      <c r="C2183" s="26" t="s">
        <v>7825</v>
      </c>
      <c r="D2183" s="24"/>
      <c r="E2183" s="17"/>
      <c r="F2183" s="17"/>
      <c r="G2183" s="17"/>
      <c r="H2183" s="17"/>
      <c r="I2183" s="26" t="s">
        <v>209</v>
      </c>
      <c r="J2183" s="32"/>
      <c r="K2183" s="17"/>
      <c r="L2183" s="38"/>
      <c r="M2183" s="17"/>
      <c r="N2183" s="17"/>
      <c r="O2183" s="17"/>
      <c r="P2183" s="59" t="s">
        <v>7515</v>
      </c>
      <c r="Q2183" s="12"/>
      <c r="R2183" s="12"/>
      <c r="S2183" s="12"/>
      <c r="T2183" s="12"/>
      <c r="U2183" s="12"/>
      <c r="V2183" s="12"/>
      <c r="Z2183" s="12"/>
      <c r="AA2183" s="12" t="n">
        <v>5</v>
      </c>
      <c r="AB2183" s="12"/>
      <c r="AC2183" s="12"/>
      <c r="AD2183" s="12"/>
      <c r="AE2183" s="12"/>
    </row>
    <row r="2184" customFormat="false" ht="15.75" hidden="false" customHeight="false" outlineLevel="0" collapsed="false">
      <c r="A2184" s="12" t="str">
        <f aca="false">IF((AA2184&gt;=4), "Y", "N")</f>
        <v>Y</v>
      </c>
      <c r="B2184" s="74"/>
      <c r="C2184" s="26" t="s">
        <v>7826</v>
      </c>
      <c r="D2184" s="24"/>
      <c r="E2184" s="17"/>
      <c r="F2184" s="17"/>
      <c r="G2184" s="17"/>
      <c r="H2184" s="17"/>
      <c r="I2184" s="26" t="s">
        <v>209</v>
      </c>
      <c r="J2184" s="32"/>
      <c r="K2184" s="17"/>
      <c r="L2184" s="38"/>
      <c r="M2184" s="17"/>
      <c r="N2184" s="17"/>
      <c r="O2184" s="17"/>
      <c r="P2184" s="59" t="s">
        <v>7515</v>
      </c>
      <c r="Q2184" s="12"/>
      <c r="R2184" s="12"/>
      <c r="S2184" s="12"/>
      <c r="T2184" s="12"/>
      <c r="U2184" s="12"/>
      <c r="V2184" s="12"/>
      <c r="Z2184" s="12"/>
      <c r="AA2184" s="12" t="n">
        <v>5</v>
      </c>
      <c r="AB2184" s="12"/>
      <c r="AC2184" s="12"/>
      <c r="AD2184" s="12"/>
      <c r="AE2184" s="12"/>
    </row>
    <row r="2185" customFormat="false" ht="15.75" hidden="false" customHeight="false" outlineLevel="0" collapsed="false">
      <c r="A2185" s="12" t="str">
        <f aca="false">IF((AA2185&gt;=4), "Y", "N")</f>
        <v>Y</v>
      </c>
      <c r="B2185" s="74"/>
      <c r="C2185" s="26" t="s">
        <v>7827</v>
      </c>
      <c r="D2185" s="24"/>
      <c r="E2185" s="17"/>
      <c r="F2185" s="17"/>
      <c r="G2185" s="17"/>
      <c r="H2185" s="17"/>
      <c r="I2185" s="26" t="s">
        <v>209</v>
      </c>
      <c r="J2185" s="32"/>
      <c r="K2185" s="17"/>
      <c r="L2185" s="38"/>
      <c r="M2185" s="17"/>
      <c r="N2185" s="17"/>
      <c r="O2185" s="17"/>
      <c r="P2185" s="59" t="s">
        <v>7515</v>
      </c>
      <c r="Q2185" s="12"/>
      <c r="R2185" s="12"/>
      <c r="S2185" s="12"/>
      <c r="T2185" s="12"/>
      <c r="U2185" s="12"/>
      <c r="V2185" s="12"/>
      <c r="Z2185" s="12"/>
      <c r="AA2185" s="12" t="n">
        <v>5</v>
      </c>
      <c r="AB2185" s="12"/>
      <c r="AC2185" s="12"/>
      <c r="AD2185" s="12"/>
      <c r="AE2185" s="12"/>
    </row>
    <row r="2186" customFormat="false" ht="15.75" hidden="false" customHeight="false" outlineLevel="0" collapsed="false">
      <c r="A2186" s="12" t="str">
        <f aca="false">IF((AA2186&gt;=4), "Y", "N")</f>
        <v>Y</v>
      </c>
      <c r="B2186" s="74"/>
      <c r="C2186" s="26" t="s">
        <v>7828</v>
      </c>
      <c r="D2186" s="24"/>
      <c r="E2186" s="17"/>
      <c r="F2186" s="17"/>
      <c r="G2186" s="17"/>
      <c r="H2186" s="17"/>
      <c r="I2186" s="26" t="s">
        <v>209</v>
      </c>
      <c r="J2186" s="32"/>
      <c r="K2186" s="17"/>
      <c r="L2186" s="38"/>
      <c r="M2186" s="17"/>
      <c r="N2186" s="17"/>
      <c r="O2186" s="17"/>
      <c r="P2186" s="59" t="s">
        <v>7515</v>
      </c>
      <c r="Q2186" s="12"/>
      <c r="R2186" s="12"/>
      <c r="S2186" s="12"/>
      <c r="T2186" s="12"/>
      <c r="U2186" s="12"/>
      <c r="V2186" s="12"/>
      <c r="Z2186" s="12"/>
      <c r="AA2186" s="12" t="n">
        <v>5</v>
      </c>
      <c r="AB2186" s="12"/>
      <c r="AC2186" s="12"/>
      <c r="AD2186" s="12"/>
      <c r="AE2186" s="12"/>
    </row>
    <row r="2187" customFormat="false" ht="15.75" hidden="false" customHeight="false" outlineLevel="0" collapsed="false">
      <c r="A2187" s="12" t="str">
        <f aca="false">IF((AA2187&gt;=4), "Y", "N")</f>
        <v>Y</v>
      </c>
      <c r="B2187" s="74"/>
      <c r="C2187" s="26" t="s">
        <v>7829</v>
      </c>
      <c r="D2187" s="24"/>
      <c r="E2187" s="17"/>
      <c r="F2187" s="17"/>
      <c r="G2187" s="17"/>
      <c r="H2187" s="17"/>
      <c r="I2187" s="26" t="s">
        <v>209</v>
      </c>
      <c r="J2187" s="32"/>
      <c r="K2187" s="17"/>
      <c r="L2187" s="38"/>
      <c r="M2187" s="17"/>
      <c r="N2187" s="17"/>
      <c r="O2187" s="17"/>
      <c r="P2187" s="59" t="s">
        <v>7515</v>
      </c>
      <c r="Q2187" s="12"/>
      <c r="R2187" s="12"/>
      <c r="S2187" s="12"/>
      <c r="T2187" s="12"/>
      <c r="U2187" s="12"/>
      <c r="V2187" s="12"/>
      <c r="Z2187" s="12"/>
      <c r="AA2187" s="12" t="n">
        <v>5</v>
      </c>
      <c r="AB2187" s="12"/>
      <c r="AC2187" s="12"/>
      <c r="AD2187" s="12"/>
      <c r="AE2187" s="12"/>
    </row>
    <row r="2188" customFormat="false" ht="15.75" hidden="false" customHeight="false" outlineLevel="0" collapsed="false">
      <c r="A2188" s="12" t="str">
        <f aca="false">IF((AA2188&gt;=4), "Y", "N")</f>
        <v>Y</v>
      </c>
      <c r="B2188" s="74"/>
      <c r="C2188" s="26" t="s">
        <v>7830</v>
      </c>
      <c r="D2188" s="24"/>
      <c r="E2188" s="17"/>
      <c r="F2188" s="17"/>
      <c r="G2188" s="17"/>
      <c r="H2188" s="17"/>
      <c r="I2188" s="26" t="s">
        <v>209</v>
      </c>
      <c r="J2188" s="32"/>
      <c r="K2188" s="17"/>
      <c r="L2188" s="38"/>
      <c r="M2188" s="17"/>
      <c r="N2188" s="17"/>
      <c r="O2188" s="17"/>
      <c r="P2188" s="59" t="s">
        <v>7515</v>
      </c>
      <c r="Q2188" s="12"/>
      <c r="R2188" s="12"/>
      <c r="S2188" s="12"/>
      <c r="T2188" s="12"/>
      <c r="U2188" s="12"/>
      <c r="V2188" s="12"/>
      <c r="Z2188" s="12"/>
      <c r="AA2188" s="12" t="n">
        <v>5</v>
      </c>
      <c r="AB2188" s="12"/>
      <c r="AC2188" s="12"/>
      <c r="AD2188" s="12"/>
      <c r="AE2188" s="12"/>
    </row>
    <row r="2189" customFormat="false" ht="15.75" hidden="false" customHeight="false" outlineLevel="0" collapsed="false">
      <c r="A2189" s="12" t="str">
        <f aca="false">IF((AA2189&gt;=4), "Y", "N")</f>
        <v>Y</v>
      </c>
      <c r="B2189" s="74"/>
      <c r="C2189" s="26" t="s">
        <v>7831</v>
      </c>
      <c r="D2189" s="24"/>
      <c r="E2189" s="17"/>
      <c r="F2189" s="17"/>
      <c r="G2189" s="17"/>
      <c r="H2189" s="17"/>
      <c r="I2189" s="26" t="s">
        <v>209</v>
      </c>
      <c r="J2189" s="32"/>
      <c r="K2189" s="17"/>
      <c r="L2189" s="38"/>
      <c r="M2189" s="17"/>
      <c r="N2189" s="17"/>
      <c r="O2189" s="17"/>
      <c r="P2189" s="59" t="s">
        <v>7515</v>
      </c>
      <c r="Q2189" s="12"/>
      <c r="R2189" s="12"/>
      <c r="S2189" s="12"/>
      <c r="T2189" s="12"/>
      <c r="U2189" s="12"/>
      <c r="V2189" s="12"/>
      <c r="Z2189" s="12"/>
      <c r="AA2189" s="12" t="n">
        <v>5</v>
      </c>
      <c r="AB2189" s="12"/>
      <c r="AC2189" s="12"/>
      <c r="AD2189" s="12"/>
      <c r="AE2189" s="12"/>
    </row>
    <row r="2190" customFormat="false" ht="15.75" hidden="false" customHeight="false" outlineLevel="0" collapsed="false">
      <c r="A2190" s="12" t="str">
        <f aca="false">IF((AA2190&gt;=4), "Y", "N")</f>
        <v>Y</v>
      </c>
      <c r="B2190" s="74"/>
      <c r="C2190" s="26" t="s">
        <v>7832</v>
      </c>
      <c r="D2190" s="24"/>
      <c r="E2190" s="17"/>
      <c r="F2190" s="17"/>
      <c r="G2190" s="17"/>
      <c r="H2190" s="17"/>
      <c r="I2190" s="26" t="s">
        <v>209</v>
      </c>
      <c r="J2190" s="32"/>
      <c r="K2190" s="17"/>
      <c r="L2190" s="38"/>
      <c r="M2190" s="17"/>
      <c r="N2190" s="17"/>
      <c r="O2190" s="17"/>
      <c r="P2190" s="59" t="s">
        <v>7515</v>
      </c>
      <c r="Q2190" s="12"/>
      <c r="R2190" s="12"/>
      <c r="S2190" s="12"/>
      <c r="T2190" s="12"/>
      <c r="U2190" s="12"/>
      <c r="V2190" s="12"/>
      <c r="Z2190" s="12"/>
      <c r="AA2190" s="12" t="n">
        <v>5</v>
      </c>
      <c r="AB2190" s="12"/>
      <c r="AC2190" s="12"/>
      <c r="AD2190" s="12"/>
      <c r="AE2190" s="12"/>
    </row>
    <row r="2191" customFormat="false" ht="15.75" hidden="false" customHeight="false" outlineLevel="0" collapsed="false">
      <c r="A2191" s="12" t="str">
        <f aca="false">IF((AA2191&gt;=4), "Y", "N")</f>
        <v>Y</v>
      </c>
      <c r="B2191" s="74"/>
      <c r="C2191" s="26" t="s">
        <v>7833</v>
      </c>
      <c r="D2191" s="24"/>
      <c r="E2191" s="17"/>
      <c r="F2191" s="17"/>
      <c r="G2191" s="17"/>
      <c r="H2191" s="17"/>
      <c r="I2191" s="26" t="s">
        <v>209</v>
      </c>
      <c r="J2191" s="32"/>
      <c r="K2191" s="17"/>
      <c r="L2191" s="38"/>
      <c r="M2191" s="17"/>
      <c r="N2191" s="17"/>
      <c r="O2191" s="17"/>
      <c r="P2191" s="59" t="s">
        <v>7515</v>
      </c>
      <c r="Q2191" s="12"/>
      <c r="R2191" s="12"/>
      <c r="S2191" s="12"/>
      <c r="T2191" s="12"/>
      <c r="U2191" s="12"/>
      <c r="V2191" s="12"/>
      <c r="Z2191" s="12"/>
      <c r="AA2191" s="12" t="n">
        <v>5</v>
      </c>
      <c r="AB2191" s="12"/>
      <c r="AC2191" s="12"/>
      <c r="AD2191" s="12"/>
      <c r="AE2191" s="12"/>
    </row>
    <row r="2192" customFormat="false" ht="15.75" hidden="false" customHeight="false" outlineLevel="0" collapsed="false">
      <c r="A2192" s="12" t="str">
        <f aca="false">IF((AA2192&gt;=4), "Y", "N")</f>
        <v>Y</v>
      </c>
      <c r="B2192" s="74"/>
      <c r="C2192" s="26" t="s">
        <v>7834</v>
      </c>
      <c r="D2192" s="24"/>
      <c r="E2192" s="17"/>
      <c r="F2192" s="17"/>
      <c r="G2192" s="17"/>
      <c r="H2192" s="17"/>
      <c r="I2192" s="26" t="s">
        <v>209</v>
      </c>
      <c r="J2192" s="32"/>
      <c r="K2192" s="17"/>
      <c r="L2192" s="38"/>
      <c r="M2192" s="17"/>
      <c r="N2192" s="17"/>
      <c r="O2192" s="17"/>
      <c r="P2192" s="59" t="s">
        <v>7515</v>
      </c>
      <c r="Q2192" s="12"/>
      <c r="R2192" s="12"/>
      <c r="S2192" s="12"/>
      <c r="T2192" s="12"/>
      <c r="U2192" s="12"/>
      <c r="V2192" s="12"/>
      <c r="Z2192" s="12"/>
      <c r="AA2192" s="12" t="n">
        <v>5</v>
      </c>
      <c r="AB2192" s="12"/>
      <c r="AC2192" s="12"/>
      <c r="AD2192" s="12"/>
      <c r="AE2192" s="12"/>
    </row>
    <row r="2193" customFormat="false" ht="15.75" hidden="false" customHeight="false" outlineLevel="0" collapsed="false">
      <c r="A2193" s="12" t="str">
        <f aca="false">IF((AA2193&gt;=4), "Y", "N")</f>
        <v>Y</v>
      </c>
      <c r="B2193" s="74"/>
      <c r="C2193" s="26" t="s">
        <v>7835</v>
      </c>
      <c r="D2193" s="24"/>
      <c r="E2193" s="17"/>
      <c r="F2193" s="17"/>
      <c r="G2193" s="17"/>
      <c r="H2193" s="17"/>
      <c r="I2193" s="26" t="s">
        <v>209</v>
      </c>
      <c r="J2193" s="32"/>
      <c r="K2193" s="17"/>
      <c r="L2193" s="38"/>
      <c r="M2193" s="17"/>
      <c r="N2193" s="17"/>
      <c r="O2193" s="17"/>
      <c r="P2193" s="59" t="s">
        <v>7515</v>
      </c>
      <c r="Q2193" s="12"/>
      <c r="R2193" s="12"/>
      <c r="S2193" s="12"/>
      <c r="T2193" s="12"/>
      <c r="U2193" s="12"/>
      <c r="V2193" s="12"/>
      <c r="Z2193" s="12"/>
      <c r="AA2193" s="12" t="n">
        <v>5</v>
      </c>
      <c r="AB2193" s="12"/>
      <c r="AC2193" s="12"/>
      <c r="AD2193" s="12"/>
      <c r="AE2193" s="12"/>
    </row>
    <row r="2194" customFormat="false" ht="15.75" hidden="false" customHeight="false" outlineLevel="0" collapsed="false">
      <c r="A2194" s="12" t="str">
        <f aca="false">IF((AA2194&gt;=4), "Y", "N")</f>
        <v>Y</v>
      </c>
      <c r="B2194" s="74"/>
      <c r="C2194" s="26" t="s">
        <v>7836</v>
      </c>
      <c r="D2194" s="24"/>
      <c r="E2194" s="17"/>
      <c r="F2194" s="17"/>
      <c r="G2194" s="17"/>
      <c r="H2194" s="17"/>
      <c r="I2194" s="26" t="s">
        <v>209</v>
      </c>
      <c r="J2194" s="32"/>
      <c r="K2194" s="17"/>
      <c r="L2194" s="38"/>
      <c r="M2194" s="17"/>
      <c r="N2194" s="17"/>
      <c r="O2194" s="17"/>
      <c r="P2194" s="59" t="s">
        <v>7515</v>
      </c>
      <c r="Q2194" s="12"/>
      <c r="R2194" s="12"/>
      <c r="S2194" s="12"/>
      <c r="T2194" s="12"/>
      <c r="U2194" s="12"/>
      <c r="V2194" s="12"/>
      <c r="Z2194" s="12"/>
      <c r="AA2194" s="12" t="n">
        <v>5</v>
      </c>
      <c r="AB2194" s="12"/>
      <c r="AC2194" s="12"/>
      <c r="AD2194" s="12"/>
      <c r="AE2194" s="12"/>
    </row>
    <row r="2195" customFormat="false" ht="15.75" hidden="false" customHeight="false" outlineLevel="0" collapsed="false">
      <c r="A2195" s="12" t="str">
        <f aca="false">IF((AA2195&gt;=4), "Y", "N")</f>
        <v>Y</v>
      </c>
      <c r="B2195" s="74"/>
      <c r="C2195" s="26" t="s">
        <v>7837</v>
      </c>
      <c r="D2195" s="24"/>
      <c r="E2195" s="17"/>
      <c r="F2195" s="17"/>
      <c r="G2195" s="17"/>
      <c r="H2195" s="17"/>
      <c r="I2195" s="26" t="s">
        <v>209</v>
      </c>
      <c r="J2195" s="32"/>
      <c r="K2195" s="17"/>
      <c r="L2195" s="38"/>
      <c r="M2195" s="17"/>
      <c r="N2195" s="17"/>
      <c r="O2195" s="17"/>
      <c r="P2195" s="59" t="s">
        <v>7515</v>
      </c>
      <c r="Q2195" s="12"/>
      <c r="R2195" s="12"/>
      <c r="S2195" s="12"/>
      <c r="T2195" s="12"/>
      <c r="U2195" s="12"/>
      <c r="V2195" s="12"/>
      <c r="Z2195" s="12"/>
      <c r="AA2195" s="12" t="n">
        <v>5</v>
      </c>
      <c r="AB2195" s="12"/>
      <c r="AC2195" s="12"/>
      <c r="AD2195" s="12"/>
      <c r="AE2195" s="12"/>
    </row>
    <row r="2196" customFormat="false" ht="15.75" hidden="false" customHeight="false" outlineLevel="0" collapsed="false">
      <c r="A2196" s="12" t="str">
        <f aca="false">IF((AA2196&gt;=4), "Y", "N")</f>
        <v>Y</v>
      </c>
      <c r="B2196" s="74"/>
      <c r="C2196" s="26" t="s">
        <v>7838</v>
      </c>
      <c r="D2196" s="24"/>
      <c r="E2196" s="17"/>
      <c r="F2196" s="17"/>
      <c r="G2196" s="17"/>
      <c r="H2196" s="17"/>
      <c r="I2196" s="26" t="s">
        <v>209</v>
      </c>
      <c r="J2196" s="32"/>
      <c r="K2196" s="17"/>
      <c r="L2196" s="38"/>
      <c r="M2196" s="17"/>
      <c r="N2196" s="17"/>
      <c r="O2196" s="17"/>
      <c r="P2196" s="59" t="s">
        <v>7515</v>
      </c>
      <c r="Q2196" s="12"/>
      <c r="R2196" s="12"/>
      <c r="S2196" s="12"/>
      <c r="T2196" s="12"/>
      <c r="U2196" s="12"/>
      <c r="V2196" s="12"/>
      <c r="Z2196" s="12"/>
      <c r="AA2196" s="12" t="n">
        <v>5</v>
      </c>
      <c r="AB2196" s="12"/>
      <c r="AC2196" s="12"/>
      <c r="AD2196" s="12"/>
      <c r="AE2196" s="12"/>
    </row>
    <row r="2197" customFormat="false" ht="15.75" hidden="false" customHeight="false" outlineLevel="0" collapsed="false">
      <c r="A2197" s="12" t="str">
        <f aca="false">IF((AA2197&gt;=4), "Y", "N")</f>
        <v>Y</v>
      </c>
      <c r="B2197" s="74"/>
      <c r="C2197" s="26" t="s">
        <v>7839</v>
      </c>
      <c r="D2197" s="24"/>
      <c r="E2197" s="17"/>
      <c r="F2197" s="17"/>
      <c r="G2197" s="17"/>
      <c r="H2197" s="17"/>
      <c r="I2197" s="26" t="s">
        <v>209</v>
      </c>
      <c r="J2197" s="32"/>
      <c r="K2197" s="17"/>
      <c r="L2197" s="38"/>
      <c r="M2197" s="17"/>
      <c r="N2197" s="17"/>
      <c r="O2197" s="17"/>
      <c r="P2197" s="59" t="s">
        <v>7515</v>
      </c>
      <c r="Q2197" s="12"/>
      <c r="R2197" s="12"/>
      <c r="S2197" s="12"/>
      <c r="T2197" s="12"/>
      <c r="U2197" s="12"/>
      <c r="V2197" s="12"/>
      <c r="Z2197" s="12"/>
      <c r="AA2197" s="12" t="n">
        <v>5</v>
      </c>
      <c r="AB2197" s="12"/>
      <c r="AC2197" s="12"/>
      <c r="AD2197" s="12"/>
      <c r="AE2197" s="12"/>
    </row>
    <row r="2198" customFormat="false" ht="15.75" hidden="false" customHeight="false" outlineLevel="0" collapsed="false">
      <c r="A2198" s="12" t="str">
        <f aca="false">IF((AA2198&gt;=4), "Y", "N")</f>
        <v>Y</v>
      </c>
      <c r="B2198" s="74"/>
      <c r="C2198" s="125" t="s">
        <v>7840</v>
      </c>
      <c r="D2198" s="24"/>
      <c r="E2198" s="17"/>
      <c r="F2198" s="17"/>
      <c r="G2198" s="17"/>
      <c r="H2198" s="17"/>
      <c r="I2198" s="26" t="s">
        <v>209</v>
      </c>
      <c r="J2198" s="32"/>
      <c r="K2198" s="17"/>
      <c r="L2198" s="38"/>
      <c r="M2198" s="17"/>
      <c r="N2198" s="17"/>
      <c r="O2198" s="17"/>
      <c r="P2198" s="59" t="s">
        <v>7515</v>
      </c>
      <c r="Q2198" s="12"/>
      <c r="R2198" s="12"/>
      <c r="S2198" s="12"/>
      <c r="T2198" s="12"/>
      <c r="U2198" s="12"/>
      <c r="V2198" s="12"/>
      <c r="Z2198" s="12"/>
      <c r="AA2198" s="12" t="n">
        <v>5</v>
      </c>
      <c r="AB2198" s="12"/>
      <c r="AC2198" s="12"/>
      <c r="AD2198" s="12"/>
      <c r="AE2198" s="12"/>
    </row>
    <row r="2199" customFormat="false" ht="15.75" hidden="false" customHeight="false" outlineLevel="0" collapsed="false">
      <c r="A2199" s="12" t="str">
        <f aca="false">IF((AA2199&gt;=4), "Y", "N")</f>
        <v>Y</v>
      </c>
      <c r="B2199" s="74"/>
      <c r="C2199" s="26" t="s">
        <v>7841</v>
      </c>
      <c r="D2199" s="24"/>
      <c r="E2199" s="17"/>
      <c r="F2199" s="17"/>
      <c r="G2199" s="17"/>
      <c r="H2199" s="17"/>
      <c r="I2199" s="26" t="s">
        <v>209</v>
      </c>
      <c r="J2199" s="32"/>
      <c r="K2199" s="17"/>
      <c r="L2199" s="38"/>
      <c r="M2199" s="17"/>
      <c r="N2199" s="17"/>
      <c r="O2199" s="17"/>
      <c r="P2199" s="59" t="s">
        <v>7515</v>
      </c>
      <c r="Q2199" s="12"/>
      <c r="R2199" s="12"/>
      <c r="S2199" s="12"/>
      <c r="T2199" s="12"/>
      <c r="U2199" s="12"/>
      <c r="V2199" s="12"/>
      <c r="Z2199" s="12"/>
      <c r="AA2199" s="12" t="n">
        <v>5</v>
      </c>
      <c r="AB2199" s="12"/>
      <c r="AC2199" s="12"/>
      <c r="AD2199" s="12"/>
      <c r="AE2199" s="12"/>
    </row>
    <row r="2200" customFormat="false" ht="15.75" hidden="false" customHeight="false" outlineLevel="0" collapsed="false">
      <c r="A2200" s="12" t="str">
        <f aca="false">IF((AA2200&gt;=4), "Y", "N")</f>
        <v>Y</v>
      </c>
      <c r="B2200" s="74"/>
      <c r="C2200" s="26" t="s">
        <v>7842</v>
      </c>
      <c r="D2200" s="24"/>
      <c r="E2200" s="17"/>
      <c r="F2200" s="17"/>
      <c r="G2200" s="17"/>
      <c r="H2200" s="17"/>
      <c r="I2200" s="26" t="s">
        <v>209</v>
      </c>
      <c r="J2200" s="32"/>
      <c r="K2200" s="17"/>
      <c r="L2200" s="38"/>
      <c r="M2200" s="17"/>
      <c r="N2200" s="17"/>
      <c r="O2200" s="17"/>
      <c r="P2200" s="59" t="s">
        <v>7515</v>
      </c>
      <c r="Q2200" s="12"/>
      <c r="R2200" s="12"/>
      <c r="S2200" s="12"/>
      <c r="T2200" s="12"/>
      <c r="U2200" s="12"/>
      <c r="V2200" s="12"/>
      <c r="Z2200" s="12"/>
      <c r="AA2200" s="12" t="n">
        <v>5</v>
      </c>
      <c r="AB2200" s="12"/>
      <c r="AC2200" s="12"/>
      <c r="AD2200" s="12"/>
      <c r="AE2200" s="12"/>
    </row>
    <row r="2201" customFormat="false" ht="15.75" hidden="false" customHeight="false" outlineLevel="0" collapsed="false">
      <c r="A2201" s="12" t="str">
        <f aca="false">IF((AA2201&gt;=4), "Y", "N")</f>
        <v>Y</v>
      </c>
      <c r="B2201" s="74"/>
      <c r="C2201" s="26" t="s">
        <v>7843</v>
      </c>
      <c r="D2201" s="24"/>
      <c r="E2201" s="17"/>
      <c r="F2201" s="17"/>
      <c r="G2201" s="17"/>
      <c r="H2201" s="17"/>
      <c r="I2201" s="26" t="s">
        <v>209</v>
      </c>
      <c r="J2201" s="32"/>
      <c r="K2201" s="17"/>
      <c r="L2201" s="38"/>
      <c r="M2201" s="17"/>
      <c r="N2201" s="17"/>
      <c r="O2201" s="17"/>
      <c r="P2201" s="59" t="s">
        <v>7515</v>
      </c>
      <c r="Q2201" s="12"/>
      <c r="R2201" s="12"/>
      <c r="S2201" s="12"/>
      <c r="T2201" s="12"/>
      <c r="U2201" s="12"/>
      <c r="V2201" s="12"/>
      <c r="Z2201" s="12"/>
      <c r="AA2201" s="12" t="n">
        <v>5</v>
      </c>
      <c r="AB2201" s="12"/>
      <c r="AC2201" s="12"/>
      <c r="AD2201" s="12"/>
      <c r="AE2201" s="12"/>
    </row>
    <row r="2202" customFormat="false" ht="15.75" hidden="false" customHeight="false" outlineLevel="0" collapsed="false">
      <c r="A2202" s="12" t="str">
        <f aca="false">IF((AA2202&gt;=4), "Y", "N")</f>
        <v>Y</v>
      </c>
      <c r="B2202" s="74"/>
      <c r="C2202" s="26" t="s">
        <v>7844</v>
      </c>
      <c r="D2202" s="24"/>
      <c r="E2202" s="17"/>
      <c r="F2202" s="17"/>
      <c r="G2202" s="17"/>
      <c r="H2202" s="17"/>
      <c r="I2202" s="26" t="s">
        <v>209</v>
      </c>
      <c r="J2202" s="32"/>
      <c r="K2202" s="17"/>
      <c r="L2202" s="38"/>
      <c r="M2202" s="17"/>
      <c r="N2202" s="17"/>
      <c r="O2202" s="17"/>
      <c r="P2202" s="59" t="s">
        <v>7515</v>
      </c>
      <c r="Q2202" s="12"/>
      <c r="R2202" s="12"/>
      <c r="S2202" s="12"/>
      <c r="T2202" s="12"/>
      <c r="U2202" s="12"/>
      <c r="V2202" s="12"/>
      <c r="Z2202" s="12"/>
      <c r="AA2202" s="12" t="n">
        <v>5</v>
      </c>
      <c r="AB2202" s="12"/>
      <c r="AC2202" s="12"/>
      <c r="AD2202" s="12"/>
      <c r="AE2202" s="12"/>
    </row>
    <row r="2203" customFormat="false" ht="15.75" hidden="false" customHeight="false" outlineLevel="0" collapsed="false">
      <c r="A2203" s="12" t="str">
        <f aca="false">IF((AA2203&gt;=4), "Y", "N")</f>
        <v>Y</v>
      </c>
      <c r="B2203" s="74"/>
      <c r="C2203" s="26" t="s">
        <v>7845</v>
      </c>
      <c r="D2203" s="24"/>
      <c r="E2203" s="17"/>
      <c r="F2203" s="17"/>
      <c r="G2203" s="17"/>
      <c r="H2203" s="17"/>
      <c r="I2203" s="26" t="s">
        <v>209</v>
      </c>
      <c r="J2203" s="32"/>
      <c r="K2203" s="17"/>
      <c r="L2203" s="38"/>
      <c r="M2203" s="17"/>
      <c r="N2203" s="17"/>
      <c r="O2203" s="17"/>
      <c r="P2203" s="59" t="s">
        <v>7515</v>
      </c>
      <c r="Q2203" s="12"/>
      <c r="R2203" s="12"/>
      <c r="S2203" s="12"/>
      <c r="T2203" s="12"/>
      <c r="U2203" s="12"/>
      <c r="V2203" s="12"/>
      <c r="Z2203" s="12"/>
      <c r="AA2203" s="12" t="n">
        <v>5</v>
      </c>
      <c r="AB2203" s="12"/>
      <c r="AC2203" s="12"/>
      <c r="AD2203" s="12"/>
      <c r="AE2203" s="12"/>
    </row>
    <row r="2204" customFormat="false" ht="15.75" hidden="false" customHeight="false" outlineLevel="0" collapsed="false">
      <c r="A2204" s="12" t="str">
        <f aca="false">IF((AA2204&gt;=4), "Y", "N")</f>
        <v>Y</v>
      </c>
      <c r="B2204" s="74"/>
      <c r="C2204" s="26" t="s">
        <v>7846</v>
      </c>
      <c r="D2204" s="24"/>
      <c r="E2204" s="17"/>
      <c r="F2204" s="17"/>
      <c r="G2204" s="17"/>
      <c r="H2204" s="17"/>
      <c r="I2204" s="26" t="s">
        <v>209</v>
      </c>
      <c r="J2204" s="32"/>
      <c r="K2204" s="17"/>
      <c r="L2204" s="38"/>
      <c r="M2204" s="17"/>
      <c r="N2204" s="17"/>
      <c r="O2204" s="17"/>
      <c r="P2204" s="59" t="s">
        <v>7515</v>
      </c>
      <c r="Q2204" s="12"/>
      <c r="R2204" s="12"/>
      <c r="S2204" s="12"/>
      <c r="T2204" s="12"/>
      <c r="U2204" s="12"/>
      <c r="V2204" s="12"/>
      <c r="Z2204" s="12"/>
      <c r="AA2204" s="12" t="n">
        <v>5</v>
      </c>
      <c r="AB2204" s="12"/>
      <c r="AC2204" s="12"/>
      <c r="AD2204" s="12"/>
      <c r="AE2204" s="12"/>
    </row>
    <row r="2205" customFormat="false" ht="15.75" hidden="false" customHeight="false" outlineLevel="0" collapsed="false">
      <c r="A2205" s="12" t="str">
        <f aca="false">IF((AA2205&gt;=4), "Y", "N")</f>
        <v>Y</v>
      </c>
      <c r="B2205" s="74"/>
      <c r="C2205" s="26" t="s">
        <v>7847</v>
      </c>
      <c r="D2205" s="24"/>
      <c r="E2205" s="17"/>
      <c r="F2205" s="17"/>
      <c r="G2205" s="17"/>
      <c r="H2205" s="17"/>
      <c r="I2205" s="26" t="s">
        <v>209</v>
      </c>
      <c r="J2205" s="32"/>
      <c r="K2205" s="17"/>
      <c r="L2205" s="38"/>
      <c r="M2205" s="17"/>
      <c r="N2205" s="17"/>
      <c r="O2205" s="17"/>
      <c r="P2205" s="59" t="s">
        <v>7515</v>
      </c>
      <c r="Q2205" s="12"/>
      <c r="R2205" s="12"/>
      <c r="S2205" s="12"/>
      <c r="T2205" s="12"/>
      <c r="U2205" s="12"/>
      <c r="V2205" s="12"/>
      <c r="Z2205" s="12"/>
      <c r="AA2205" s="12" t="n">
        <v>5</v>
      </c>
      <c r="AB2205" s="12"/>
      <c r="AC2205" s="12"/>
      <c r="AD2205" s="12"/>
      <c r="AE2205" s="12"/>
    </row>
    <row r="2206" customFormat="false" ht="15.75" hidden="false" customHeight="false" outlineLevel="0" collapsed="false">
      <c r="A2206" s="12" t="str">
        <f aca="false">IF((AA2206&gt;=4), "Y", "N")</f>
        <v>Y</v>
      </c>
      <c r="B2206" s="74"/>
      <c r="C2206" s="125" t="s">
        <v>7848</v>
      </c>
      <c r="D2206" s="24"/>
      <c r="E2206" s="17"/>
      <c r="F2206" s="17"/>
      <c r="G2206" s="17"/>
      <c r="H2206" s="17"/>
      <c r="I2206" s="26" t="s">
        <v>209</v>
      </c>
      <c r="J2206" s="32"/>
      <c r="K2206" s="17"/>
      <c r="L2206" s="38"/>
      <c r="M2206" s="17"/>
      <c r="N2206" s="17"/>
      <c r="O2206" s="17"/>
      <c r="P2206" s="59" t="s">
        <v>7515</v>
      </c>
      <c r="Q2206" s="12"/>
      <c r="R2206" s="12"/>
      <c r="S2206" s="12"/>
      <c r="T2206" s="12"/>
      <c r="U2206" s="12"/>
      <c r="V2206" s="12"/>
      <c r="Z2206" s="12"/>
      <c r="AA2206" s="12" t="n">
        <v>5</v>
      </c>
      <c r="AB2206" s="12"/>
      <c r="AC2206" s="12"/>
      <c r="AD2206" s="12"/>
      <c r="AE2206" s="12"/>
    </row>
    <row r="2207" customFormat="false" ht="15.75" hidden="false" customHeight="false" outlineLevel="0" collapsed="false">
      <c r="A2207" s="12" t="str">
        <f aca="false">IF((AA2207&gt;=4), "Y", "N")</f>
        <v>Y</v>
      </c>
      <c r="B2207" s="74"/>
      <c r="C2207" s="26" t="s">
        <v>7849</v>
      </c>
      <c r="D2207" s="24"/>
      <c r="E2207" s="17"/>
      <c r="F2207" s="17"/>
      <c r="G2207" s="17"/>
      <c r="H2207" s="17"/>
      <c r="I2207" s="26" t="s">
        <v>209</v>
      </c>
      <c r="J2207" s="32"/>
      <c r="K2207" s="17"/>
      <c r="L2207" s="38"/>
      <c r="M2207" s="17"/>
      <c r="N2207" s="17"/>
      <c r="O2207" s="17"/>
      <c r="P2207" s="59" t="s">
        <v>7515</v>
      </c>
      <c r="Q2207" s="12"/>
      <c r="R2207" s="12"/>
      <c r="S2207" s="12"/>
      <c r="T2207" s="12"/>
      <c r="U2207" s="12"/>
      <c r="V2207" s="12"/>
      <c r="Z2207" s="12"/>
      <c r="AA2207" s="12" t="n">
        <v>5</v>
      </c>
      <c r="AB2207" s="12"/>
      <c r="AC2207" s="12"/>
      <c r="AD2207" s="12"/>
      <c r="AE2207" s="12"/>
    </row>
    <row r="2208" customFormat="false" ht="15.75" hidden="false" customHeight="false" outlineLevel="0" collapsed="false">
      <c r="A2208" s="12" t="str">
        <f aca="false">IF((AA2208&gt;=4), "Y", "N")</f>
        <v>Y</v>
      </c>
      <c r="B2208" s="74"/>
      <c r="C2208" s="26" t="s">
        <v>7850</v>
      </c>
      <c r="D2208" s="24"/>
      <c r="E2208" s="17"/>
      <c r="F2208" s="17"/>
      <c r="G2208" s="17"/>
      <c r="H2208" s="17"/>
      <c r="I2208" s="26" t="s">
        <v>209</v>
      </c>
      <c r="J2208" s="32"/>
      <c r="K2208" s="17"/>
      <c r="L2208" s="38"/>
      <c r="M2208" s="17"/>
      <c r="N2208" s="17"/>
      <c r="O2208" s="17"/>
      <c r="P2208" s="59" t="s">
        <v>7515</v>
      </c>
      <c r="Q2208" s="12"/>
      <c r="R2208" s="12"/>
      <c r="S2208" s="12"/>
      <c r="T2208" s="12"/>
      <c r="U2208" s="12"/>
      <c r="V2208" s="12"/>
      <c r="Z2208" s="12"/>
      <c r="AA2208" s="12" t="n">
        <v>5</v>
      </c>
      <c r="AB2208" s="12"/>
      <c r="AC2208" s="12"/>
      <c r="AD2208" s="12"/>
      <c r="AE2208" s="12"/>
    </row>
    <row r="2209" customFormat="false" ht="15.75" hidden="false" customHeight="false" outlineLevel="0" collapsed="false">
      <c r="A2209" s="12" t="str">
        <f aca="false">IF((AA2209&gt;=4), "Y", "N")</f>
        <v>Y</v>
      </c>
      <c r="B2209" s="74"/>
      <c r="C2209" s="26" t="s">
        <v>7851</v>
      </c>
      <c r="D2209" s="24"/>
      <c r="E2209" s="17"/>
      <c r="F2209" s="17"/>
      <c r="G2209" s="17"/>
      <c r="H2209" s="17"/>
      <c r="I2209" s="26" t="s">
        <v>209</v>
      </c>
      <c r="J2209" s="32"/>
      <c r="K2209" s="17"/>
      <c r="L2209" s="38"/>
      <c r="M2209" s="17"/>
      <c r="N2209" s="17"/>
      <c r="O2209" s="17"/>
      <c r="P2209" s="59" t="s">
        <v>7515</v>
      </c>
      <c r="Q2209" s="12"/>
      <c r="R2209" s="12"/>
      <c r="S2209" s="12"/>
      <c r="T2209" s="12"/>
      <c r="U2209" s="12"/>
      <c r="V2209" s="12"/>
      <c r="Z2209" s="12"/>
      <c r="AA2209" s="12" t="n">
        <v>5</v>
      </c>
      <c r="AB2209" s="12"/>
      <c r="AC2209" s="12"/>
      <c r="AD2209" s="12"/>
      <c r="AE2209" s="12"/>
    </row>
    <row r="2210" customFormat="false" ht="15.75" hidden="false" customHeight="false" outlineLevel="0" collapsed="false">
      <c r="A2210" s="12" t="str">
        <f aca="false">IF((AA2210&gt;=4), "Y", "N")</f>
        <v>Y</v>
      </c>
      <c r="B2210" s="74"/>
      <c r="C2210" s="26" t="s">
        <v>7852</v>
      </c>
      <c r="D2210" s="24"/>
      <c r="E2210" s="17"/>
      <c r="F2210" s="17"/>
      <c r="G2210" s="17"/>
      <c r="H2210" s="17"/>
      <c r="I2210" s="26" t="s">
        <v>209</v>
      </c>
      <c r="J2210" s="32"/>
      <c r="K2210" s="17"/>
      <c r="L2210" s="38"/>
      <c r="M2210" s="17"/>
      <c r="N2210" s="17"/>
      <c r="O2210" s="17"/>
      <c r="P2210" s="59" t="s">
        <v>7515</v>
      </c>
      <c r="Q2210" s="12"/>
      <c r="R2210" s="12"/>
      <c r="S2210" s="12"/>
      <c r="T2210" s="12"/>
      <c r="U2210" s="12"/>
      <c r="V2210" s="12"/>
      <c r="Z2210" s="12"/>
      <c r="AA2210" s="12" t="n">
        <v>5</v>
      </c>
      <c r="AB2210" s="12"/>
      <c r="AC2210" s="12"/>
      <c r="AD2210" s="12"/>
      <c r="AE2210" s="12"/>
    </row>
    <row r="2211" customFormat="false" ht="15.75" hidden="false" customHeight="false" outlineLevel="0" collapsed="false">
      <c r="A2211" s="12" t="str">
        <f aca="false">IF((AA2211&gt;=4), "Y", "N")</f>
        <v>Y</v>
      </c>
      <c r="B2211" s="74"/>
      <c r="C2211" s="26" t="s">
        <v>7853</v>
      </c>
      <c r="D2211" s="24"/>
      <c r="E2211" s="17"/>
      <c r="F2211" s="17"/>
      <c r="G2211" s="17"/>
      <c r="H2211" s="17"/>
      <c r="I2211" s="26" t="s">
        <v>209</v>
      </c>
      <c r="J2211" s="32"/>
      <c r="K2211" s="17"/>
      <c r="L2211" s="38"/>
      <c r="M2211" s="17"/>
      <c r="N2211" s="17"/>
      <c r="O2211" s="17"/>
      <c r="P2211" s="59" t="s">
        <v>7515</v>
      </c>
      <c r="Q2211" s="12"/>
      <c r="R2211" s="12"/>
      <c r="S2211" s="12"/>
      <c r="T2211" s="12"/>
      <c r="U2211" s="12"/>
      <c r="V2211" s="12"/>
      <c r="Z2211" s="12"/>
      <c r="AA2211" s="12" t="n">
        <v>5</v>
      </c>
      <c r="AB2211" s="12"/>
      <c r="AC2211" s="12"/>
      <c r="AD2211" s="12"/>
      <c r="AE2211" s="12"/>
    </row>
    <row r="2212" customFormat="false" ht="15.75" hidden="false" customHeight="false" outlineLevel="0" collapsed="false">
      <c r="A2212" s="12" t="str">
        <f aca="false">IF((AA2212&gt;=4), "Y", "N")</f>
        <v>Y</v>
      </c>
      <c r="B2212" s="74"/>
      <c r="C2212" s="26" t="s">
        <v>7854</v>
      </c>
      <c r="D2212" s="24"/>
      <c r="E2212" s="17"/>
      <c r="F2212" s="17"/>
      <c r="G2212" s="17"/>
      <c r="H2212" s="17"/>
      <c r="I2212" s="26" t="s">
        <v>209</v>
      </c>
      <c r="J2212" s="32"/>
      <c r="K2212" s="17"/>
      <c r="L2212" s="38"/>
      <c r="M2212" s="17"/>
      <c r="N2212" s="17"/>
      <c r="O2212" s="17"/>
      <c r="P2212" s="59" t="s">
        <v>7515</v>
      </c>
      <c r="Q2212" s="12"/>
      <c r="R2212" s="12"/>
      <c r="S2212" s="12"/>
      <c r="T2212" s="12"/>
      <c r="U2212" s="12"/>
      <c r="V2212" s="12"/>
      <c r="Z2212" s="12"/>
      <c r="AA2212" s="12" t="n">
        <v>5</v>
      </c>
      <c r="AB2212" s="12"/>
      <c r="AC2212" s="12"/>
      <c r="AD2212" s="12"/>
      <c r="AE2212" s="12"/>
    </row>
    <row r="2213" customFormat="false" ht="15.75" hidden="false" customHeight="false" outlineLevel="0" collapsed="false">
      <c r="A2213" s="12" t="str">
        <f aca="false">IF((AA2213&gt;=4), "Y", "N")</f>
        <v>Y</v>
      </c>
      <c r="B2213" s="74"/>
      <c r="C2213" s="26" t="s">
        <v>7855</v>
      </c>
      <c r="D2213" s="24"/>
      <c r="E2213" s="17"/>
      <c r="F2213" s="17"/>
      <c r="G2213" s="17"/>
      <c r="H2213" s="17"/>
      <c r="I2213" s="26" t="s">
        <v>209</v>
      </c>
      <c r="J2213" s="32"/>
      <c r="K2213" s="17"/>
      <c r="L2213" s="38"/>
      <c r="M2213" s="17"/>
      <c r="N2213" s="17"/>
      <c r="O2213" s="17"/>
      <c r="P2213" s="59" t="s">
        <v>7515</v>
      </c>
      <c r="Q2213" s="12"/>
      <c r="R2213" s="12"/>
      <c r="S2213" s="12"/>
      <c r="T2213" s="12"/>
      <c r="U2213" s="12"/>
      <c r="V2213" s="12"/>
      <c r="Z2213" s="12"/>
      <c r="AA2213" s="12" t="n">
        <v>5</v>
      </c>
      <c r="AB2213" s="12"/>
      <c r="AC2213" s="12"/>
      <c r="AD2213" s="12"/>
      <c r="AE2213" s="12"/>
    </row>
    <row r="2214" customFormat="false" ht="15.75" hidden="false" customHeight="false" outlineLevel="0" collapsed="false">
      <c r="A2214" s="12" t="str">
        <f aca="false">IF((AA2214&gt;=4), "Y", "N")</f>
        <v>Y</v>
      </c>
      <c r="B2214" s="74"/>
      <c r="C2214" s="26" t="s">
        <v>7856</v>
      </c>
      <c r="D2214" s="24"/>
      <c r="E2214" s="17"/>
      <c r="F2214" s="17"/>
      <c r="G2214" s="17"/>
      <c r="H2214" s="17"/>
      <c r="I2214" s="26" t="s">
        <v>209</v>
      </c>
      <c r="J2214" s="32"/>
      <c r="K2214" s="17"/>
      <c r="L2214" s="38"/>
      <c r="M2214" s="17"/>
      <c r="N2214" s="17"/>
      <c r="O2214" s="17"/>
      <c r="P2214" s="59" t="s">
        <v>7515</v>
      </c>
      <c r="Q2214" s="12"/>
      <c r="R2214" s="12"/>
      <c r="S2214" s="12"/>
      <c r="T2214" s="12"/>
      <c r="U2214" s="12"/>
      <c r="V2214" s="12"/>
      <c r="Z2214" s="12"/>
      <c r="AA2214" s="12" t="n">
        <v>5</v>
      </c>
      <c r="AB2214" s="12"/>
      <c r="AC2214" s="12"/>
      <c r="AD2214" s="12"/>
      <c r="AE2214" s="12"/>
    </row>
    <row r="2215" customFormat="false" ht="15.75" hidden="false" customHeight="false" outlineLevel="0" collapsed="false">
      <c r="A2215" s="12" t="str">
        <f aca="false">IF((AA2215&gt;=4), "Y", "N")</f>
        <v>Y</v>
      </c>
      <c r="B2215" s="74"/>
      <c r="C2215" s="125" t="s">
        <v>7857</v>
      </c>
      <c r="D2215" s="24"/>
      <c r="E2215" s="17"/>
      <c r="F2215" s="17"/>
      <c r="G2215" s="17"/>
      <c r="H2215" s="17"/>
      <c r="I2215" s="26" t="s">
        <v>209</v>
      </c>
      <c r="J2215" s="32"/>
      <c r="K2215" s="17"/>
      <c r="L2215" s="38"/>
      <c r="M2215" s="17"/>
      <c r="N2215" s="17"/>
      <c r="O2215" s="17"/>
      <c r="P2215" s="59" t="s">
        <v>7515</v>
      </c>
      <c r="Q2215" s="12"/>
      <c r="R2215" s="12"/>
      <c r="S2215" s="12"/>
      <c r="T2215" s="12"/>
      <c r="U2215" s="12"/>
      <c r="V2215" s="12"/>
      <c r="Z2215" s="12"/>
      <c r="AA2215" s="12" t="n">
        <v>5</v>
      </c>
      <c r="AB2215" s="12"/>
      <c r="AC2215" s="12"/>
      <c r="AD2215" s="12"/>
      <c r="AE2215" s="12"/>
    </row>
    <row r="2216" customFormat="false" ht="15.75" hidden="false" customHeight="false" outlineLevel="0" collapsed="false">
      <c r="A2216" s="12" t="str">
        <f aca="false">IF((AA2216&gt;=4), "Y", "N")</f>
        <v>Y</v>
      </c>
      <c r="B2216" s="74"/>
      <c r="C2216" s="26" t="s">
        <v>7858</v>
      </c>
      <c r="D2216" s="24"/>
      <c r="E2216" s="17"/>
      <c r="F2216" s="17"/>
      <c r="G2216" s="17"/>
      <c r="H2216" s="17"/>
      <c r="I2216" s="26" t="s">
        <v>209</v>
      </c>
      <c r="J2216" s="32"/>
      <c r="K2216" s="17"/>
      <c r="L2216" s="38"/>
      <c r="M2216" s="17"/>
      <c r="N2216" s="17"/>
      <c r="O2216" s="17"/>
      <c r="P2216" s="59" t="s">
        <v>7515</v>
      </c>
      <c r="Q2216" s="12"/>
      <c r="R2216" s="12"/>
      <c r="S2216" s="12"/>
      <c r="T2216" s="12"/>
      <c r="U2216" s="12"/>
      <c r="V2216" s="12"/>
      <c r="Z2216" s="12"/>
      <c r="AA2216" s="12" t="n">
        <v>5</v>
      </c>
      <c r="AB2216" s="12"/>
      <c r="AC2216" s="12"/>
      <c r="AD2216" s="12"/>
      <c r="AE2216" s="12"/>
    </row>
    <row r="2217" customFormat="false" ht="15.75" hidden="false" customHeight="false" outlineLevel="0" collapsed="false">
      <c r="A2217" s="12" t="str">
        <f aca="false">IF((AA2217&gt;=4), "Y", "N")</f>
        <v>Y</v>
      </c>
      <c r="B2217" s="74"/>
      <c r="C2217" s="26" t="s">
        <v>7859</v>
      </c>
      <c r="D2217" s="24"/>
      <c r="E2217" s="17"/>
      <c r="F2217" s="17"/>
      <c r="G2217" s="17"/>
      <c r="H2217" s="17"/>
      <c r="I2217" s="26" t="s">
        <v>209</v>
      </c>
      <c r="J2217" s="32"/>
      <c r="K2217" s="17"/>
      <c r="L2217" s="38"/>
      <c r="M2217" s="17"/>
      <c r="N2217" s="17"/>
      <c r="O2217" s="17"/>
      <c r="P2217" s="59" t="s">
        <v>7515</v>
      </c>
      <c r="Q2217" s="12"/>
      <c r="R2217" s="12"/>
      <c r="S2217" s="12"/>
      <c r="T2217" s="12"/>
      <c r="U2217" s="12"/>
      <c r="V2217" s="12"/>
      <c r="Z2217" s="12"/>
      <c r="AA2217" s="12" t="n">
        <v>5</v>
      </c>
      <c r="AB2217" s="12"/>
      <c r="AC2217" s="12"/>
      <c r="AD2217" s="12"/>
      <c r="AE2217" s="12"/>
    </row>
    <row r="2218" customFormat="false" ht="15.75" hidden="false" customHeight="false" outlineLevel="0" collapsed="false">
      <c r="A2218" s="12" t="str">
        <f aca="false">IF((AA2218&gt;=4), "Y", "N")</f>
        <v>Y</v>
      </c>
      <c r="B2218" s="74"/>
      <c r="C2218" s="26" t="s">
        <v>7860</v>
      </c>
      <c r="D2218" s="24"/>
      <c r="E2218" s="17"/>
      <c r="F2218" s="17"/>
      <c r="G2218" s="17"/>
      <c r="H2218" s="17"/>
      <c r="I2218" s="26" t="s">
        <v>209</v>
      </c>
      <c r="J2218" s="32"/>
      <c r="K2218" s="17"/>
      <c r="L2218" s="38"/>
      <c r="M2218" s="17"/>
      <c r="N2218" s="17"/>
      <c r="O2218" s="17"/>
      <c r="P2218" s="59" t="s">
        <v>7515</v>
      </c>
      <c r="Q2218" s="12"/>
      <c r="R2218" s="12"/>
      <c r="S2218" s="12"/>
      <c r="T2218" s="12"/>
      <c r="U2218" s="12"/>
      <c r="V2218" s="12"/>
      <c r="Z2218" s="12"/>
      <c r="AA2218" s="12" t="n">
        <v>5</v>
      </c>
      <c r="AB2218" s="12"/>
      <c r="AC2218" s="12"/>
      <c r="AD2218" s="12"/>
      <c r="AE2218" s="12"/>
    </row>
    <row r="2219" customFormat="false" ht="15.75" hidden="false" customHeight="false" outlineLevel="0" collapsed="false">
      <c r="A2219" s="12" t="str">
        <f aca="false">IF((AA2219&gt;=4), "Y", "N")</f>
        <v>Y</v>
      </c>
      <c r="B2219" s="74"/>
      <c r="C2219" s="26" t="s">
        <v>7861</v>
      </c>
      <c r="D2219" s="24"/>
      <c r="E2219" s="17"/>
      <c r="F2219" s="17"/>
      <c r="G2219" s="17"/>
      <c r="H2219" s="17"/>
      <c r="I2219" s="26" t="s">
        <v>209</v>
      </c>
      <c r="J2219" s="32"/>
      <c r="K2219" s="17"/>
      <c r="L2219" s="38"/>
      <c r="M2219" s="17"/>
      <c r="N2219" s="17"/>
      <c r="O2219" s="17"/>
      <c r="P2219" s="59" t="s">
        <v>7515</v>
      </c>
      <c r="Q2219" s="12"/>
      <c r="R2219" s="12"/>
      <c r="S2219" s="12"/>
      <c r="T2219" s="12"/>
      <c r="U2219" s="12"/>
      <c r="V2219" s="12"/>
      <c r="Z2219" s="12"/>
      <c r="AA2219" s="12" t="n">
        <v>5</v>
      </c>
      <c r="AB2219" s="12"/>
      <c r="AC2219" s="12"/>
      <c r="AD2219" s="12"/>
      <c r="AE2219" s="12"/>
    </row>
    <row r="2220" customFormat="false" ht="15.75" hidden="false" customHeight="false" outlineLevel="0" collapsed="false">
      <c r="A2220" s="12" t="str">
        <f aca="false">IF((AA2220&gt;=4), "Y", "N")</f>
        <v>Y</v>
      </c>
      <c r="B2220" s="74"/>
      <c r="C2220" s="26" t="s">
        <v>7862</v>
      </c>
      <c r="D2220" s="24"/>
      <c r="E2220" s="17"/>
      <c r="F2220" s="17"/>
      <c r="G2220" s="17"/>
      <c r="H2220" s="17"/>
      <c r="I2220" s="26" t="s">
        <v>209</v>
      </c>
      <c r="J2220" s="32"/>
      <c r="K2220" s="17"/>
      <c r="L2220" s="38"/>
      <c r="M2220" s="17"/>
      <c r="N2220" s="17"/>
      <c r="O2220" s="17"/>
      <c r="P2220" s="59" t="s">
        <v>7515</v>
      </c>
      <c r="Q2220" s="12"/>
      <c r="R2220" s="12"/>
      <c r="S2220" s="12"/>
      <c r="T2220" s="12"/>
      <c r="U2220" s="12"/>
      <c r="V2220" s="12"/>
      <c r="Z2220" s="12"/>
      <c r="AA2220" s="12" t="n">
        <v>5</v>
      </c>
      <c r="AB2220" s="12"/>
      <c r="AC2220" s="12"/>
      <c r="AD2220" s="12"/>
      <c r="AE2220" s="12"/>
    </row>
    <row r="2221" customFormat="false" ht="15.75" hidden="false" customHeight="false" outlineLevel="0" collapsed="false">
      <c r="A2221" s="12" t="str">
        <f aca="false">IF((AA2221&gt;=4), "Y", "N")</f>
        <v>Y</v>
      </c>
      <c r="B2221" s="74"/>
      <c r="C2221" s="26" t="s">
        <v>7863</v>
      </c>
      <c r="D2221" s="24"/>
      <c r="E2221" s="17"/>
      <c r="F2221" s="17"/>
      <c r="G2221" s="17"/>
      <c r="H2221" s="17"/>
      <c r="I2221" s="26" t="s">
        <v>209</v>
      </c>
      <c r="J2221" s="32"/>
      <c r="K2221" s="17"/>
      <c r="L2221" s="38"/>
      <c r="M2221" s="17"/>
      <c r="N2221" s="17"/>
      <c r="O2221" s="17"/>
      <c r="P2221" s="59" t="s">
        <v>7515</v>
      </c>
      <c r="Q2221" s="12"/>
      <c r="R2221" s="12"/>
      <c r="S2221" s="12"/>
      <c r="T2221" s="12"/>
      <c r="U2221" s="12"/>
      <c r="V2221" s="12"/>
      <c r="Z2221" s="12"/>
      <c r="AA2221" s="12" t="n">
        <v>5</v>
      </c>
      <c r="AB2221" s="12"/>
      <c r="AC2221" s="12"/>
      <c r="AD2221" s="12"/>
      <c r="AE2221" s="12"/>
    </row>
    <row r="2222" customFormat="false" ht="15.75" hidden="false" customHeight="false" outlineLevel="0" collapsed="false">
      <c r="A2222" s="12" t="str">
        <f aca="false">IF((AA2222&gt;=4), "Y", "N")</f>
        <v>Y</v>
      </c>
      <c r="B2222" s="74"/>
      <c r="C2222" s="26" t="s">
        <v>7864</v>
      </c>
      <c r="D2222" s="24"/>
      <c r="E2222" s="17"/>
      <c r="F2222" s="17"/>
      <c r="G2222" s="17"/>
      <c r="H2222" s="17"/>
      <c r="I2222" s="26" t="s">
        <v>209</v>
      </c>
      <c r="J2222" s="32"/>
      <c r="K2222" s="17"/>
      <c r="L2222" s="38"/>
      <c r="M2222" s="17"/>
      <c r="N2222" s="17"/>
      <c r="O2222" s="17"/>
      <c r="P2222" s="59" t="s">
        <v>7515</v>
      </c>
      <c r="Q2222" s="12"/>
      <c r="R2222" s="12"/>
      <c r="S2222" s="12"/>
      <c r="T2222" s="12"/>
      <c r="U2222" s="12"/>
      <c r="V2222" s="12"/>
      <c r="Z2222" s="12"/>
      <c r="AA2222" s="12" t="n">
        <v>5</v>
      </c>
      <c r="AB2222" s="12"/>
      <c r="AC2222" s="12"/>
      <c r="AD2222" s="12"/>
      <c r="AE2222" s="12"/>
    </row>
    <row r="2223" customFormat="false" ht="15.75" hidden="false" customHeight="false" outlineLevel="0" collapsed="false">
      <c r="A2223" s="12" t="str">
        <f aca="false">IF((AA2223&gt;=4), "Y", "N")</f>
        <v>Y</v>
      </c>
      <c r="B2223" s="74"/>
      <c r="C2223" s="26" t="s">
        <v>7865</v>
      </c>
      <c r="D2223" s="24"/>
      <c r="E2223" s="17"/>
      <c r="F2223" s="17"/>
      <c r="G2223" s="17"/>
      <c r="H2223" s="17"/>
      <c r="I2223" s="26" t="s">
        <v>209</v>
      </c>
      <c r="J2223" s="32"/>
      <c r="K2223" s="17"/>
      <c r="L2223" s="38"/>
      <c r="M2223" s="17"/>
      <c r="N2223" s="17"/>
      <c r="O2223" s="17"/>
      <c r="P2223" s="59" t="s">
        <v>7515</v>
      </c>
      <c r="Q2223" s="12"/>
      <c r="R2223" s="12"/>
      <c r="S2223" s="12"/>
      <c r="T2223" s="12"/>
      <c r="U2223" s="12"/>
      <c r="V2223" s="12"/>
      <c r="Z2223" s="12"/>
      <c r="AA2223" s="12" t="n">
        <v>5</v>
      </c>
      <c r="AB2223" s="12"/>
      <c r="AC2223" s="12"/>
      <c r="AD2223" s="12"/>
      <c r="AE2223" s="12"/>
    </row>
    <row r="2224" customFormat="false" ht="15.75" hidden="false" customHeight="false" outlineLevel="0" collapsed="false">
      <c r="A2224" s="12" t="str">
        <f aca="false">IF((AA2224&gt;=4), "Y", "N")</f>
        <v>Y</v>
      </c>
      <c r="B2224" s="74"/>
      <c r="C2224" s="26" t="s">
        <v>7866</v>
      </c>
      <c r="D2224" s="24"/>
      <c r="E2224" s="17"/>
      <c r="F2224" s="17"/>
      <c r="G2224" s="17"/>
      <c r="H2224" s="17"/>
      <c r="I2224" s="26" t="s">
        <v>209</v>
      </c>
      <c r="J2224" s="32"/>
      <c r="K2224" s="17"/>
      <c r="L2224" s="38"/>
      <c r="M2224" s="17"/>
      <c r="N2224" s="17"/>
      <c r="O2224" s="17"/>
      <c r="P2224" s="59" t="s">
        <v>7515</v>
      </c>
      <c r="Q2224" s="12"/>
      <c r="R2224" s="12"/>
      <c r="S2224" s="12"/>
      <c r="T2224" s="12"/>
      <c r="U2224" s="12"/>
      <c r="V2224" s="12"/>
      <c r="Z2224" s="12"/>
      <c r="AA2224" s="12" t="n">
        <v>5</v>
      </c>
      <c r="AB2224" s="12"/>
      <c r="AC2224" s="12"/>
      <c r="AD2224" s="12"/>
      <c r="AE2224" s="12"/>
    </row>
    <row r="2225" customFormat="false" ht="15.75" hidden="false" customHeight="false" outlineLevel="0" collapsed="false">
      <c r="A2225" s="12" t="str">
        <f aca="false">IF((AA2225&gt;=4), "Y", "N")</f>
        <v>Y</v>
      </c>
      <c r="B2225" s="74"/>
      <c r="C2225" s="26" t="s">
        <v>7867</v>
      </c>
      <c r="D2225" s="24"/>
      <c r="E2225" s="17"/>
      <c r="F2225" s="17"/>
      <c r="G2225" s="17"/>
      <c r="H2225" s="17"/>
      <c r="I2225" s="26" t="s">
        <v>209</v>
      </c>
      <c r="J2225" s="32"/>
      <c r="K2225" s="17"/>
      <c r="L2225" s="38"/>
      <c r="M2225" s="17"/>
      <c r="N2225" s="17"/>
      <c r="O2225" s="17"/>
      <c r="P2225" s="59" t="s">
        <v>7515</v>
      </c>
      <c r="Q2225" s="12"/>
      <c r="R2225" s="12"/>
      <c r="S2225" s="12"/>
      <c r="T2225" s="12"/>
      <c r="U2225" s="12"/>
      <c r="V2225" s="12"/>
      <c r="Z2225" s="12"/>
      <c r="AA2225" s="12" t="n">
        <v>5</v>
      </c>
      <c r="AB2225" s="12"/>
      <c r="AC2225" s="12"/>
      <c r="AD2225" s="12"/>
      <c r="AE2225" s="12"/>
    </row>
    <row r="2226" customFormat="false" ht="15.75" hidden="false" customHeight="false" outlineLevel="0" collapsed="false">
      <c r="A2226" s="12" t="str">
        <f aca="false">IF((AA2226&gt;=4), "Y", "N")</f>
        <v>Y</v>
      </c>
      <c r="B2226" s="74"/>
      <c r="C2226" s="26" t="s">
        <v>7868</v>
      </c>
      <c r="D2226" s="24"/>
      <c r="E2226" s="17"/>
      <c r="F2226" s="17"/>
      <c r="G2226" s="17"/>
      <c r="H2226" s="17"/>
      <c r="I2226" s="26" t="s">
        <v>209</v>
      </c>
      <c r="J2226" s="32"/>
      <c r="K2226" s="17"/>
      <c r="L2226" s="38"/>
      <c r="M2226" s="17"/>
      <c r="N2226" s="17"/>
      <c r="O2226" s="17"/>
      <c r="P2226" s="59" t="s">
        <v>7515</v>
      </c>
      <c r="Q2226" s="12"/>
      <c r="R2226" s="12"/>
      <c r="S2226" s="12"/>
      <c r="T2226" s="12"/>
      <c r="U2226" s="12"/>
      <c r="V2226" s="12"/>
      <c r="Z2226" s="12"/>
      <c r="AA2226" s="12" t="n">
        <v>5</v>
      </c>
      <c r="AB2226" s="12"/>
      <c r="AC2226" s="12"/>
      <c r="AD2226" s="12"/>
      <c r="AE2226" s="12"/>
    </row>
    <row r="2227" customFormat="false" ht="15.75" hidden="false" customHeight="false" outlineLevel="0" collapsed="false">
      <c r="A2227" s="12" t="str">
        <f aca="false">IF((AA2227&gt;=4), "Y", "N")</f>
        <v>Y</v>
      </c>
      <c r="B2227" s="74"/>
      <c r="C2227" s="26" t="s">
        <v>7869</v>
      </c>
      <c r="D2227" s="24"/>
      <c r="E2227" s="17"/>
      <c r="F2227" s="17"/>
      <c r="G2227" s="17"/>
      <c r="H2227" s="17"/>
      <c r="I2227" s="26" t="s">
        <v>209</v>
      </c>
      <c r="J2227" s="32"/>
      <c r="K2227" s="17"/>
      <c r="L2227" s="38"/>
      <c r="M2227" s="17"/>
      <c r="N2227" s="17"/>
      <c r="O2227" s="17"/>
      <c r="P2227" s="59" t="s">
        <v>7515</v>
      </c>
      <c r="Q2227" s="12"/>
      <c r="R2227" s="12"/>
      <c r="S2227" s="12"/>
      <c r="T2227" s="12"/>
      <c r="U2227" s="12"/>
      <c r="V2227" s="12"/>
      <c r="Z2227" s="12"/>
      <c r="AA2227" s="12" t="n">
        <v>5</v>
      </c>
      <c r="AB2227" s="12"/>
      <c r="AC2227" s="12"/>
      <c r="AD2227" s="12"/>
      <c r="AE2227" s="12"/>
    </row>
    <row r="2228" customFormat="false" ht="15.75" hidden="false" customHeight="false" outlineLevel="0" collapsed="false">
      <c r="A2228" s="12" t="str">
        <f aca="false">IF((AA2228&gt;=4), "Y", "N")</f>
        <v>Y</v>
      </c>
      <c r="B2228" s="74"/>
      <c r="C2228" s="26" t="s">
        <v>7870</v>
      </c>
      <c r="D2228" s="24"/>
      <c r="E2228" s="17"/>
      <c r="F2228" s="17"/>
      <c r="G2228" s="17"/>
      <c r="H2228" s="17"/>
      <c r="I2228" s="26" t="s">
        <v>209</v>
      </c>
      <c r="J2228" s="32"/>
      <c r="K2228" s="17"/>
      <c r="L2228" s="38"/>
      <c r="M2228" s="17"/>
      <c r="N2228" s="17"/>
      <c r="O2228" s="17"/>
      <c r="P2228" s="59" t="s">
        <v>7515</v>
      </c>
      <c r="Q2228" s="12"/>
      <c r="R2228" s="12"/>
      <c r="S2228" s="12"/>
      <c r="T2228" s="12"/>
      <c r="U2228" s="12"/>
      <c r="V2228" s="12"/>
      <c r="Z2228" s="12"/>
      <c r="AA2228" s="12" t="n">
        <v>5</v>
      </c>
      <c r="AB2228" s="12"/>
      <c r="AC2228" s="12"/>
      <c r="AD2228" s="12"/>
      <c r="AE2228" s="12"/>
    </row>
    <row r="2229" customFormat="false" ht="15.75" hidden="false" customHeight="false" outlineLevel="0" collapsed="false">
      <c r="A2229" s="12" t="str">
        <f aca="false">IF((AA2229&gt;=4), "Y", "N")</f>
        <v>Y</v>
      </c>
      <c r="B2229" s="74"/>
      <c r="C2229" s="26" t="s">
        <v>7871</v>
      </c>
      <c r="D2229" s="24"/>
      <c r="E2229" s="17"/>
      <c r="F2229" s="17"/>
      <c r="G2229" s="17"/>
      <c r="H2229" s="17"/>
      <c r="I2229" s="26" t="s">
        <v>209</v>
      </c>
      <c r="J2229" s="32"/>
      <c r="K2229" s="17"/>
      <c r="L2229" s="38"/>
      <c r="M2229" s="17"/>
      <c r="N2229" s="17"/>
      <c r="O2229" s="17"/>
      <c r="P2229" s="59" t="s">
        <v>7515</v>
      </c>
      <c r="Q2229" s="12"/>
      <c r="R2229" s="12"/>
      <c r="S2229" s="12"/>
      <c r="T2229" s="12"/>
      <c r="U2229" s="12"/>
      <c r="V2229" s="12"/>
      <c r="Z2229" s="12"/>
      <c r="AA2229" s="12" t="n">
        <v>5</v>
      </c>
      <c r="AB2229" s="12"/>
      <c r="AC2229" s="12"/>
      <c r="AD2229" s="12"/>
      <c r="AE2229" s="12"/>
    </row>
    <row r="2230" customFormat="false" ht="15.75" hidden="false" customHeight="false" outlineLevel="0" collapsed="false">
      <c r="A2230" s="12" t="str">
        <f aca="false">IF((AA2230&gt;=4), "Y", "N")</f>
        <v>Y</v>
      </c>
      <c r="B2230" s="74"/>
      <c r="C2230" s="26" t="s">
        <v>7872</v>
      </c>
      <c r="D2230" s="24"/>
      <c r="E2230" s="17"/>
      <c r="F2230" s="17"/>
      <c r="G2230" s="17"/>
      <c r="H2230" s="17"/>
      <c r="I2230" s="26" t="s">
        <v>209</v>
      </c>
      <c r="J2230" s="32"/>
      <c r="K2230" s="17"/>
      <c r="L2230" s="38"/>
      <c r="M2230" s="17"/>
      <c r="N2230" s="17"/>
      <c r="O2230" s="17"/>
      <c r="P2230" s="59" t="s">
        <v>7515</v>
      </c>
      <c r="Q2230" s="12"/>
      <c r="R2230" s="12"/>
      <c r="S2230" s="12"/>
      <c r="T2230" s="12"/>
      <c r="U2230" s="12"/>
      <c r="V2230" s="12"/>
      <c r="Z2230" s="12"/>
      <c r="AA2230" s="12" t="n">
        <v>5</v>
      </c>
      <c r="AB2230" s="12"/>
      <c r="AC2230" s="12"/>
      <c r="AD2230" s="12"/>
      <c r="AE2230" s="12"/>
    </row>
    <row r="2231" customFormat="false" ht="15.75" hidden="false" customHeight="false" outlineLevel="0" collapsed="false">
      <c r="A2231" s="12" t="str">
        <f aca="false">IF((AA2231&gt;=4), "Y", "N")</f>
        <v>Y</v>
      </c>
      <c r="B2231" s="74"/>
      <c r="C2231" s="26" t="s">
        <v>7873</v>
      </c>
      <c r="D2231" s="24"/>
      <c r="E2231" s="17"/>
      <c r="F2231" s="17"/>
      <c r="G2231" s="17"/>
      <c r="H2231" s="17"/>
      <c r="I2231" s="26" t="s">
        <v>209</v>
      </c>
      <c r="J2231" s="32"/>
      <c r="K2231" s="17"/>
      <c r="L2231" s="38"/>
      <c r="M2231" s="17"/>
      <c r="N2231" s="17"/>
      <c r="O2231" s="17"/>
      <c r="P2231" s="59" t="s">
        <v>7515</v>
      </c>
      <c r="Q2231" s="12"/>
      <c r="R2231" s="12"/>
      <c r="S2231" s="12"/>
      <c r="T2231" s="12"/>
      <c r="U2231" s="12"/>
      <c r="V2231" s="12"/>
      <c r="Z2231" s="12"/>
      <c r="AA2231" s="12" t="n">
        <v>5</v>
      </c>
      <c r="AB2231" s="12"/>
      <c r="AC2231" s="12"/>
      <c r="AD2231" s="12"/>
      <c r="AE2231" s="12"/>
    </row>
    <row r="2232" customFormat="false" ht="15.75" hidden="false" customHeight="false" outlineLevel="0" collapsed="false">
      <c r="A2232" s="12" t="str">
        <f aca="false">IF((AA2232&gt;=4), "Y", "N")</f>
        <v>Y</v>
      </c>
      <c r="B2232" s="74"/>
      <c r="C2232" s="26" t="s">
        <v>7874</v>
      </c>
      <c r="D2232" s="24"/>
      <c r="E2232" s="17"/>
      <c r="F2232" s="17"/>
      <c r="G2232" s="17"/>
      <c r="H2232" s="17"/>
      <c r="I2232" s="26" t="s">
        <v>209</v>
      </c>
      <c r="J2232" s="32"/>
      <c r="K2232" s="17"/>
      <c r="L2232" s="38"/>
      <c r="M2232" s="17"/>
      <c r="N2232" s="17"/>
      <c r="O2232" s="17"/>
      <c r="P2232" s="59" t="s">
        <v>7515</v>
      </c>
      <c r="Q2232" s="12"/>
      <c r="R2232" s="12"/>
      <c r="S2232" s="12"/>
      <c r="T2232" s="12"/>
      <c r="U2232" s="12"/>
      <c r="V2232" s="12"/>
      <c r="Z2232" s="12"/>
      <c r="AA2232" s="12" t="n">
        <v>5</v>
      </c>
      <c r="AB2232" s="12"/>
      <c r="AC2232" s="12"/>
      <c r="AD2232" s="12"/>
      <c r="AE2232" s="12"/>
    </row>
    <row r="2233" customFormat="false" ht="15.75" hidden="false" customHeight="false" outlineLevel="0" collapsed="false">
      <c r="A2233" s="12" t="str">
        <f aca="false">IF((AA2233&gt;=4), "Y", "N")</f>
        <v>Y</v>
      </c>
      <c r="B2233" s="74"/>
      <c r="C2233" s="26" t="s">
        <v>7875</v>
      </c>
      <c r="D2233" s="24"/>
      <c r="E2233" s="17"/>
      <c r="F2233" s="17"/>
      <c r="G2233" s="17"/>
      <c r="H2233" s="17"/>
      <c r="I2233" s="26" t="s">
        <v>209</v>
      </c>
      <c r="J2233" s="32"/>
      <c r="K2233" s="17"/>
      <c r="L2233" s="38"/>
      <c r="M2233" s="17"/>
      <c r="N2233" s="17"/>
      <c r="O2233" s="17"/>
      <c r="P2233" s="59" t="s">
        <v>7515</v>
      </c>
      <c r="Q2233" s="12"/>
      <c r="R2233" s="12"/>
      <c r="S2233" s="12"/>
      <c r="T2233" s="12"/>
      <c r="U2233" s="12"/>
      <c r="V2233" s="12"/>
      <c r="Z2233" s="12"/>
      <c r="AA2233" s="12" t="n">
        <v>5</v>
      </c>
      <c r="AB2233" s="12"/>
      <c r="AC2233" s="12"/>
      <c r="AD2233" s="12"/>
      <c r="AE2233" s="12"/>
    </row>
    <row r="2234" customFormat="false" ht="15.75" hidden="false" customHeight="false" outlineLevel="0" collapsed="false">
      <c r="A2234" s="12" t="str">
        <f aca="false">IF((AA2234&gt;=4), "Y", "N")</f>
        <v>Y</v>
      </c>
      <c r="B2234" s="74"/>
      <c r="C2234" s="26" t="s">
        <v>7876</v>
      </c>
      <c r="D2234" s="24"/>
      <c r="E2234" s="17"/>
      <c r="F2234" s="17"/>
      <c r="G2234" s="17"/>
      <c r="H2234" s="17"/>
      <c r="I2234" s="26" t="s">
        <v>209</v>
      </c>
      <c r="J2234" s="32"/>
      <c r="K2234" s="17"/>
      <c r="L2234" s="38"/>
      <c r="M2234" s="17"/>
      <c r="N2234" s="17"/>
      <c r="O2234" s="17"/>
      <c r="P2234" s="59" t="s">
        <v>7515</v>
      </c>
      <c r="Q2234" s="12"/>
      <c r="R2234" s="12"/>
      <c r="S2234" s="12"/>
      <c r="T2234" s="12"/>
      <c r="U2234" s="12"/>
      <c r="V2234" s="12"/>
      <c r="Z2234" s="12"/>
      <c r="AA2234" s="12" t="n">
        <v>5</v>
      </c>
      <c r="AB2234" s="12"/>
      <c r="AC2234" s="12"/>
      <c r="AD2234" s="12"/>
      <c r="AE2234" s="12"/>
    </row>
    <row r="2235" customFormat="false" ht="15.75" hidden="false" customHeight="false" outlineLevel="0" collapsed="false">
      <c r="A2235" s="12" t="str">
        <f aca="false">IF((AA2235&gt;=4), "Y", "N")</f>
        <v>Y</v>
      </c>
      <c r="B2235" s="74"/>
      <c r="C2235" s="26" t="s">
        <v>7877</v>
      </c>
      <c r="D2235" s="24"/>
      <c r="E2235" s="17"/>
      <c r="F2235" s="17"/>
      <c r="G2235" s="17"/>
      <c r="H2235" s="17"/>
      <c r="I2235" s="26" t="s">
        <v>209</v>
      </c>
      <c r="J2235" s="32"/>
      <c r="K2235" s="17"/>
      <c r="L2235" s="38"/>
      <c r="M2235" s="17"/>
      <c r="N2235" s="17"/>
      <c r="O2235" s="17"/>
      <c r="P2235" s="59" t="s">
        <v>7515</v>
      </c>
      <c r="Q2235" s="12"/>
      <c r="R2235" s="12"/>
      <c r="S2235" s="12"/>
      <c r="T2235" s="12"/>
      <c r="U2235" s="12"/>
      <c r="V2235" s="12"/>
      <c r="Z2235" s="12"/>
      <c r="AA2235" s="12" t="n">
        <v>5</v>
      </c>
      <c r="AB2235" s="12"/>
      <c r="AC2235" s="12"/>
      <c r="AD2235" s="12"/>
      <c r="AE2235" s="12"/>
    </row>
    <row r="2236" customFormat="false" ht="15.75" hidden="false" customHeight="false" outlineLevel="0" collapsed="false">
      <c r="A2236" s="12" t="str">
        <f aca="false">IF((AA2236&gt;=4), "Y", "N")</f>
        <v>Y</v>
      </c>
      <c r="B2236" s="74"/>
      <c r="C2236" s="26" t="s">
        <v>7878</v>
      </c>
      <c r="D2236" s="24"/>
      <c r="E2236" s="17"/>
      <c r="F2236" s="17"/>
      <c r="G2236" s="17"/>
      <c r="H2236" s="17"/>
      <c r="I2236" s="26" t="s">
        <v>209</v>
      </c>
      <c r="J2236" s="32"/>
      <c r="K2236" s="17"/>
      <c r="L2236" s="38"/>
      <c r="M2236" s="17"/>
      <c r="N2236" s="17"/>
      <c r="O2236" s="17"/>
      <c r="P2236" s="59" t="s">
        <v>7515</v>
      </c>
      <c r="Q2236" s="12"/>
      <c r="R2236" s="12"/>
      <c r="S2236" s="12"/>
      <c r="T2236" s="12"/>
      <c r="U2236" s="12"/>
      <c r="V2236" s="12"/>
      <c r="Z2236" s="12"/>
      <c r="AA2236" s="12" t="n">
        <v>5</v>
      </c>
      <c r="AB2236" s="12"/>
      <c r="AC2236" s="12"/>
      <c r="AD2236" s="12"/>
      <c r="AE2236" s="12"/>
    </row>
    <row r="2237" customFormat="false" ht="15.75" hidden="false" customHeight="false" outlineLevel="0" collapsed="false">
      <c r="A2237" s="12" t="str">
        <f aca="false">IF((AA2237&gt;=4), "Y", "N")</f>
        <v>Y</v>
      </c>
      <c r="B2237" s="74"/>
      <c r="C2237" s="26" t="s">
        <v>7879</v>
      </c>
      <c r="D2237" s="24"/>
      <c r="E2237" s="17"/>
      <c r="F2237" s="17"/>
      <c r="G2237" s="17"/>
      <c r="H2237" s="17"/>
      <c r="I2237" s="26" t="s">
        <v>209</v>
      </c>
      <c r="J2237" s="32"/>
      <c r="K2237" s="17"/>
      <c r="L2237" s="38"/>
      <c r="M2237" s="17"/>
      <c r="N2237" s="17"/>
      <c r="O2237" s="17"/>
      <c r="P2237" s="59" t="s">
        <v>7515</v>
      </c>
      <c r="Q2237" s="12"/>
      <c r="R2237" s="12"/>
      <c r="S2237" s="12"/>
      <c r="T2237" s="12"/>
      <c r="U2237" s="12"/>
      <c r="V2237" s="12"/>
      <c r="Z2237" s="12"/>
      <c r="AA2237" s="12" t="n">
        <v>5</v>
      </c>
      <c r="AB2237" s="12"/>
      <c r="AC2237" s="12"/>
      <c r="AD2237" s="12"/>
      <c r="AE2237" s="12"/>
    </row>
    <row r="2238" customFormat="false" ht="15.75" hidden="false" customHeight="false" outlineLevel="0" collapsed="false">
      <c r="A2238" s="12" t="str">
        <f aca="false">IF((AA2238&gt;=4), "Y", "N")</f>
        <v>Y</v>
      </c>
      <c r="B2238" s="74"/>
      <c r="C2238" s="26" t="s">
        <v>7880</v>
      </c>
      <c r="D2238" s="24"/>
      <c r="E2238" s="17"/>
      <c r="F2238" s="17"/>
      <c r="G2238" s="17"/>
      <c r="H2238" s="17"/>
      <c r="I2238" s="26" t="s">
        <v>209</v>
      </c>
      <c r="J2238" s="32"/>
      <c r="K2238" s="17"/>
      <c r="L2238" s="38"/>
      <c r="M2238" s="17"/>
      <c r="N2238" s="17"/>
      <c r="O2238" s="17"/>
      <c r="P2238" s="59" t="s">
        <v>7515</v>
      </c>
      <c r="Q2238" s="12"/>
      <c r="R2238" s="12"/>
      <c r="S2238" s="12"/>
      <c r="T2238" s="12"/>
      <c r="U2238" s="12"/>
      <c r="V2238" s="12"/>
      <c r="Z2238" s="12"/>
      <c r="AA2238" s="12" t="n">
        <v>5</v>
      </c>
      <c r="AB2238" s="12"/>
      <c r="AC2238" s="12"/>
      <c r="AD2238" s="12"/>
      <c r="AE2238" s="12"/>
    </row>
    <row r="2239" customFormat="false" ht="15.75" hidden="false" customHeight="false" outlineLevel="0" collapsed="false">
      <c r="A2239" s="12" t="str">
        <f aca="false">IF((AA2239&gt;=4), "Y", "N")</f>
        <v>Y</v>
      </c>
      <c r="B2239" s="74"/>
      <c r="C2239" s="26" t="s">
        <v>7881</v>
      </c>
      <c r="D2239" s="24"/>
      <c r="E2239" s="17"/>
      <c r="F2239" s="17"/>
      <c r="G2239" s="17"/>
      <c r="H2239" s="17"/>
      <c r="I2239" s="26" t="s">
        <v>209</v>
      </c>
      <c r="J2239" s="32"/>
      <c r="K2239" s="17"/>
      <c r="L2239" s="38"/>
      <c r="M2239" s="17"/>
      <c r="N2239" s="17"/>
      <c r="O2239" s="17"/>
      <c r="P2239" s="59" t="s">
        <v>7515</v>
      </c>
      <c r="Q2239" s="12"/>
      <c r="R2239" s="12"/>
      <c r="S2239" s="12"/>
      <c r="T2239" s="12"/>
      <c r="U2239" s="12"/>
      <c r="V2239" s="12"/>
      <c r="Z2239" s="12"/>
      <c r="AA2239" s="12" t="n">
        <v>5</v>
      </c>
      <c r="AB2239" s="12"/>
      <c r="AC2239" s="12"/>
      <c r="AD2239" s="12"/>
      <c r="AE2239" s="12"/>
    </row>
    <row r="2240" customFormat="false" ht="15.75" hidden="false" customHeight="false" outlineLevel="0" collapsed="false">
      <c r="A2240" s="12" t="str">
        <f aca="false">IF((AA2240&gt;=4), "Y", "N")</f>
        <v>Y</v>
      </c>
      <c r="B2240" s="74"/>
      <c r="C2240" s="26" t="s">
        <v>7882</v>
      </c>
      <c r="D2240" s="24"/>
      <c r="E2240" s="17"/>
      <c r="F2240" s="17"/>
      <c r="G2240" s="17"/>
      <c r="H2240" s="17"/>
      <c r="I2240" s="26" t="s">
        <v>209</v>
      </c>
      <c r="J2240" s="32"/>
      <c r="K2240" s="17"/>
      <c r="L2240" s="38"/>
      <c r="M2240" s="17"/>
      <c r="N2240" s="17"/>
      <c r="O2240" s="17"/>
      <c r="P2240" s="59" t="s">
        <v>7515</v>
      </c>
      <c r="Q2240" s="12"/>
      <c r="R2240" s="12"/>
      <c r="S2240" s="12"/>
      <c r="T2240" s="12"/>
      <c r="U2240" s="12"/>
      <c r="V2240" s="12"/>
      <c r="Z2240" s="12"/>
      <c r="AA2240" s="12" t="n">
        <v>5</v>
      </c>
      <c r="AB2240" s="12"/>
      <c r="AC2240" s="12"/>
      <c r="AD2240" s="12"/>
      <c r="AE2240" s="12"/>
    </row>
    <row r="2241" customFormat="false" ht="15.75" hidden="false" customHeight="false" outlineLevel="0" collapsed="false">
      <c r="A2241" s="12" t="str">
        <f aca="false">IF((AA2241&gt;=4), "Y", "N")</f>
        <v>Y</v>
      </c>
      <c r="B2241" s="74"/>
      <c r="C2241" s="26" t="s">
        <v>7883</v>
      </c>
      <c r="D2241" s="24"/>
      <c r="E2241" s="17"/>
      <c r="F2241" s="17"/>
      <c r="G2241" s="17"/>
      <c r="H2241" s="17"/>
      <c r="I2241" s="26" t="s">
        <v>209</v>
      </c>
      <c r="J2241" s="32"/>
      <c r="K2241" s="17"/>
      <c r="L2241" s="38"/>
      <c r="M2241" s="17"/>
      <c r="N2241" s="17"/>
      <c r="O2241" s="17"/>
      <c r="P2241" s="59" t="s">
        <v>7515</v>
      </c>
      <c r="Q2241" s="12"/>
      <c r="R2241" s="12"/>
      <c r="S2241" s="12"/>
      <c r="T2241" s="12"/>
      <c r="U2241" s="12"/>
      <c r="V2241" s="12"/>
      <c r="Z2241" s="12"/>
      <c r="AA2241" s="12" t="n">
        <v>5</v>
      </c>
      <c r="AB2241" s="12"/>
      <c r="AC2241" s="12"/>
      <c r="AD2241" s="12"/>
      <c r="AE2241" s="12"/>
    </row>
    <row r="2242" customFormat="false" ht="15.75" hidden="false" customHeight="false" outlineLevel="0" collapsed="false">
      <c r="A2242" s="12" t="str">
        <f aca="false">IF((AA2242&gt;=4), "Y", "N")</f>
        <v>Y</v>
      </c>
      <c r="B2242" s="74"/>
      <c r="C2242" s="26" t="s">
        <v>7884</v>
      </c>
      <c r="D2242" s="24"/>
      <c r="E2242" s="17"/>
      <c r="F2242" s="17"/>
      <c r="G2242" s="17"/>
      <c r="H2242" s="17"/>
      <c r="I2242" s="26" t="s">
        <v>209</v>
      </c>
      <c r="J2242" s="32"/>
      <c r="K2242" s="17"/>
      <c r="L2242" s="38"/>
      <c r="M2242" s="17"/>
      <c r="N2242" s="17"/>
      <c r="O2242" s="17"/>
      <c r="P2242" s="59" t="s">
        <v>7515</v>
      </c>
      <c r="Q2242" s="12"/>
      <c r="R2242" s="12"/>
      <c r="S2242" s="12"/>
      <c r="T2242" s="12"/>
      <c r="U2242" s="12"/>
      <c r="V2242" s="12"/>
      <c r="Z2242" s="12"/>
      <c r="AA2242" s="12" t="n">
        <v>5</v>
      </c>
      <c r="AB2242" s="12"/>
      <c r="AC2242" s="12"/>
      <c r="AD2242" s="12"/>
      <c r="AE2242" s="12"/>
    </row>
    <row r="2243" customFormat="false" ht="15.75" hidden="false" customHeight="false" outlineLevel="0" collapsed="false">
      <c r="A2243" s="12" t="str">
        <f aca="false">IF((AA2243&gt;=4), "Y", "N")</f>
        <v>Y</v>
      </c>
      <c r="B2243" s="74"/>
      <c r="C2243" s="26" t="s">
        <v>7885</v>
      </c>
      <c r="D2243" s="24"/>
      <c r="E2243" s="17"/>
      <c r="F2243" s="17"/>
      <c r="G2243" s="17"/>
      <c r="H2243" s="17"/>
      <c r="I2243" s="26" t="s">
        <v>209</v>
      </c>
      <c r="J2243" s="32"/>
      <c r="K2243" s="17"/>
      <c r="L2243" s="38"/>
      <c r="M2243" s="17"/>
      <c r="N2243" s="17"/>
      <c r="O2243" s="17"/>
      <c r="P2243" s="59" t="s">
        <v>7515</v>
      </c>
      <c r="Q2243" s="12"/>
      <c r="R2243" s="12"/>
      <c r="S2243" s="12"/>
      <c r="T2243" s="12"/>
      <c r="U2243" s="12"/>
      <c r="V2243" s="12"/>
      <c r="Z2243" s="12"/>
      <c r="AA2243" s="12" t="n">
        <v>5</v>
      </c>
      <c r="AB2243" s="12"/>
      <c r="AC2243" s="12"/>
      <c r="AD2243" s="12"/>
      <c r="AE2243" s="12"/>
    </row>
    <row r="2244" customFormat="false" ht="15.75" hidden="false" customHeight="false" outlineLevel="0" collapsed="false">
      <c r="A2244" s="12" t="str">
        <f aca="false">IF((AA2244&gt;=4), "Y", "N")</f>
        <v>Y</v>
      </c>
      <c r="B2244" s="74"/>
      <c r="C2244" s="26" t="s">
        <v>7886</v>
      </c>
      <c r="D2244" s="24"/>
      <c r="E2244" s="17"/>
      <c r="F2244" s="17"/>
      <c r="G2244" s="17"/>
      <c r="H2244" s="17"/>
      <c r="I2244" s="26" t="s">
        <v>209</v>
      </c>
      <c r="J2244" s="32"/>
      <c r="K2244" s="17"/>
      <c r="L2244" s="38"/>
      <c r="M2244" s="17"/>
      <c r="N2244" s="17"/>
      <c r="O2244" s="17"/>
      <c r="P2244" s="59" t="s">
        <v>7515</v>
      </c>
      <c r="Q2244" s="12"/>
      <c r="R2244" s="12"/>
      <c r="S2244" s="12"/>
      <c r="T2244" s="12"/>
      <c r="U2244" s="12"/>
      <c r="V2244" s="12"/>
      <c r="Z2244" s="12"/>
      <c r="AA2244" s="12" t="n">
        <v>5</v>
      </c>
      <c r="AB2244" s="12"/>
      <c r="AC2244" s="12"/>
      <c r="AD2244" s="12"/>
      <c r="AE2244" s="12"/>
    </row>
    <row r="2245" customFormat="false" ht="15.75" hidden="false" customHeight="false" outlineLevel="0" collapsed="false">
      <c r="A2245" s="12" t="str">
        <f aca="false">IF((AA2245&gt;=4), "Y", "N")</f>
        <v>Y</v>
      </c>
      <c r="B2245" s="74"/>
      <c r="C2245" s="26" t="s">
        <v>7887</v>
      </c>
      <c r="D2245" s="24"/>
      <c r="E2245" s="17"/>
      <c r="F2245" s="17"/>
      <c r="G2245" s="17"/>
      <c r="H2245" s="17"/>
      <c r="I2245" s="26" t="s">
        <v>209</v>
      </c>
      <c r="J2245" s="32"/>
      <c r="K2245" s="17"/>
      <c r="L2245" s="38"/>
      <c r="M2245" s="17"/>
      <c r="N2245" s="17"/>
      <c r="O2245" s="17"/>
      <c r="P2245" s="59" t="s">
        <v>7515</v>
      </c>
      <c r="Q2245" s="12"/>
      <c r="R2245" s="12"/>
      <c r="S2245" s="12"/>
      <c r="T2245" s="12"/>
      <c r="U2245" s="12"/>
      <c r="V2245" s="12"/>
      <c r="Z2245" s="12"/>
      <c r="AA2245" s="12" t="n">
        <v>5</v>
      </c>
      <c r="AB2245" s="12"/>
      <c r="AC2245" s="12"/>
      <c r="AD2245" s="12"/>
      <c r="AE2245" s="12"/>
    </row>
    <row r="2246" customFormat="false" ht="15.75" hidden="false" customHeight="false" outlineLevel="0" collapsed="false">
      <c r="A2246" s="12" t="str">
        <f aca="false">IF((AA2246&gt;=4), "Y", "N")</f>
        <v>Y</v>
      </c>
      <c r="B2246" s="74"/>
      <c r="C2246" s="26" t="s">
        <v>7888</v>
      </c>
      <c r="D2246" s="24"/>
      <c r="E2246" s="17"/>
      <c r="F2246" s="17"/>
      <c r="G2246" s="17"/>
      <c r="H2246" s="17"/>
      <c r="I2246" s="26" t="s">
        <v>209</v>
      </c>
      <c r="J2246" s="32"/>
      <c r="K2246" s="17"/>
      <c r="L2246" s="38"/>
      <c r="M2246" s="17"/>
      <c r="N2246" s="17"/>
      <c r="O2246" s="17"/>
      <c r="P2246" s="59" t="s">
        <v>7515</v>
      </c>
      <c r="Q2246" s="12"/>
      <c r="R2246" s="12"/>
      <c r="S2246" s="12"/>
      <c r="T2246" s="12"/>
      <c r="U2246" s="12"/>
      <c r="V2246" s="12"/>
      <c r="Z2246" s="12"/>
      <c r="AA2246" s="12" t="n">
        <v>5</v>
      </c>
      <c r="AB2246" s="12"/>
      <c r="AC2246" s="12"/>
      <c r="AD2246" s="12"/>
      <c r="AE2246" s="12"/>
    </row>
    <row r="2247" customFormat="false" ht="15.75" hidden="false" customHeight="false" outlineLevel="0" collapsed="false">
      <c r="A2247" s="12" t="str">
        <f aca="false">IF((AA2247&gt;=4), "Y", "N")</f>
        <v>Y</v>
      </c>
      <c r="B2247" s="74"/>
      <c r="C2247" s="26" t="s">
        <v>7889</v>
      </c>
      <c r="D2247" s="24"/>
      <c r="E2247" s="17"/>
      <c r="F2247" s="17"/>
      <c r="G2247" s="17"/>
      <c r="H2247" s="17"/>
      <c r="I2247" s="26" t="s">
        <v>209</v>
      </c>
      <c r="J2247" s="32"/>
      <c r="K2247" s="17"/>
      <c r="L2247" s="38"/>
      <c r="M2247" s="17"/>
      <c r="N2247" s="17"/>
      <c r="O2247" s="17"/>
      <c r="P2247" s="59" t="s">
        <v>7515</v>
      </c>
      <c r="Q2247" s="12"/>
      <c r="R2247" s="12"/>
      <c r="S2247" s="12"/>
      <c r="T2247" s="12"/>
      <c r="U2247" s="12"/>
      <c r="V2247" s="12"/>
      <c r="Z2247" s="12"/>
      <c r="AA2247" s="12" t="n">
        <v>5</v>
      </c>
      <c r="AB2247" s="12"/>
      <c r="AC2247" s="12"/>
      <c r="AD2247" s="12"/>
      <c r="AE2247" s="12"/>
    </row>
    <row r="2248" customFormat="false" ht="15.75" hidden="false" customHeight="false" outlineLevel="0" collapsed="false">
      <c r="A2248" s="12" t="str">
        <f aca="false">IF((AA2248&gt;=4), "Y", "N")</f>
        <v>Y</v>
      </c>
      <c r="B2248" s="74"/>
      <c r="C2248" s="26" t="s">
        <v>7890</v>
      </c>
      <c r="D2248" s="24"/>
      <c r="E2248" s="17"/>
      <c r="F2248" s="17"/>
      <c r="G2248" s="17"/>
      <c r="H2248" s="17"/>
      <c r="I2248" s="26" t="s">
        <v>209</v>
      </c>
      <c r="J2248" s="32"/>
      <c r="K2248" s="17"/>
      <c r="L2248" s="38"/>
      <c r="M2248" s="17"/>
      <c r="N2248" s="17"/>
      <c r="O2248" s="17"/>
      <c r="P2248" s="59" t="s">
        <v>7515</v>
      </c>
      <c r="Q2248" s="12"/>
      <c r="R2248" s="12"/>
      <c r="S2248" s="12"/>
      <c r="T2248" s="12"/>
      <c r="U2248" s="12"/>
      <c r="V2248" s="12"/>
      <c r="Z2248" s="12"/>
      <c r="AA2248" s="12" t="n">
        <v>5</v>
      </c>
      <c r="AB2248" s="12"/>
      <c r="AC2248" s="12"/>
      <c r="AD2248" s="12"/>
      <c r="AE2248" s="12"/>
    </row>
    <row r="2249" customFormat="false" ht="15.75" hidden="false" customHeight="false" outlineLevel="0" collapsed="false">
      <c r="A2249" s="12" t="str">
        <f aca="false">IF((AA2249&gt;=4), "Y", "N")</f>
        <v>Y</v>
      </c>
      <c r="B2249" s="74"/>
      <c r="C2249" s="26" t="s">
        <v>7891</v>
      </c>
      <c r="D2249" s="24"/>
      <c r="E2249" s="17"/>
      <c r="F2249" s="17"/>
      <c r="G2249" s="17"/>
      <c r="H2249" s="17"/>
      <c r="I2249" s="26" t="s">
        <v>209</v>
      </c>
      <c r="J2249" s="32"/>
      <c r="K2249" s="17"/>
      <c r="L2249" s="38"/>
      <c r="M2249" s="17"/>
      <c r="N2249" s="17"/>
      <c r="O2249" s="17"/>
      <c r="P2249" s="59" t="s">
        <v>7515</v>
      </c>
      <c r="Q2249" s="12"/>
      <c r="R2249" s="12"/>
      <c r="S2249" s="12"/>
      <c r="T2249" s="12"/>
      <c r="U2249" s="12"/>
      <c r="V2249" s="12"/>
      <c r="Z2249" s="12"/>
      <c r="AA2249" s="12" t="n">
        <v>5</v>
      </c>
      <c r="AB2249" s="12"/>
      <c r="AC2249" s="12"/>
      <c r="AD2249" s="12"/>
      <c r="AE2249" s="12"/>
    </row>
    <row r="2250" customFormat="false" ht="15.75" hidden="false" customHeight="false" outlineLevel="0" collapsed="false">
      <c r="A2250" s="12" t="str">
        <f aca="false">IF((AA2250&gt;=4), "Y", "N")</f>
        <v>Y</v>
      </c>
      <c r="B2250" s="74"/>
      <c r="C2250" s="26" t="s">
        <v>7892</v>
      </c>
      <c r="D2250" s="24"/>
      <c r="E2250" s="17"/>
      <c r="F2250" s="17"/>
      <c r="G2250" s="17"/>
      <c r="H2250" s="17"/>
      <c r="I2250" s="26" t="s">
        <v>209</v>
      </c>
      <c r="J2250" s="32"/>
      <c r="K2250" s="17"/>
      <c r="L2250" s="38"/>
      <c r="M2250" s="17"/>
      <c r="N2250" s="17"/>
      <c r="O2250" s="17"/>
      <c r="P2250" s="59" t="s">
        <v>7515</v>
      </c>
      <c r="Q2250" s="12"/>
      <c r="R2250" s="12"/>
      <c r="S2250" s="12"/>
      <c r="T2250" s="12"/>
      <c r="U2250" s="12"/>
      <c r="V2250" s="12"/>
      <c r="Z2250" s="12"/>
      <c r="AA2250" s="12" t="n">
        <v>5</v>
      </c>
      <c r="AB2250" s="12"/>
      <c r="AC2250" s="12"/>
      <c r="AD2250" s="12"/>
      <c r="AE2250" s="12"/>
    </row>
    <row r="2251" customFormat="false" ht="15.75" hidden="false" customHeight="false" outlineLevel="0" collapsed="false">
      <c r="A2251" s="12" t="str">
        <f aca="false">IF((AA2251&gt;=4), "Y", "N")</f>
        <v>Y</v>
      </c>
      <c r="B2251" s="74"/>
      <c r="C2251" s="26" t="s">
        <v>7893</v>
      </c>
      <c r="D2251" s="24"/>
      <c r="E2251" s="17"/>
      <c r="F2251" s="17"/>
      <c r="G2251" s="17"/>
      <c r="H2251" s="17"/>
      <c r="I2251" s="26" t="s">
        <v>209</v>
      </c>
      <c r="J2251" s="32"/>
      <c r="K2251" s="17"/>
      <c r="L2251" s="38"/>
      <c r="M2251" s="17"/>
      <c r="N2251" s="17"/>
      <c r="O2251" s="17"/>
      <c r="P2251" s="59" t="s">
        <v>7515</v>
      </c>
      <c r="Q2251" s="12"/>
      <c r="R2251" s="12"/>
      <c r="S2251" s="12"/>
      <c r="T2251" s="12"/>
      <c r="U2251" s="12"/>
      <c r="V2251" s="12"/>
      <c r="Z2251" s="12"/>
      <c r="AA2251" s="12" t="n">
        <v>5</v>
      </c>
      <c r="AB2251" s="12"/>
      <c r="AC2251" s="12"/>
      <c r="AD2251" s="12"/>
      <c r="AE2251" s="12"/>
    </row>
    <row r="2252" customFormat="false" ht="15.75" hidden="false" customHeight="false" outlineLevel="0" collapsed="false">
      <c r="A2252" s="12" t="str">
        <f aca="false">IF((AA2252&gt;=4), "Y", "N")</f>
        <v>Y</v>
      </c>
      <c r="B2252" s="74"/>
      <c r="C2252" s="26" t="s">
        <v>7894</v>
      </c>
      <c r="D2252" s="24"/>
      <c r="E2252" s="17"/>
      <c r="F2252" s="17"/>
      <c r="G2252" s="17"/>
      <c r="H2252" s="17"/>
      <c r="I2252" s="26" t="s">
        <v>209</v>
      </c>
      <c r="J2252" s="32"/>
      <c r="K2252" s="17"/>
      <c r="L2252" s="38"/>
      <c r="M2252" s="17"/>
      <c r="N2252" s="17"/>
      <c r="O2252" s="17"/>
      <c r="P2252" s="59" t="s">
        <v>7515</v>
      </c>
      <c r="Q2252" s="12"/>
      <c r="R2252" s="12"/>
      <c r="S2252" s="12"/>
      <c r="T2252" s="12"/>
      <c r="U2252" s="12"/>
      <c r="V2252" s="12"/>
      <c r="Z2252" s="12"/>
      <c r="AA2252" s="12" t="n">
        <v>5</v>
      </c>
      <c r="AB2252" s="12"/>
      <c r="AC2252" s="12"/>
      <c r="AD2252" s="12"/>
      <c r="AE2252" s="12"/>
    </row>
    <row r="2253" customFormat="false" ht="15.75" hidden="false" customHeight="false" outlineLevel="0" collapsed="false">
      <c r="A2253" s="12" t="str">
        <f aca="false">IF((AA2253&gt;=4), "Y", "N")</f>
        <v>Y</v>
      </c>
      <c r="B2253" s="74"/>
      <c r="C2253" s="26" t="s">
        <v>7895</v>
      </c>
      <c r="D2253" s="24"/>
      <c r="E2253" s="17"/>
      <c r="F2253" s="17"/>
      <c r="G2253" s="17"/>
      <c r="H2253" s="17"/>
      <c r="I2253" s="26" t="s">
        <v>209</v>
      </c>
      <c r="J2253" s="32"/>
      <c r="K2253" s="17"/>
      <c r="L2253" s="38"/>
      <c r="M2253" s="17"/>
      <c r="N2253" s="17"/>
      <c r="O2253" s="17"/>
      <c r="P2253" s="59" t="s">
        <v>7515</v>
      </c>
      <c r="Q2253" s="12"/>
      <c r="R2253" s="12"/>
      <c r="S2253" s="12"/>
      <c r="T2253" s="12"/>
      <c r="U2253" s="12"/>
      <c r="V2253" s="12"/>
      <c r="Z2253" s="12"/>
      <c r="AA2253" s="12" t="n">
        <v>5</v>
      </c>
      <c r="AB2253" s="12"/>
      <c r="AC2253" s="12"/>
      <c r="AD2253" s="12"/>
      <c r="AE2253" s="12"/>
    </row>
    <row r="2254" customFormat="false" ht="15.75" hidden="false" customHeight="false" outlineLevel="0" collapsed="false">
      <c r="A2254" s="12" t="str">
        <f aca="false">IF((AA2254&gt;=4), "Y", "N")</f>
        <v>Y</v>
      </c>
      <c r="B2254" s="74"/>
      <c r="C2254" s="26" t="s">
        <v>7896</v>
      </c>
      <c r="D2254" s="24"/>
      <c r="E2254" s="17"/>
      <c r="F2254" s="17"/>
      <c r="G2254" s="17"/>
      <c r="H2254" s="17"/>
      <c r="I2254" s="26" t="s">
        <v>209</v>
      </c>
      <c r="J2254" s="32"/>
      <c r="K2254" s="17"/>
      <c r="L2254" s="38"/>
      <c r="M2254" s="17"/>
      <c r="N2254" s="17"/>
      <c r="O2254" s="17"/>
      <c r="P2254" s="59" t="s">
        <v>7515</v>
      </c>
      <c r="Q2254" s="12"/>
      <c r="R2254" s="12"/>
      <c r="S2254" s="12"/>
      <c r="T2254" s="12"/>
      <c r="U2254" s="12"/>
      <c r="V2254" s="12"/>
      <c r="Z2254" s="12"/>
      <c r="AA2254" s="12" t="n">
        <v>5</v>
      </c>
      <c r="AB2254" s="12"/>
      <c r="AC2254" s="12"/>
      <c r="AD2254" s="12"/>
      <c r="AE2254" s="12"/>
    </row>
    <row r="2255" customFormat="false" ht="15.75" hidden="false" customHeight="false" outlineLevel="0" collapsed="false">
      <c r="A2255" s="12" t="str">
        <f aca="false">IF((AA2255&gt;=4), "Y", "N")</f>
        <v>Y</v>
      </c>
      <c r="B2255" s="74"/>
      <c r="C2255" s="26" t="s">
        <v>7897</v>
      </c>
      <c r="D2255" s="24"/>
      <c r="E2255" s="17"/>
      <c r="F2255" s="17"/>
      <c r="G2255" s="17"/>
      <c r="H2255" s="17"/>
      <c r="I2255" s="26" t="s">
        <v>209</v>
      </c>
      <c r="J2255" s="32"/>
      <c r="K2255" s="17"/>
      <c r="L2255" s="38"/>
      <c r="M2255" s="17"/>
      <c r="N2255" s="17"/>
      <c r="O2255" s="17"/>
      <c r="P2255" s="59" t="s">
        <v>7515</v>
      </c>
      <c r="Q2255" s="12"/>
      <c r="R2255" s="12"/>
      <c r="S2255" s="12"/>
      <c r="T2255" s="12"/>
      <c r="U2255" s="12"/>
      <c r="V2255" s="12"/>
      <c r="Z2255" s="12"/>
      <c r="AA2255" s="12" t="n">
        <v>5</v>
      </c>
      <c r="AB2255" s="12"/>
      <c r="AC2255" s="12"/>
      <c r="AD2255" s="12"/>
      <c r="AE2255" s="12"/>
    </row>
    <row r="2256" customFormat="false" ht="15.75" hidden="false" customHeight="false" outlineLevel="0" collapsed="false">
      <c r="A2256" s="12" t="str">
        <f aca="false">IF((AA2256&gt;=4), "Y", "N")</f>
        <v>Y</v>
      </c>
      <c r="B2256" s="74"/>
      <c r="C2256" s="26" t="s">
        <v>7898</v>
      </c>
      <c r="D2256" s="24"/>
      <c r="E2256" s="17"/>
      <c r="F2256" s="17"/>
      <c r="G2256" s="17"/>
      <c r="H2256" s="17"/>
      <c r="I2256" s="26" t="s">
        <v>209</v>
      </c>
      <c r="J2256" s="32"/>
      <c r="K2256" s="17"/>
      <c r="L2256" s="38"/>
      <c r="M2256" s="17"/>
      <c r="N2256" s="17"/>
      <c r="O2256" s="17"/>
      <c r="P2256" s="59" t="s">
        <v>7515</v>
      </c>
      <c r="Q2256" s="12"/>
      <c r="R2256" s="12"/>
      <c r="S2256" s="12"/>
      <c r="T2256" s="12"/>
      <c r="U2256" s="12"/>
      <c r="V2256" s="12"/>
      <c r="Z2256" s="12"/>
      <c r="AA2256" s="12" t="n">
        <v>5</v>
      </c>
      <c r="AB2256" s="12"/>
      <c r="AC2256" s="12"/>
      <c r="AD2256" s="12"/>
      <c r="AE2256" s="12"/>
    </row>
    <row r="2257" customFormat="false" ht="15.75" hidden="false" customHeight="false" outlineLevel="0" collapsed="false">
      <c r="A2257" s="12" t="str">
        <f aca="false">IF((AA2257&gt;=4), "Y", "N")</f>
        <v>Y</v>
      </c>
      <c r="B2257" s="74"/>
      <c r="C2257" s="26" t="s">
        <v>7899</v>
      </c>
      <c r="D2257" s="24"/>
      <c r="E2257" s="17"/>
      <c r="F2257" s="17"/>
      <c r="G2257" s="17"/>
      <c r="H2257" s="17"/>
      <c r="I2257" s="26" t="s">
        <v>209</v>
      </c>
      <c r="J2257" s="32"/>
      <c r="K2257" s="17"/>
      <c r="L2257" s="38"/>
      <c r="M2257" s="17"/>
      <c r="N2257" s="17"/>
      <c r="O2257" s="17"/>
      <c r="P2257" s="59" t="s">
        <v>7515</v>
      </c>
      <c r="Q2257" s="12"/>
      <c r="R2257" s="12"/>
      <c r="S2257" s="12"/>
      <c r="T2257" s="12"/>
      <c r="U2257" s="12"/>
      <c r="V2257" s="12"/>
      <c r="Z2257" s="12"/>
      <c r="AA2257" s="12" t="n">
        <v>5</v>
      </c>
      <c r="AB2257" s="12"/>
      <c r="AC2257" s="12"/>
      <c r="AD2257" s="12"/>
      <c r="AE2257" s="12"/>
    </row>
    <row r="2258" customFormat="false" ht="15.75" hidden="false" customHeight="false" outlineLevel="0" collapsed="false">
      <c r="A2258" s="12" t="str">
        <f aca="false">IF((AA2258&gt;=4), "Y", "N")</f>
        <v>Y</v>
      </c>
      <c r="B2258" s="74"/>
      <c r="C2258" s="26" t="s">
        <v>7900</v>
      </c>
      <c r="D2258" s="24"/>
      <c r="E2258" s="17"/>
      <c r="F2258" s="17"/>
      <c r="G2258" s="17"/>
      <c r="H2258" s="17"/>
      <c r="I2258" s="26" t="s">
        <v>209</v>
      </c>
      <c r="J2258" s="32"/>
      <c r="K2258" s="17"/>
      <c r="L2258" s="38"/>
      <c r="M2258" s="17"/>
      <c r="N2258" s="17"/>
      <c r="O2258" s="17"/>
      <c r="P2258" s="59" t="s">
        <v>7515</v>
      </c>
      <c r="Q2258" s="12"/>
      <c r="R2258" s="12"/>
      <c r="S2258" s="12"/>
      <c r="T2258" s="12"/>
      <c r="U2258" s="12"/>
      <c r="V2258" s="12"/>
      <c r="Z2258" s="12"/>
      <c r="AA2258" s="12" t="n">
        <v>5</v>
      </c>
      <c r="AB2258" s="12"/>
      <c r="AC2258" s="12"/>
      <c r="AD2258" s="12"/>
      <c r="AE2258" s="12"/>
    </row>
    <row r="2259" customFormat="false" ht="15.75" hidden="false" customHeight="false" outlineLevel="0" collapsed="false">
      <c r="A2259" s="12" t="str">
        <f aca="false">IF((AA2259&gt;=4), "Y", "N")</f>
        <v>Y</v>
      </c>
      <c r="B2259" s="74"/>
      <c r="C2259" s="26" t="s">
        <v>7901</v>
      </c>
      <c r="D2259" s="24"/>
      <c r="E2259" s="17"/>
      <c r="F2259" s="17"/>
      <c r="G2259" s="17"/>
      <c r="H2259" s="17"/>
      <c r="I2259" s="26" t="s">
        <v>209</v>
      </c>
      <c r="J2259" s="32"/>
      <c r="K2259" s="17"/>
      <c r="L2259" s="38"/>
      <c r="M2259" s="17"/>
      <c r="N2259" s="17"/>
      <c r="O2259" s="17"/>
      <c r="P2259" s="59" t="s">
        <v>7515</v>
      </c>
      <c r="Q2259" s="12"/>
      <c r="R2259" s="12"/>
      <c r="S2259" s="12"/>
      <c r="T2259" s="12"/>
      <c r="U2259" s="12"/>
      <c r="V2259" s="12"/>
      <c r="Z2259" s="12"/>
      <c r="AA2259" s="12" t="n">
        <v>5</v>
      </c>
      <c r="AB2259" s="12"/>
      <c r="AC2259" s="12"/>
      <c r="AD2259" s="12"/>
      <c r="AE2259" s="12"/>
    </row>
    <row r="2260" customFormat="false" ht="15.75" hidden="false" customHeight="false" outlineLevel="0" collapsed="false">
      <c r="A2260" s="12" t="str">
        <f aca="false">IF((AA2260&gt;=4), "Y", "N")</f>
        <v>Y</v>
      </c>
      <c r="B2260" s="74"/>
      <c r="C2260" s="26" t="s">
        <v>7902</v>
      </c>
      <c r="D2260" s="24"/>
      <c r="E2260" s="17"/>
      <c r="F2260" s="17"/>
      <c r="G2260" s="17"/>
      <c r="H2260" s="17"/>
      <c r="I2260" s="26" t="s">
        <v>209</v>
      </c>
      <c r="J2260" s="32"/>
      <c r="K2260" s="17"/>
      <c r="L2260" s="38"/>
      <c r="M2260" s="17"/>
      <c r="N2260" s="17"/>
      <c r="O2260" s="17"/>
      <c r="P2260" s="59" t="s">
        <v>7515</v>
      </c>
      <c r="Q2260" s="12"/>
      <c r="R2260" s="12"/>
      <c r="S2260" s="12"/>
      <c r="T2260" s="12"/>
      <c r="U2260" s="12"/>
      <c r="V2260" s="12"/>
      <c r="Z2260" s="12"/>
      <c r="AA2260" s="12" t="n">
        <v>5</v>
      </c>
      <c r="AB2260" s="12"/>
      <c r="AC2260" s="12"/>
      <c r="AD2260" s="12"/>
      <c r="AE2260" s="12"/>
    </row>
    <row r="2261" customFormat="false" ht="15.75" hidden="false" customHeight="false" outlineLevel="0" collapsed="false">
      <c r="A2261" s="12" t="str">
        <f aca="false">IF((AA2261&gt;=4), "Y", "N")</f>
        <v>Y</v>
      </c>
      <c r="B2261" s="74"/>
      <c r="C2261" s="26" t="s">
        <v>7903</v>
      </c>
      <c r="D2261" s="24"/>
      <c r="E2261" s="17"/>
      <c r="F2261" s="17"/>
      <c r="G2261" s="17"/>
      <c r="H2261" s="17"/>
      <c r="I2261" s="26" t="s">
        <v>209</v>
      </c>
      <c r="J2261" s="32"/>
      <c r="K2261" s="17"/>
      <c r="L2261" s="38"/>
      <c r="M2261" s="17"/>
      <c r="N2261" s="17"/>
      <c r="O2261" s="17"/>
      <c r="P2261" s="59" t="s">
        <v>7515</v>
      </c>
      <c r="Q2261" s="12"/>
      <c r="R2261" s="12"/>
      <c r="S2261" s="12"/>
      <c r="T2261" s="12"/>
      <c r="U2261" s="12"/>
      <c r="V2261" s="12"/>
      <c r="Z2261" s="12"/>
      <c r="AA2261" s="12" t="n">
        <v>5</v>
      </c>
      <c r="AB2261" s="12"/>
      <c r="AC2261" s="12"/>
      <c r="AD2261" s="12"/>
      <c r="AE2261" s="12"/>
    </row>
    <row r="2262" customFormat="false" ht="15.75" hidden="false" customHeight="false" outlineLevel="0" collapsed="false">
      <c r="A2262" s="12" t="str">
        <f aca="false">IF((AA2262&gt;=4), "Y", "N")</f>
        <v>Y</v>
      </c>
      <c r="B2262" s="74"/>
      <c r="C2262" s="26" t="s">
        <v>7904</v>
      </c>
      <c r="D2262" s="24"/>
      <c r="E2262" s="17"/>
      <c r="F2262" s="17"/>
      <c r="G2262" s="17"/>
      <c r="H2262" s="17"/>
      <c r="I2262" s="26" t="s">
        <v>209</v>
      </c>
      <c r="J2262" s="32"/>
      <c r="K2262" s="17"/>
      <c r="L2262" s="38"/>
      <c r="M2262" s="17"/>
      <c r="N2262" s="17"/>
      <c r="O2262" s="17"/>
      <c r="P2262" s="59" t="s">
        <v>7515</v>
      </c>
      <c r="Q2262" s="12"/>
      <c r="R2262" s="12"/>
      <c r="S2262" s="12"/>
      <c r="T2262" s="12"/>
      <c r="U2262" s="12"/>
      <c r="V2262" s="12"/>
      <c r="Z2262" s="12"/>
      <c r="AA2262" s="12" t="n">
        <v>5</v>
      </c>
      <c r="AB2262" s="12"/>
      <c r="AC2262" s="12"/>
      <c r="AD2262" s="12"/>
      <c r="AE2262" s="12"/>
    </row>
    <row r="2263" customFormat="false" ht="15.75" hidden="false" customHeight="false" outlineLevel="0" collapsed="false">
      <c r="A2263" s="12" t="str">
        <f aca="false">IF((AA2263&gt;=4), "Y", "N")</f>
        <v>Y</v>
      </c>
      <c r="B2263" s="74"/>
      <c r="C2263" s="26" t="s">
        <v>7905</v>
      </c>
      <c r="D2263" s="24"/>
      <c r="E2263" s="17"/>
      <c r="F2263" s="17"/>
      <c r="G2263" s="17"/>
      <c r="H2263" s="17"/>
      <c r="I2263" s="26" t="s">
        <v>209</v>
      </c>
      <c r="J2263" s="32"/>
      <c r="K2263" s="17"/>
      <c r="L2263" s="38"/>
      <c r="M2263" s="17"/>
      <c r="N2263" s="17"/>
      <c r="O2263" s="17"/>
      <c r="P2263" s="59" t="s">
        <v>7515</v>
      </c>
      <c r="Q2263" s="12"/>
      <c r="R2263" s="12"/>
      <c r="S2263" s="12"/>
      <c r="T2263" s="12"/>
      <c r="U2263" s="12"/>
      <c r="V2263" s="12"/>
      <c r="Z2263" s="12"/>
      <c r="AA2263" s="12" t="n">
        <v>5</v>
      </c>
      <c r="AB2263" s="12"/>
      <c r="AC2263" s="12"/>
      <c r="AD2263" s="12"/>
      <c r="AE2263" s="12"/>
    </row>
    <row r="2264" customFormat="false" ht="15.75" hidden="false" customHeight="false" outlineLevel="0" collapsed="false">
      <c r="A2264" s="12" t="str">
        <f aca="false">IF((AA2264&gt;=4), "Y", "N")</f>
        <v>Y</v>
      </c>
      <c r="B2264" s="74"/>
      <c r="C2264" s="26" t="s">
        <v>7906</v>
      </c>
      <c r="D2264" s="24"/>
      <c r="E2264" s="17"/>
      <c r="F2264" s="17"/>
      <c r="G2264" s="17"/>
      <c r="H2264" s="17"/>
      <c r="I2264" s="26" t="s">
        <v>209</v>
      </c>
      <c r="J2264" s="32"/>
      <c r="K2264" s="17"/>
      <c r="L2264" s="38"/>
      <c r="M2264" s="17"/>
      <c r="N2264" s="17"/>
      <c r="O2264" s="17"/>
      <c r="P2264" s="59" t="s">
        <v>7515</v>
      </c>
      <c r="Q2264" s="12"/>
      <c r="R2264" s="12"/>
      <c r="S2264" s="12"/>
      <c r="T2264" s="12"/>
      <c r="U2264" s="12"/>
      <c r="V2264" s="12"/>
      <c r="Z2264" s="12"/>
      <c r="AA2264" s="12" t="n">
        <v>5</v>
      </c>
      <c r="AB2264" s="12"/>
      <c r="AC2264" s="12"/>
      <c r="AD2264" s="12"/>
      <c r="AE2264" s="12"/>
    </row>
    <row r="2265" customFormat="false" ht="15.75" hidden="false" customHeight="false" outlineLevel="0" collapsed="false">
      <c r="A2265" s="12" t="str">
        <f aca="false">IF((AA2265&gt;=4), "Y", "N")</f>
        <v>Y</v>
      </c>
      <c r="B2265" s="74"/>
      <c r="C2265" s="26" t="s">
        <v>7907</v>
      </c>
      <c r="D2265" s="24"/>
      <c r="E2265" s="17"/>
      <c r="F2265" s="17"/>
      <c r="G2265" s="17"/>
      <c r="H2265" s="17"/>
      <c r="I2265" s="26" t="s">
        <v>209</v>
      </c>
      <c r="J2265" s="32"/>
      <c r="K2265" s="17"/>
      <c r="L2265" s="38"/>
      <c r="M2265" s="17"/>
      <c r="N2265" s="17"/>
      <c r="O2265" s="17"/>
      <c r="P2265" s="59" t="s">
        <v>7515</v>
      </c>
      <c r="Q2265" s="12"/>
      <c r="R2265" s="12"/>
      <c r="S2265" s="12"/>
      <c r="T2265" s="12"/>
      <c r="U2265" s="12"/>
      <c r="V2265" s="12"/>
      <c r="Z2265" s="12"/>
      <c r="AA2265" s="12" t="n">
        <v>5</v>
      </c>
      <c r="AB2265" s="12"/>
      <c r="AC2265" s="12"/>
      <c r="AD2265" s="12"/>
      <c r="AE2265" s="12"/>
    </row>
    <row r="2266" customFormat="false" ht="15.75" hidden="false" customHeight="false" outlineLevel="0" collapsed="false">
      <c r="A2266" s="12" t="str">
        <f aca="false">IF((AA2266&gt;=4), "Y", "N")</f>
        <v>Y</v>
      </c>
      <c r="B2266" s="74"/>
      <c r="C2266" s="26" t="s">
        <v>7908</v>
      </c>
      <c r="D2266" s="24"/>
      <c r="E2266" s="17"/>
      <c r="F2266" s="17"/>
      <c r="G2266" s="17"/>
      <c r="H2266" s="17"/>
      <c r="I2266" s="26" t="s">
        <v>209</v>
      </c>
      <c r="J2266" s="32"/>
      <c r="K2266" s="17"/>
      <c r="L2266" s="38"/>
      <c r="M2266" s="17"/>
      <c r="N2266" s="17"/>
      <c r="O2266" s="17"/>
      <c r="P2266" s="59" t="s">
        <v>7515</v>
      </c>
      <c r="Q2266" s="12"/>
      <c r="R2266" s="12"/>
      <c r="S2266" s="12"/>
      <c r="T2266" s="12"/>
      <c r="U2266" s="12"/>
      <c r="V2266" s="12"/>
      <c r="Z2266" s="12"/>
      <c r="AA2266" s="12" t="n">
        <v>5</v>
      </c>
      <c r="AB2266" s="12"/>
      <c r="AC2266" s="12"/>
      <c r="AD2266" s="12"/>
      <c r="AE2266" s="12"/>
    </row>
    <row r="2267" customFormat="false" ht="15.75" hidden="false" customHeight="false" outlineLevel="0" collapsed="false">
      <c r="A2267" s="12" t="str">
        <f aca="false">IF((AA2267&gt;=4), "Y", "N")</f>
        <v>Y</v>
      </c>
      <c r="B2267" s="74"/>
      <c r="C2267" s="26" t="s">
        <v>2804</v>
      </c>
      <c r="D2267" s="24"/>
      <c r="E2267" s="17"/>
      <c r="F2267" s="17"/>
      <c r="G2267" s="17"/>
      <c r="H2267" s="17"/>
      <c r="I2267" s="26" t="s">
        <v>209</v>
      </c>
      <c r="J2267" s="32"/>
      <c r="K2267" s="17"/>
      <c r="L2267" s="38"/>
      <c r="M2267" s="17"/>
      <c r="N2267" s="17"/>
      <c r="O2267" s="17"/>
      <c r="P2267" s="59" t="s">
        <v>7515</v>
      </c>
      <c r="Q2267" s="12"/>
      <c r="R2267" s="12"/>
      <c r="S2267" s="12"/>
      <c r="T2267" s="12"/>
      <c r="U2267" s="12"/>
      <c r="V2267" s="12"/>
      <c r="Z2267" s="12"/>
      <c r="AA2267" s="12" t="n">
        <v>5</v>
      </c>
      <c r="AB2267" s="12"/>
      <c r="AC2267" s="12"/>
      <c r="AD2267" s="12"/>
      <c r="AE2267" s="12"/>
    </row>
    <row r="2268" customFormat="false" ht="15.75" hidden="false" customHeight="false" outlineLevel="0" collapsed="false">
      <c r="A2268" s="12" t="str">
        <f aca="false">IF((AA2268&gt;=4), "Y", "N")</f>
        <v>Y</v>
      </c>
      <c r="B2268" s="74"/>
      <c r="C2268" s="26" t="s">
        <v>7909</v>
      </c>
      <c r="D2268" s="24"/>
      <c r="E2268" s="17"/>
      <c r="F2268" s="17"/>
      <c r="G2268" s="17"/>
      <c r="H2268" s="17"/>
      <c r="I2268" s="26" t="s">
        <v>209</v>
      </c>
      <c r="J2268" s="32"/>
      <c r="K2268" s="17"/>
      <c r="L2268" s="38"/>
      <c r="M2268" s="17"/>
      <c r="N2268" s="17"/>
      <c r="O2268" s="17"/>
      <c r="P2268" s="59" t="s">
        <v>7515</v>
      </c>
      <c r="Q2268" s="12"/>
      <c r="R2268" s="12"/>
      <c r="S2268" s="12"/>
      <c r="T2268" s="12"/>
      <c r="U2268" s="12"/>
      <c r="V2268" s="12"/>
      <c r="Z2268" s="12"/>
      <c r="AA2268" s="12" t="n">
        <v>5</v>
      </c>
      <c r="AB2268" s="12"/>
      <c r="AC2268" s="12"/>
      <c r="AD2268" s="12"/>
      <c r="AE2268" s="12"/>
    </row>
    <row r="2269" customFormat="false" ht="15.75" hidden="false" customHeight="false" outlineLevel="0" collapsed="false">
      <c r="A2269" s="12" t="str">
        <f aca="false">IF((AA2269&gt;=4), "Y", "N")</f>
        <v>Y</v>
      </c>
      <c r="B2269" s="74"/>
      <c r="C2269" s="26" t="s">
        <v>7910</v>
      </c>
      <c r="D2269" s="24"/>
      <c r="E2269" s="17"/>
      <c r="F2269" s="17"/>
      <c r="G2269" s="17"/>
      <c r="H2269" s="17"/>
      <c r="I2269" s="26" t="s">
        <v>209</v>
      </c>
      <c r="J2269" s="32"/>
      <c r="K2269" s="17"/>
      <c r="L2269" s="38"/>
      <c r="M2269" s="17"/>
      <c r="N2269" s="17"/>
      <c r="O2269" s="17"/>
      <c r="P2269" s="59" t="s">
        <v>7515</v>
      </c>
      <c r="Q2269" s="12"/>
      <c r="R2269" s="12"/>
      <c r="S2269" s="12"/>
      <c r="T2269" s="12"/>
      <c r="U2269" s="12"/>
      <c r="V2269" s="12"/>
      <c r="Z2269" s="12"/>
      <c r="AA2269" s="12" t="n">
        <v>5</v>
      </c>
      <c r="AB2269" s="12"/>
      <c r="AC2269" s="12"/>
      <c r="AD2269" s="12"/>
      <c r="AE2269" s="12"/>
    </row>
    <row r="2270" customFormat="false" ht="15.75" hidden="false" customHeight="false" outlineLevel="0" collapsed="false">
      <c r="A2270" s="12" t="str">
        <f aca="false">IF((AA2270&gt;=4), "Y", "N")</f>
        <v>Y</v>
      </c>
      <c r="B2270" s="74"/>
      <c r="C2270" s="125" t="s">
        <v>7911</v>
      </c>
      <c r="D2270" s="24"/>
      <c r="E2270" s="17"/>
      <c r="F2270" s="17"/>
      <c r="G2270" s="17"/>
      <c r="H2270" s="17"/>
      <c r="I2270" s="26" t="s">
        <v>209</v>
      </c>
      <c r="J2270" s="32"/>
      <c r="K2270" s="17"/>
      <c r="L2270" s="38"/>
      <c r="M2270" s="17"/>
      <c r="N2270" s="17"/>
      <c r="O2270" s="17"/>
      <c r="P2270" s="59" t="s">
        <v>7515</v>
      </c>
      <c r="Q2270" s="12"/>
      <c r="R2270" s="12"/>
      <c r="S2270" s="12"/>
      <c r="T2270" s="12"/>
      <c r="U2270" s="12"/>
      <c r="V2270" s="12"/>
      <c r="Z2270" s="12"/>
      <c r="AA2270" s="12" t="n">
        <v>5</v>
      </c>
      <c r="AB2270" s="12"/>
      <c r="AC2270" s="12"/>
      <c r="AD2270" s="12"/>
      <c r="AE2270" s="12"/>
    </row>
    <row r="2271" customFormat="false" ht="15.75" hidden="false" customHeight="false" outlineLevel="0" collapsed="false">
      <c r="A2271" s="12" t="str">
        <f aca="false">IF((AA2271&gt;=4), "Y", "N")</f>
        <v>Y</v>
      </c>
      <c r="B2271" s="74"/>
      <c r="C2271" s="26" t="s">
        <v>7912</v>
      </c>
      <c r="D2271" s="24"/>
      <c r="E2271" s="17"/>
      <c r="F2271" s="17"/>
      <c r="G2271" s="17"/>
      <c r="H2271" s="17"/>
      <c r="I2271" s="26" t="s">
        <v>209</v>
      </c>
      <c r="J2271" s="32"/>
      <c r="K2271" s="17"/>
      <c r="L2271" s="38"/>
      <c r="M2271" s="17"/>
      <c r="N2271" s="17"/>
      <c r="O2271" s="17"/>
      <c r="P2271" s="59" t="s">
        <v>7515</v>
      </c>
      <c r="Q2271" s="12"/>
      <c r="R2271" s="12"/>
      <c r="S2271" s="12"/>
      <c r="T2271" s="12"/>
      <c r="U2271" s="12"/>
      <c r="V2271" s="12"/>
      <c r="Z2271" s="12"/>
      <c r="AA2271" s="12" t="n">
        <v>5</v>
      </c>
      <c r="AB2271" s="12"/>
      <c r="AC2271" s="12"/>
      <c r="AD2271" s="12"/>
      <c r="AE2271" s="12"/>
    </row>
    <row r="2272" customFormat="false" ht="15.75" hidden="false" customHeight="false" outlineLevel="0" collapsed="false">
      <c r="A2272" s="12" t="str">
        <f aca="false">IF((AA2272&gt;=4), "Y", "N")</f>
        <v>Y</v>
      </c>
      <c r="B2272" s="74"/>
      <c r="C2272" s="125" t="s">
        <v>7913</v>
      </c>
      <c r="D2272" s="24"/>
      <c r="E2272" s="17"/>
      <c r="F2272" s="17"/>
      <c r="G2272" s="17"/>
      <c r="H2272" s="17"/>
      <c r="I2272" s="26" t="s">
        <v>209</v>
      </c>
      <c r="J2272" s="32"/>
      <c r="K2272" s="17"/>
      <c r="L2272" s="38"/>
      <c r="M2272" s="17"/>
      <c r="N2272" s="17"/>
      <c r="O2272" s="17"/>
      <c r="P2272" s="59" t="s">
        <v>7515</v>
      </c>
      <c r="Q2272" s="12"/>
      <c r="R2272" s="12"/>
      <c r="S2272" s="12"/>
      <c r="T2272" s="12"/>
      <c r="U2272" s="12"/>
      <c r="V2272" s="12"/>
      <c r="Z2272" s="12"/>
      <c r="AA2272" s="12" t="n">
        <v>5</v>
      </c>
      <c r="AB2272" s="12"/>
      <c r="AC2272" s="12"/>
      <c r="AD2272" s="12"/>
      <c r="AE2272" s="12"/>
    </row>
    <row r="2273" customFormat="false" ht="15.75" hidden="false" customHeight="false" outlineLevel="0" collapsed="false">
      <c r="A2273" s="12" t="str">
        <f aca="false">IF((AA2273&gt;=4), "Y", "N")</f>
        <v>Y</v>
      </c>
      <c r="B2273" s="74"/>
      <c r="C2273" s="26" t="s">
        <v>7914</v>
      </c>
      <c r="D2273" s="24"/>
      <c r="E2273" s="17"/>
      <c r="F2273" s="17"/>
      <c r="G2273" s="17"/>
      <c r="H2273" s="17"/>
      <c r="I2273" s="26" t="s">
        <v>209</v>
      </c>
      <c r="J2273" s="32"/>
      <c r="K2273" s="17"/>
      <c r="L2273" s="38"/>
      <c r="M2273" s="17"/>
      <c r="N2273" s="17"/>
      <c r="O2273" s="17"/>
      <c r="P2273" s="59" t="s">
        <v>7515</v>
      </c>
      <c r="Q2273" s="12"/>
      <c r="R2273" s="12"/>
      <c r="S2273" s="12"/>
      <c r="T2273" s="12"/>
      <c r="U2273" s="12"/>
      <c r="V2273" s="12"/>
      <c r="Z2273" s="12"/>
      <c r="AA2273" s="12" t="n">
        <v>5</v>
      </c>
      <c r="AB2273" s="12"/>
      <c r="AC2273" s="12"/>
      <c r="AD2273" s="12"/>
      <c r="AE2273" s="12"/>
    </row>
    <row r="2274" customFormat="false" ht="15.75" hidden="false" customHeight="false" outlineLevel="0" collapsed="false">
      <c r="A2274" s="12" t="str">
        <f aca="false">IF((AA2274&gt;=4), "Y", "N")</f>
        <v>Y</v>
      </c>
      <c r="B2274" s="74"/>
      <c r="C2274" s="26" t="s">
        <v>7915</v>
      </c>
      <c r="D2274" s="24"/>
      <c r="E2274" s="17"/>
      <c r="F2274" s="17"/>
      <c r="G2274" s="17"/>
      <c r="H2274" s="17"/>
      <c r="I2274" s="26" t="s">
        <v>209</v>
      </c>
      <c r="J2274" s="32"/>
      <c r="K2274" s="17"/>
      <c r="L2274" s="38"/>
      <c r="M2274" s="17"/>
      <c r="N2274" s="17"/>
      <c r="O2274" s="17"/>
      <c r="P2274" s="59" t="s">
        <v>7515</v>
      </c>
      <c r="Q2274" s="12"/>
      <c r="R2274" s="12"/>
      <c r="S2274" s="12"/>
      <c r="T2274" s="12"/>
      <c r="U2274" s="12"/>
      <c r="V2274" s="12"/>
      <c r="Z2274" s="12"/>
      <c r="AA2274" s="12" t="n">
        <v>5</v>
      </c>
      <c r="AB2274" s="12"/>
      <c r="AC2274" s="12"/>
      <c r="AD2274" s="12"/>
      <c r="AE2274" s="12"/>
    </row>
    <row r="2275" customFormat="false" ht="15.75" hidden="false" customHeight="false" outlineLevel="0" collapsed="false">
      <c r="A2275" s="12" t="str">
        <f aca="false">IF((AA2275&gt;=4), "Y", "N")</f>
        <v>Y</v>
      </c>
      <c r="B2275" s="74"/>
      <c r="C2275" s="26" t="s">
        <v>512</v>
      </c>
      <c r="D2275" s="24"/>
      <c r="E2275" s="17"/>
      <c r="F2275" s="17"/>
      <c r="G2275" s="17"/>
      <c r="H2275" s="17"/>
      <c r="I2275" s="26" t="s">
        <v>209</v>
      </c>
      <c r="J2275" s="32"/>
      <c r="K2275" s="17"/>
      <c r="L2275" s="38"/>
      <c r="M2275" s="17"/>
      <c r="N2275" s="17"/>
      <c r="O2275" s="17"/>
      <c r="P2275" s="59" t="s">
        <v>7515</v>
      </c>
      <c r="Q2275" s="12"/>
      <c r="R2275" s="12"/>
      <c r="S2275" s="12"/>
      <c r="T2275" s="12"/>
      <c r="U2275" s="12"/>
      <c r="V2275" s="12"/>
      <c r="Z2275" s="12"/>
      <c r="AA2275" s="12" t="n">
        <v>5</v>
      </c>
      <c r="AB2275" s="12"/>
      <c r="AC2275" s="12"/>
      <c r="AD2275" s="12"/>
      <c r="AE2275" s="12"/>
    </row>
    <row r="2276" customFormat="false" ht="15.75" hidden="false" customHeight="false" outlineLevel="0" collapsed="false">
      <c r="A2276" s="12" t="str">
        <f aca="false">IF((AA2276&gt;=4), "Y", "N")</f>
        <v>Y</v>
      </c>
      <c r="B2276" s="74"/>
      <c r="C2276" s="26" t="s">
        <v>7916</v>
      </c>
      <c r="D2276" s="24"/>
      <c r="E2276" s="17"/>
      <c r="F2276" s="17"/>
      <c r="G2276" s="17"/>
      <c r="H2276" s="17"/>
      <c r="I2276" s="26" t="s">
        <v>209</v>
      </c>
      <c r="J2276" s="32"/>
      <c r="K2276" s="17"/>
      <c r="L2276" s="38"/>
      <c r="M2276" s="17"/>
      <c r="N2276" s="17"/>
      <c r="O2276" s="17"/>
      <c r="P2276" s="59" t="s">
        <v>7515</v>
      </c>
      <c r="Q2276" s="12"/>
      <c r="R2276" s="12"/>
      <c r="S2276" s="12"/>
      <c r="T2276" s="12"/>
      <c r="U2276" s="12"/>
      <c r="V2276" s="12"/>
      <c r="Z2276" s="12"/>
      <c r="AA2276" s="12" t="n">
        <v>5</v>
      </c>
      <c r="AB2276" s="12"/>
      <c r="AC2276" s="12"/>
      <c r="AD2276" s="12"/>
      <c r="AE2276" s="12"/>
    </row>
    <row r="2277" customFormat="false" ht="15.75" hidden="false" customHeight="false" outlineLevel="0" collapsed="false">
      <c r="A2277" s="12" t="str">
        <f aca="false">IF((AA2277&gt;=4), "Y", "N")</f>
        <v>Y</v>
      </c>
      <c r="B2277" s="74"/>
      <c r="C2277" s="26" t="s">
        <v>7917</v>
      </c>
      <c r="D2277" s="24"/>
      <c r="E2277" s="17"/>
      <c r="F2277" s="17"/>
      <c r="G2277" s="17"/>
      <c r="H2277" s="17"/>
      <c r="I2277" s="26" t="s">
        <v>209</v>
      </c>
      <c r="J2277" s="32"/>
      <c r="K2277" s="17"/>
      <c r="L2277" s="38"/>
      <c r="M2277" s="17"/>
      <c r="N2277" s="17"/>
      <c r="O2277" s="17"/>
      <c r="P2277" s="59" t="s">
        <v>7515</v>
      </c>
      <c r="Q2277" s="12"/>
      <c r="R2277" s="12"/>
      <c r="S2277" s="12"/>
      <c r="T2277" s="12"/>
      <c r="U2277" s="12"/>
      <c r="V2277" s="12"/>
      <c r="Z2277" s="12"/>
      <c r="AA2277" s="12" t="n">
        <v>5</v>
      </c>
      <c r="AB2277" s="12"/>
      <c r="AC2277" s="12"/>
      <c r="AD2277" s="12"/>
      <c r="AE2277" s="12"/>
    </row>
    <row r="2278" customFormat="false" ht="15.75" hidden="false" customHeight="false" outlineLevel="0" collapsed="false">
      <c r="A2278" s="12" t="str">
        <f aca="false">IF((AA2278&gt;=4), "Y", "N")</f>
        <v>Y</v>
      </c>
      <c r="B2278" s="74"/>
      <c r="C2278" s="26" t="s">
        <v>7918</v>
      </c>
      <c r="D2278" s="24"/>
      <c r="E2278" s="17"/>
      <c r="F2278" s="17"/>
      <c r="G2278" s="17"/>
      <c r="H2278" s="17"/>
      <c r="I2278" s="26" t="s">
        <v>209</v>
      </c>
      <c r="J2278" s="32"/>
      <c r="K2278" s="17"/>
      <c r="L2278" s="38"/>
      <c r="M2278" s="17"/>
      <c r="N2278" s="17"/>
      <c r="O2278" s="17"/>
      <c r="P2278" s="59" t="s">
        <v>7515</v>
      </c>
      <c r="Q2278" s="12"/>
      <c r="R2278" s="12"/>
      <c r="S2278" s="12"/>
      <c r="T2278" s="12"/>
      <c r="U2278" s="12"/>
      <c r="V2278" s="12"/>
      <c r="Z2278" s="12"/>
      <c r="AA2278" s="12" t="n">
        <v>5</v>
      </c>
      <c r="AB2278" s="12"/>
      <c r="AC2278" s="12"/>
      <c r="AD2278" s="12"/>
      <c r="AE2278" s="12"/>
    </row>
    <row r="2279" customFormat="false" ht="15.75" hidden="false" customHeight="false" outlineLevel="0" collapsed="false">
      <c r="A2279" s="12" t="str">
        <f aca="false">IF((AA2279&gt;=4), "Y", "N")</f>
        <v>Y</v>
      </c>
      <c r="B2279" s="74"/>
      <c r="C2279" s="26" t="s">
        <v>7919</v>
      </c>
      <c r="D2279" s="24"/>
      <c r="E2279" s="17"/>
      <c r="F2279" s="17"/>
      <c r="G2279" s="17"/>
      <c r="H2279" s="17"/>
      <c r="I2279" s="26" t="s">
        <v>209</v>
      </c>
      <c r="J2279" s="32"/>
      <c r="K2279" s="17"/>
      <c r="L2279" s="38"/>
      <c r="M2279" s="17"/>
      <c r="N2279" s="17"/>
      <c r="O2279" s="17"/>
      <c r="P2279" s="59" t="s">
        <v>7515</v>
      </c>
      <c r="Q2279" s="12"/>
      <c r="R2279" s="12"/>
      <c r="S2279" s="12"/>
      <c r="T2279" s="12"/>
      <c r="U2279" s="12"/>
      <c r="V2279" s="12"/>
      <c r="Z2279" s="12"/>
      <c r="AA2279" s="12" t="n">
        <v>5</v>
      </c>
      <c r="AB2279" s="12"/>
      <c r="AC2279" s="12"/>
      <c r="AD2279" s="12"/>
      <c r="AE2279" s="12"/>
    </row>
    <row r="2280" customFormat="false" ht="15.75" hidden="false" customHeight="false" outlineLevel="0" collapsed="false">
      <c r="A2280" s="12" t="s">
        <v>31</v>
      </c>
      <c r="B2280" s="13" t="s">
        <v>32</v>
      </c>
      <c r="C2280" s="47" t="s">
        <v>7920</v>
      </c>
      <c r="D2280" s="47" t="s">
        <v>94</v>
      </c>
      <c r="E2280" s="69" t="s">
        <v>7921</v>
      </c>
      <c r="F2280" s="47" t="s">
        <v>7922</v>
      </c>
      <c r="G2280" s="47" t="s">
        <v>2615</v>
      </c>
      <c r="I2280" s="47" t="s">
        <v>2616</v>
      </c>
      <c r="J2280" s="47" t="s">
        <v>48</v>
      </c>
      <c r="K2280" s="47" t="n">
        <v>2013</v>
      </c>
      <c r="L2280" s="38" t="s">
        <v>109</v>
      </c>
      <c r="M2280" s="47" t="s">
        <v>147</v>
      </c>
      <c r="N2280" s="47" t="s">
        <v>7923</v>
      </c>
      <c r="O2280" s="47" t="s">
        <v>675</v>
      </c>
      <c r="P2280" s="47" t="s">
        <v>526</v>
      </c>
      <c r="Q2280" s="12"/>
      <c r="R2280" s="12"/>
      <c r="S2280" s="12"/>
      <c r="T2280" s="12"/>
      <c r="U2280" s="12"/>
      <c r="V2280" s="12"/>
      <c r="Z2280" s="12"/>
      <c r="AA2280" s="12" t="n">
        <v>5</v>
      </c>
      <c r="AB2280" s="12"/>
      <c r="AC2280" s="12"/>
      <c r="AD2280" s="12"/>
      <c r="AE2280" s="12"/>
    </row>
    <row r="2281" customFormat="false" ht="15.75" hidden="false" customHeight="false" outlineLevel="0" collapsed="false">
      <c r="A2281" s="12" t="s">
        <v>31</v>
      </c>
      <c r="B2281" s="13" t="s">
        <v>32</v>
      </c>
      <c r="C2281" s="47" t="s">
        <v>7924</v>
      </c>
      <c r="D2281" s="47" t="s">
        <v>620</v>
      </c>
      <c r="E2281" s="69" t="s">
        <v>7925</v>
      </c>
      <c r="F2281" s="47" t="s">
        <v>7926</v>
      </c>
      <c r="G2281" s="47" t="s">
        <v>2615</v>
      </c>
      <c r="I2281" s="47" t="s">
        <v>2616</v>
      </c>
      <c r="J2281" s="47" t="s">
        <v>58</v>
      </c>
      <c r="K2281" s="47" t="n">
        <v>2011</v>
      </c>
      <c r="L2281" s="38" t="s">
        <v>109</v>
      </c>
      <c r="M2281" s="47" t="s">
        <v>58</v>
      </c>
      <c r="N2281" s="47" t="s">
        <v>7927</v>
      </c>
      <c r="O2281" s="47" t="s">
        <v>7928</v>
      </c>
      <c r="P2281" s="47" t="s">
        <v>526</v>
      </c>
      <c r="Q2281" s="12"/>
      <c r="R2281" s="12"/>
      <c r="S2281" s="12"/>
      <c r="T2281" s="12"/>
      <c r="U2281" s="12"/>
      <c r="V2281" s="12"/>
      <c r="Z2281" s="12"/>
      <c r="AA2281" s="12" t="n">
        <v>5</v>
      </c>
      <c r="AB2281" s="59" t="s">
        <v>7925</v>
      </c>
      <c r="AC2281" s="12"/>
      <c r="AD2281" s="12"/>
      <c r="AE2281" s="12"/>
    </row>
    <row r="2282" customFormat="false" ht="15.75" hidden="false" customHeight="false" outlineLevel="0" collapsed="false">
      <c r="A2282" s="12" t="s">
        <v>31</v>
      </c>
      <c r="B2282" s="13" t="s">
        <v>32</v>
      </c>
      <c r="C2282" s="47" t="s">
        <v>7929</v>
      </c>
      <c r="D2282" s="47" t="s">
        <v>51</v>
      </c>
      <c r="E2282" s="69" t="s">
        <v>7930</v>
      </c>
      <c r="F2282" s="17" t="s">
        <v>7931</v>
      </c>
      <c r="G2282" s="65"/>
      <c r="I2282" s="47" t="s">
        <v>131</v>
      </c>
      <c r="J2282" s="47" t="s">
        <v>2283</v>
      </c>
      <c r="K2282" s="47" t="n">
        <v>2010</v>
      </c>
      <c r="L2282" s="38"/>
      <c r="M2282" s="34" t="s">
        <v>58</v>
      </c>
      <c r="N2282" s="47"/>
      <c r="O2282" s="65" t="s">
        <v>675</v>
      </c>
      <c r="P2282" s="47" t="s">
        <v>526</v>
      </c>
      <c r="Q2282" s="12"/>
      <c r="R2282" s="12"/>
      <c r="S2282" s="12"/>
      <c r="T2282" s="12"/>
      <c r="U2282" s="12"/>
      <c r="V2282" s="12"/>
      <c r="Z2282" s="12"/>
      <c r="AA2282" s="12" t="n">
        <v>5</v>
      </c>
      <c r="AB2282" s="12"/>
      <c r="AC2282" s="12"/>
      <c r="AD2282" s="12"/>
      <c r="AE2282" s="12"/>
    </row>
    <row r="2283" customFormat="false" ht="15.75" hidden="false" customHeight="false" outlineLevel="0" collapsed="false">
      <c r="A2283" s="12" t="s">
        <v>31</v>
      </c>
      <c r="B2283" s="13" t="s">
        <v>1376</v>
      </c>
      <c r="C2283" s="47" t="s">
        <v>7932</v>
      </c>
      <c r="D2283" s="47" t="s">
        <v>94</v>
      </c>
      <c r="E2283" s="69" t="s">
        <v>7933</v>
      </c>
      <c r="F2283" s="17" t="s">
        <v>7934</v>
      </c>
      <c r="G2283" s="65" t="s">
        <v>7935</v>
      </c>
      <c r="I2283" s="47" t="s">
        <v>230</v>
      </c>
      <c r="J2283" s="47" t="s">
        <v>1843</v>
      </c>
      <c r="K2283" s="47" t="n">
        <v>1962</v>
      </c>
      <c r="L2283" s="38" t="s">
        <v>275</v>
      </c>
      <c r="M2283" s="34" t="s">
        <v>140</v>
      </c>
      <c r="N2283" s="47" t="s">
        <v>7936</v>
      </c>
      <c r="O2283" s="65" t="s">
        <v>675</v>
      </c>
      <c r="P2283" s="47" t="s">
        <v>7937</v>
      </c>
      <c r="Q2283" s="12"/>
      <c r="R2283" s="12"/>
      <c r="S2283" s="12"/>
      <c r="T2283" s="12"/>
      <c r="U2283" s="12"/>
      <c r="V2283" s="12"/>
      <c r="Z2283" s="12"/>
      <c r="AA2283" s="12" t="n">
        <v>5</v>
      </c>
      <c r="AB2283" s="12" t="s">
        <v>7938</v>
      </c>
      <c r="AC2283" s="12"/>
      <c r="AD2283" s="12"/>
      <c r="AE2283" s="12"/>
    </row>
    <row r="2284" customFormat="false" ht="15.75" hidden="false" customHeight="false" outlineLevel="0" collapsed="false">
      <c r="A2284" s="12" t="s">
        <v>31</v>
      </c>
      <c r="B2284" s="13" t="s">
        <v>1376</v>
      </c>
      <c r="C2284" s="17" t="s">
        <v>7939</v>
      </c>
      <c r="D2284" s="17" t="s">
        <v>94</v>
      </c>
      <c r="E2284" s="25" t="s">
        <v>7940</v>
      </c>
      <c r="F2284" s="17" t="s">
        <v>7941</v>
      </c>
      <c r="G2284" s="49" t="s">
        <v>7942</v>
      </c>
      <c r="H2284" s="17"/>
      <c r="I2284" s="17" t="s">
        <v>230</v>
      </c>
      <c r="J2284" s="17" t="s">
        <v>1843</v>
      </c>
      <c r="K2284" s="17"/>
      <c r="L2284" s="38" t="s">
        <v>275</v>
      </c>
      <c r="M2284" s="34" t="s">
        <v>140</v>
      </c>
      <c r="N2284" s="17" t="s">
        <v>7936</v>
      </c>
      <c r="O2284" s="65" t="s">
        <v>675</v>
      </c>
      <c r="P2284" s="17" t="s">
        <v>7937</v>
      </c>
      <c r="Q2284" s="12"/>
      <c r="R2284" s="12"/>
      <c r="S2284" s="12"/>
      <c r="T2284" s="12"/>
      <c r="U2284" s="12"/>
      <c r="V2284" s="12"/>
      <c r="W2284" s="17"/>
      <c r="X2284" s="17"/>
      <c r="Y2284" s="17"/>
      <c r="Z2284" s="12"/>
      <c r="AA2284" s="12" t="n">
        <v>5</v>
      </c>
      <c r="AB2284" s="12" t="s">
        <v>7943</v>
      </c>
      <c r="AC2284" s="12"/>
      <c r="AD2284" s="12"/>
      <c r="AE2284" s="12"/>
      <c r="AF2284" s="17"/>
      <c r="AG2284" s="17"/>
    </row>
    <row r="2285" customFormat="false" ht="51.3" hidden="false" customHeight="false" outlineLevel="0" collapsed="false">
      <c r="A2285" s="12" t="s">
        <v>31</v>
      </c>
      <c r="B2285" s="13" t="s">
        <v>1376</v>
      </c>
      <c r="C2285" s="17" t="s">
        <v>7944</v>
      </c>
      <c r="D2285" s="17" t="s">
        <v>620</v>
      </c>
      <c r="E2285" s="25" t="s">
        <v>7945</v>
      </c>
      <c r="F2285" s="17" t="s">
        <v>7946</v>
      </c>
      <c r="G2285" s="49" t="s">
        <v>785</v>
      </c>
      <c r="H2285" s="17"/>
      <c r="I2285" s="17" t="s">
        <v>166</v>
      </c>
      <c r="J2285" s="17" t="s">
        <v>1843</v>
      </c>
      <c r="K2285" s="17"/>
      <c r="L2285" s="38" t="s">
        <v>109</v>
      </c>
      <c r="M2285" s="34" t="s">
        <v>140</v>
      </c>
      <c r="N2285" s="17" t="s">
        <v>7947</v>
      </c>
      <c r="O2285" s="17" t="s">
        <v>149</v>
      </c>
      <c r="P2285" s="17" t="s">
        <v>7937</v>
      </c>
      <c r="Q2285" s="12"/>
      <c r="R2285" s="12"/>
      <c r="S2285" s="12"/>
      <c r="T2285" s="12"/>
      <c r="U2285" s="12"/>
      <c r="V2285" s="12"/>
      <c r="W2285" s="17"/>
      <c r="X2285" s="17"/>
      <c r="Y2285" s="17"/>
      <c r="Z2285" s="12"/>
      <c r="AA2285" s="12" t="n">
        <v>5</v>
      </c>
      <c r="AB2285" s="12" t="s">
        <v>7948</v>
      </c>
      <c r="AC2285" s="59" t="s">
        <v>7949</v>
      </c>
      <c r="AD2285" s="12"/>
      <c r="AE2285" s="12"/>
      <c r="AF2285" s="17"/>
      <c r="AG2285" s="17"/>
    </row>
    <row r="2286" customFormat="false" ht="15.75" hidden="false" customHeight="false" outlineLevel="0" collapsed="false">
      <c r="A2286" s="12" t="s">
        <v>31</v>
      </c>
      <c r="B2286" s="13" t="s">
        <v>1376</v>
      </c>
      <c r="C2286" s="17" t="s">
        <v>7950</v>
      </c>
      <c r="D2286" s="17" t="s">
        <v>94</v>
      </c>
      <c r="E2286" s="25" t="s">
        <v>7951</v>
      </c>
      <c r="F2286" s="17" t="s">
        <v>7952</v>
      </c>
      <c r="G2286" s="49" t="s">
        <v>7953</v>
      </c>
      <c r="H2286" s="17"/>
      <c r="I2286" s="17" t="s">
        <v>230</v>
      </c>
      <c r="J2286" s="17" t="s">
        <v>2199</v>
      </c>
      <c r="K2286" s="17" t="n">
        <v>1811</v>
      </c>
      <c r="L2286" s="38"/>
      <c r="M2286" s="17" t="s">
        <v>74</v>
      </c>
      <c r="N2286" s="17"/>
      <c r="O2286" s="65" t="s">
        <v>675</v>
      </c>
      <c r="P2286" s="17" t="s">
        <v>7937</v>
      </c>
      <c r="Q2286" s="12"/>
      <c r="R2286" s="12"/>
      <c r="S2286" s="12"/>
      <c r="T2286" s="12"/>
      <c r="U2286" s="12"/>
      <c r="V2286" s="12"/>
      <c r="W2286" s="17"/>
      <c r="X2286" s="17"/>
      <c r="Y2286" s="17"/>
      <c r="Z2286" s="12"/>
      <c r="AA2286" s="12" t="n">
        <v>5</v>
      </c>
      <c r="AB2286" s="12" t="s">
        <v>7954</v>
      </c>
      <c r="AC2286" s="12"/>
      <c r="AD2286" s="12"/>
      <c r="AE2286" s="12"/>
      <c r="AF2286" s="17"/>
      <c r="AG2286" s="17"/>
    </row>
    <row r="2287" customFormat="false" ht="15.75" hidden="false" customHeight="false" outlineLevel="0" collapsed="false">
      <c r="A2287" s="12" t="s">
        <v>31</v>
      </c>
      <c r="B2287" s="13" t="s">
        <v>1376</v>
      </c>
      <c r="C2287" s="17" t="s">
        <v>7955</v>
      </c>
      <c r="D2287" s="17" t="s">
        <v>94</v>
      </c>
      <c r="E2287" s="25" t="s">
        <v>7956</v>
      </c>
      <c r="F2287" s="17" t="s">
        <v>7957</v>
      </c>
      <c r="G2287" s="49" t="s">
        <v>7958</v>
      </c>
      <c r="H2287" s="49"/>
      <c r="I2287" s="17" t="s">
        <v>2073</v>
      </c>
      <c r="J2287" s="17" t="s">
        <v>611</v>
      </c>
      <c r="K2287" s="17"/>
      <c r="L2287" s="38"/>
      <c r="M2287" s="17" t="s">
        <v>147</v>
      </c>
      <c r="N2287" s="17" t="s">
        <v>7936</v>
      </c>
      <c r="O2287" s="17" t="s">
        <v>149</v>
      </c>
      <c r="P2287" s="17" t="s">
        <v>7937</v>
      </c>
      <c r="Q2287" s="12"/>
      <c r="R2287" s="12"/>
      <c r="S2287" s="12"/>
      <c r="T2287" s="12"/>
      <c r="U2287" s="12"/>
      <c r="V2287" s="12"/>
      <c r="W2287" s="17"/>
      <c r="X2287" s="17"/>
      <c r="Y2287" s="17"/>
      <c r="Z2287" s="12"/>
      <c r="AA2287" s="12" t="n">
        <v>5</v>
      </c>
      <c r="AB2287" s="12" t="s">
        <v>7959</v>
      </c>
      <c r="AC2287" s="59" t="s">
        <v>7960</v>
      </c>
      <c r="AD2287" s="12"/>
      <c r="AE2287" s="12"/>
      <c r="AF2287" s="17"/>
      <c r="AG2287" s="17"/>
    </row>
    <row r="2288" customFormat="false" ht="15.75" hidden="false" customHeight="false" outlineLevel="0" collapsed="false">
      <c r="A2288" s="12" t="s">
        <v>31</v>
      </c>
      <c r="B2288" s="13" t="s">
        <v>1376</v>
      </c>
      <c r="C2288" s="17" t="s">
        <v>7961</v>
      </c>
      <c r="D2288" s="17" t="s">
        <v>94</v>
      </c>
      <c r="E2288" s="25" t="s">
        <v>7962</v>
      </c>
      <c r="F2288" s="17" t="s">
        <v>7963</v>
      </c>
      <c r="G2288" s="49" t="s">
        <v>7964</v>
      </c>
      <c r="H2288" s="17"/>
      <c r="I2288" s="17" t="s">
        <v>230</v>
      </c>
      <c r="J2288" s="36" t="s">
        <v>2556</v>
      </c>
      <c r="K2288" s="124" t="n">
        <v>1891</v>
      </c>
      <c r="L2288" s="38" t="s">
        <v>275</v>
      </c>
      <c r="M2288" s="17" t="s">
        <v>74</v>
      </c>
      <c r="N2288" s="17"/>
      <c r="O2288" s="65" t="s">
        <v>675</v>
      </c>
      <c r="P2288" s="17" t="s">
        <v>7937</v>
      </c>
      <c r="Q2288" s="12"/>
      <c r="R2288" s="12"/>
      <c r="S2288" s="12"/>
      <c r="T2288" s="12"/>
      <c r="U2288" s="12"/>
      <c r="V2288" s="12"/>
      <c r="W2288" s="17"/>
      <c r="X2288" s="17"/>
      <c r="Y2288" s="17"/>
      <c r="Z2288" s="12"/>
      <c r="AA2288" s="12" t="n">
        <v>5</v>
      </c>
      <c r="AB2288" s="12" t="s">
        <v>7965</v>
      </c>
      <c r="AC2288" s="12"/>
      <c r="AD2288" s="12"/>
      <c r="AE2288" s="12"/>
      <c r="AF2288" s="17"/>
      <c r="AG2288" s="17"/>
    </row>
    <row r="2289" customFormat="false" ht="15.75" hidden="false" customHeight="false" outlineLevel="0" collapsed="false">
      <c r="A2289" s="12" t="s">
        <v>31</v>
      </c>
      <c r="B2289" s="13" t="s">
        <v>1376</v>
      </c>
      <c r="C2289" s="17" t="s">
        <v>7966</v>
      </c>
      <c r="D2289" s="17" t="s">
        <v>94</v>
      </c>
      <c r="E2289" s="25" t="s">
        <v>7967</v>
      </c>
      <c r="F2289" s="17" t="s">
        <v>7968</v>
      </c>
      <c r="G2289" s="49" t="s">
        <v>7964</v>
      </c>
      <c r="H2289" s="17"/>
      <c r="I2289" s="17" t="s">
        <v>230</v>
      </c>
      <c r="J2289" s="36" t="s">
        <v>3986</v>
      </c>
      <c r="K2289" s="17" t="n">
        <v>1994</v>
      </c>
      <c r="L2289" s="38" t="s">
        <v>275</v>
      </c>
      <c r="M2289" s="17" t="s">
        <v>74</v>
      </c>
      <c r="N2289" s="17"/>
      <c r="O2289" s="65" t="s">
        <v>675</v>
      </c>
      <c r="P2289" s="17" t="s">
        <v>7937</v>
      </c>
      <c r="Q2289" s="12"/>
      <c r="R2289" s="12"/>
      <c r="S2289" s="12"/>
      <c r="T2289" s="12"/>
      <c r="U2289" s="12"/>
      <c r="V2289" s="12"/>
      <c r="W2289" s="17"/>
      <c r="X2289" s="17"/>
      <c r="Y2289" s="17"/>
      <c r="Z2289" s="12"/>
      <c r="AA2289" s="12" t="n">
        <v>5</v>
      </c>
      <c r="AB2289" s="12" t="s">
        <v>7969</v>
      </c>
      <c r="AC2289" s="12"/>
      <c r="AD2289" s="12"/>
      <c r="AE2289" s="12"/>
      <c r="AF2289" s="17"/>
      <c r="AG2289" s="17"/>
    </row>
    <row r="2290" customFormat="false" ht="15.75" hidden="false" customHeight="false" outlineLevel="0" collapsed="false">
      <c r="A2290" s="12" t="s">
        <v>31</v>
      </c>
      <c r="B2290" s="13" t="s">
        <v>1376</v>
      </c>
      <c r="C2290" s="17" t="s">
        <v>7970</v>
      </c>
      <c r="D2290" s="17" t="s">
        <v>94</v>
      </c>
      <c r="E2290" s="25" t="s">
        <v>7971</v>
      </c>
      <c r="F2290" s="17" t="s">
        <v>7972</v>
      </c>
      <c r="G2290" s="49" t="s">
        <v>7973</v>
      </c>
      <c r="H2290" s="17" t="s">
        <v>516</v>
      </c>
      <c r="I2290" s="17" t="s">
        <v>36</v>
      </c>
      <c r="J2290" s="36" t="s">
        <v>66</v>
      </c>
      <c r="K2290" s="124" t="n">
        <v>1865</v>
      </c>
      <c r="L2290" s="38" t="s">
        <v>275</v>
      </c>
      <c r="M2290" s="34" t="s">
        <v>140</v>
      </c>
      <c r="N2290" s="17"/>
      <c r="O2290" s="65" t="s">
        <v>675</v>
      </c>
      <c r="P2290" s="17" t="s">
        <v>7937</v>
      </c>
      <c r="Q2290" s="12"/>
      <c r="R2290" s="12"/>
      <c r="S2290" s="12"/>
      <c r="T2290" s="12"/>
      <c r="U2290" s="12"/>
      <c r="V2290" s="12"/>
      <c r="W2290" s="17"/>
      <c r="X2290" s="17"/>
      <c r="Y2290" s="17"/>
      <c r="Z2290" s="12"/>
      <c r="AA2290" s="12" t="n">
        <v>5</v>
      </c>
      <c r="AB2290" s="12" t="s">
        <v>7974</v>
      </c>
      <c r="AC2290" s="12"/>
      <c r="AD2290" s="12"/>
      <c r="AE2290" s="12"/>
      <c r="AF2290" s="17"/>
      <c r="AG2290" s="17"/>
    </row>
    <row r="2291" customFormat="false" ht="15.75" hidden="false" customHeight="false" outlineLevel="0" collapsed="false">
      <c r="A2291" s="12" t="s">
        <v>31</v>
      </c>
      <c r="B2291" s="13" t="s">
        <v>1376</v>
      </c>
      <c r="C2291" s="17" t="s">
        <v>7975</v>
      </c>
      <c r="D2291" s="17" t="s">
        <v>94</v>
      </c>
      <c r="E2291" s="25" t="s">
        <v>7976</v>
      </c>
      <c r="F2291" s="17" t="s">
        <v>7977</v>
      </c>
      <c r="G2291" s="49" t="s">
        <v>7964</v>
      </c>
      <c r="H2291" s="17"/>
      <c r="I2291" s="17" t="s">
        <v>230</v>
      </c>
      <c r="J2291" s="36" t="s">
        <v>2556</v>
      </c>
      <c r="K2291" s="17" t="n">
        <v>1864</v>
      </c>
      <c r="L2291" s="38" t="s">
        <v>275</v>
      </c>
      <c r="M2291" s="17" t="s">
        <v>74</v>
      </c>
      <c r="N2291" s="17"/>
      <c r="O2291" s="65" t="s">
        <v>675</v>
      </c>
      <c r="P2291" s="17" t="s">
        <v>7937</v>
      </c>
      <c r="Q2291" s="12"/>
      <c r="R2291" s="12"/>
      <c r="S2291" s="12"/>
      <c r="T2291" s="12"/>
      <c r="U2291" s="12"/>
      <c r="V2291" s="12"/>
      <c r="W2291" s="17"/>
      <c r="X2291" s="17"/>
      <c r="Y2291" s="17"/>
      <c r="Z2291" s="12"/>
      <c r="AA2291" s="12" t="n">
        <v>5</v>
      </c>
      <c r="AB2291" s="12" t="s">
        <v>7978</v>
      </c>
      <c r="AC2291" s="12"/>
      <c r="AD2291" s="12"/>
      <c r="AE2291" s="12"/>
      <c r="AF2291" s="17"/>
      <c r="AG2291" s="17"/>
    </row>
    <row r="2292" customFormat="false" ht="15.75" hidden="false" customHeight="false" outlineLevel="0" collapsed="false">
      <c r="A2292" s="12" t="s">
        <v>31</v>
      </c>
      <c r="B2292" s="13" t="s">
        <v>1376</v>
      </c>
      <c r="C2292" s="17" t="s">
        <v>7979</v>
      </c>
      <c r="D2292" s="17" t="s">
        <v>94</v>
      </c>
      <c r="E2292" s="25" t="s">
        <v>7980</v>
      </c>
      <c r="F2292" s="109" t="s">
        <v>7981</v>
      </c>
      <c r="G2292" s="17" t="s">
        <v>7982</v>
      </c>
      <c r="H2292" s="17"/>
      <c r="I2292" s="17" t="s">
        <v>230</v>
      </c>
      <c r="J2292" s="36" t="s">
        <v>2556</v>
      </c>
      <c r="K2292" s="17" t="n">
        <v>2008</v>
      </c>
      <c r="L2292" s="38" t="s">
        <v>275</v>
      </c>
      <c r="M2292" s="17" t="s">
        <v>74</v>
      </c>
      <c r="N2292" s="17"/>
      <c r="O2292" s="65" t="s">
        <v>675</v>
      </c>
      <c r="P2292" s="17" t="s">
        <v>7937</v>
      </c>
      <c r="Q2292" s="12"/>
      <c r="R2292" s="12"/>
      <c r="S2292" s="12"/>
      <c r="T2292" s="12"/>
      <c r="U2292" s="12"/>
      <c r="V2292" s="12"/>
      <c r="W2292" s="17"/>
      <c r="X2292" s="17"/>
      <c r="Y2292" s="17"/>
      <c r="Z2292" s="12"/>
      <c r="AA2292" s="12" t="n">
        <v>5</v>
      </c>
      <c r="AB2292" s="12" t="s">
        <v>7983</v>
      </c>
      <c r="AC2292" s="12"/>
      <c r="AD2292" s="12"/>
      <c r="AE2292" s="12"/>
      <c r="AF2292" s="17"/>
      <c r="AG2292" s="17"/>
    </row>
    <row r="2293" customFormat="false" ht="38.8" hidden="false" customHeight="false" outlineLevel="0" collapsed="false">
      <c r="A2293" s="12" t="s">
        <v>31</v>
      </c>
      <c r="B2293" s="13" t="s">
        <v>1376</v>
      </c>
      <c r="C2293" s="17" t="s">
        <v>7984</v>
      </c>
      <c r="D2293" s="17" t="s">
        <v>94</v>
      </c>
      <c r="E2293" s="25" t="s">
        <v>7985</v>
      </c>
      <c r="F2293" s="17" t="s">
        <v>7986</v>
      </c>
      <c r="G2293" s="17" t="s">
        <v>7987</v>
      </c>
      <c r="H2293" s="126" t="s">
        <v>7988</v>
      </c>
      <c r="I2293" s="17" t="s">
        <v>561</v>
      </c>
      <c r="J2293" s="17" t="s">
        <v>48</v>
      </c>
      <c r="K2293" s="17" t="n">
        <v>1981</v>
      </c>
      <c r="L2293" s="38" t="s">
        <v>99</v>
      </c>
      <c r="M2293" s="17" t="s">
        <v>74</v>
      </c>
      <c r="N2293" s="17" t="s">
        <v>7989</v>
      </c>
      <c r="O2293" s="65" t="s">
        <v>675</v>
      </c>
      <c r="P2293" s="17" t="s">
        <v>7937</v>
      </c>
      <c r="Q2293" s="12"/>
      <c r="R2293" s="12"/>
      <c r="S2293" s="12"/>
      <c r="T2293" s="12"/>
      <c r="U2293" s="12"/>
      <c r="V2293" s="12"/>
      <c r="W2293" s="17"/>
      <c r="X2293" s="17"/>
      <c r="Y2293" s="17"/>
      <c r="Z2293" s="12"/>
      <c r="AA2293" s="12" t="n">
        <v>5</v>
      </c>
      <c r="AB2293" s="12" t="s">
        <v>7990</v>
      </c>
      <c r="AC2293" s="59" t="s">
        <v>7991</v>
      </c>
      <c r="AD2293" s="12"/>
      <c r="AE2293" s="12"/>
      <c r="AF2293" s="17"/>
      <c r="AG2293" s="17"/>
    </row>
    <row r="2294" customFormat="false" ht="15.75" hidden="false" customHeight="false" outlineLevel="0" collapsed="false">
      <c r="A2294" s="12" t="s">
        <v>31</v>
      </c>
      <c r="B2294" s="13" t="s">
        <v>1376</v>
      </c>
      <c r="C2294" s="17" t="s">
        <v>7992</v>
      </c>
      <c r="D2294" s="17" t="s">
        <v>94</v>
      </c>
      <c r="E2294" s="25" t="s">
        <v>7993</v>
      </c>
      <c r="F2294" s="17" t="s">
        <v>7994</v>
      </c>
      <c r="G2294" s="17" t="s">
        <v>7995</v>
      </c>
      <c r="H2294" s="17" t="s">
        <v>1030</v>
      </c>
      <c r="I2294" s="17" t="s">
        <v>36</v>
      </c>
      <c r="J2294" s="17" t="s">
        <v>611</v>
      </c>
      <c r="K2294" s="17" t="n">
        <v>1992</v>
      </c>
      <c r="L2294" s="38"/>
      <c r="M2294" s="17" t="s">
        <v>147</v>
      </c>
      <c r="N2294" s="17" t="s">
        <v>7996</v>
      </c>
      <c r="O2294" s="17" t="s">
        <v>7928</v>
      </c>
      <c r="P2294" s="17" t="s">
        <v>7937</v>
      </c>
      <c r="Q2294" s="12"/>
      <c r="R2294" s="12"/>
      <c r="S2294" s="12"/>
      <c r="T2294" s="12"/>
      <c r="U2294" s="12"/>
      <c r="V2294" s="12"/>
      <c r="W2294" s="17"/>
      <c r="X2294" s="17"/>
      <c r="Y2294" s="17"/>
      <c r="Z2294" s="12"/>
      <c r="AA2294" s="12" t="n">
        <v>5</v>
      </c>
      <c r="AB2294" s="12" t="s">
        <v>7997</v>
      </c>
      <c r="AC2294" s="59" t="s">
        <v>7998</v>
      </c>
      <c r="AD2294" s="12"/>
      <c r="AE2294" s="12"/>
      <c r="AF2294" s="17"/>
      <c r="AG2294" s="17"/>
    </row>
    <row r="2295" customFormat="false" ht="38.8" hidden="false" customHeight="false" outlineLevel="0" collapsed="false">
      <c r="A2295" s="12" t="s">
        <v>31</v>
      </c>
      <c r="B2295" s="13" t="s">
        <v>1376</v>
      </c>
      <c r="C2295" s="17" t="s">
        <v>7999</v>
      </c>
      <c r="D2295" s="17" t="s">
        <v>94</v>
      </c>
      <c r="E2295" s="25" t="s">
        <v>8000</v>
      </c>
      <c r="F2295" s="17" t="s">
        <v>8001</v>
      </c>
      <c r="G2295" s="17" t="s">
        <v>8002</v>
      </c>
      <c r="H2295" s="17"/>
      <c r="I2295" s="17" t="s">
        <v>610</v>
      </c>
      <c r="J2295" s="47" t="s">
        <v>3986</v>
      </c>
      <c r="K2295" s="17" t="n">
        <v>1987</v>
      </c>
      <c r="L2295" s="38"/>
      <c r="M2295" s="17" t="s">
        <v>74</v>
      </c>
      <c r="N2295" s="17" t="s">
        <v>8003</v>
      </c>
      <c r="O2295" s="65" t="s">
        <v>675</v>
      </c>
      <c r="P2295" s="17" t="s">
        <v>7937</v>
      </c>
      <c r="Q2295" s="12"/>
      <c r="R2295" s="12"/>
      <c r="S2295" s="12"/>
      <c r="T2295" s="12"/>
      <c r="U2295" s="12"/>
      <c r="V2295" s="12"/>
      <c r="W2295" s="17"/>
      <c r="X2295" s="17"/>
      <c r="Y2295" s="17"/>
      <c r="Z2295" s="12"/>
      <c r="AA2295" s="12" t="n">
        <v>5</v>
      </c>
      <c r="AB2295" s="12" t="s">
        <v>8004</v>
      </c>
      <c r="AC2295" s="12" t="s">
        <v>8005</v>
      </c>
      <c r="AD2295" s="12"/>
      <c r="AE2295" s="12"/>
      <c r="AF2295" s="17"/>
      <c r="AG2295" s="17"/>
    </row>
    <row r="2296" customFormat="false" ht="15.75" hidden="false" customHeight="false" outlineLevel="0" collapsed="false">
      <c r="A2296" s="12" t="s">
        <v>193</v>
      </c>
      <c r="B2296" s="13" t="s">
        <v>1376</v>
      </c>
      <c r="C2296" s="17" t="s">
        <v>8006</v>
      </c>
      <c r="D2296" s="17"/>
      <c r="E2296" s="17"/>
      <c r="F2296" s="17"/>
      <c r="G2296" s="17"/>
      <c r="H2296" s="17"/>
      <c r="I2296" s="17" t="s">
        <v>230</v>
      </c>
      <c r="J2296" s="17"/>
      <c r="K2296" s="17"/>
      <c r="L2296" s="38"/>
      <c r="M2296" s="17"/>
      <c r="N2296" s="17"/>
      <c r="O2296" s="17"/>
      <c r="P2296" s="17" t="s">
        <v>7937</v>
      </c>
      <c r="Q2296" s="12"/>
      <c r="R2296" s="12"/>
      <c r="S2296" s="12"/>
      <c r="T2296" s="12"/>
      <c r="U2296" s="12"/>
      <c r="V2296" s="12"/>
      <c r="W2296" s="17"/>
      <c r="X2296" s="17"/>
      <c r="Y2296" s="17"/>
      <c r="Z2296" s="12"/>
      <c r="AA2296" s="12" t="n">
        <v>1</v>
      </c>
      <c r="AB2296" s="12" t="s">
        <v>8007</v>
      </c>
      <c r="AC2296" s="12" t="s">
        <v>8008</v>
      </c>
      <c r="AD2296" s="12"/>
      <c r="AE2296" s="12"/>
      <c r="AF2296" s="17"/>
      <c r="AG2296" s="17"/>
    </row>
    <row r="2297" customFormat="false" ht="26.3" hidden="false" customHeight="false" outlineLevel="0" collapsed="false">
      <c r="A2297" s="12" t="s">
        <v>31</v>
      </c>
      <c r="B2297" s="13" t="s">
        <v>1376</v>
      </c>
      <c r="C2297" s="47" t="s">
        <v>6722</v>
      </c>
      <c r="D2297" s="17" t="s">
        <v>94</v>
      </c>
      <c r="E2297" s="69" t="s">
        <v>8009</v>
      </c>
      <c r="F2297" s="17" t="s">
        <v>8010</v>
      </c>
      <c r="G2297" s="17" t="s">
        <v>7987</v>
      </c>
      <c r="H2297" s="126" t="s">
        <v>7988</v>
      </c>
      <c r="I2297" s="47" t="s">
        <v>561</v>
      </c>
      <c r="J2297" s="47" t="s">
        <v>2035</v>
      </c>
      <c r="K2297" s="17" t="n">
        <v>2009</v>
      </c>
      <c r="L2297" s="38" t="s">
        <v>109</v>
      </c>
      <c r="M2297" s="34" t="s">
        <v>140</v>
      </c>
      <c r="N2297" s="17" t="s">
        <v>8011</v>
      </c>
      <c r="O2297" s="47" t="s">
        <v>149</v>
      </c>
      <c r="P2297" s="47" t="s">
        <v>7937</v>
      </c>
      <c r="Q2297" s="12"/>
      <c r="R2297" s="12"/>
      <c r="S2297" s="12"/>
      <c r="T2297" s="12"/>
      <c r="U2297" s="12"/>
      <c r="V2297" s="12"/>
      <c r="Z2297" s="12"/>
      <c r="AA2297" s="12" t="n">
        <v>5</v>
      </c>
      <c r="AB2297" s="12" t="s">
        <v>8012</v>
      </c>
      <c r="AC2297" s="59" t="s">
        <v>7991</v>
      </c>
      <c r="AD2297" s="12"/>
      <c r="AE2297" s="12"/>
    </row>
    <row r="2298" customFormat="false" ht="26.3" hidden="false" customHeight="false" outlineLevel="0" collapsed="false">
      <c r="A2298" s="12" t="s">
        <v>193</v>
      </c>
      <c r="B2298" s="13" t="s">
        <v>1376</v>
      </c>
      <c r="C2298" s="47" t="s">
        <v>8013</v>
      </c>
      <c r="I2298" s="47" t="s">
        <v>610</v>
      </c>
      <c r="J2298" s="47"/>
      <c r="L2298" s="38"/>
      <c r="N2298" s="47"/>
      <c r="P2298" s="47" t="s">
        <v>7937</v>
      </c>
      <c r="Q2298" s="12"/>
      <c r="R2298" s="12"/>
      <c r="S2298" s="12"/>
      <c r="T2298" s="12"/>
      <c r="U2298" s="12"/>
      <c r="V2298" s="12"/>
      <c r="Z2298" s="12"/>
      <c r="AA2298" s="12" t="n">
        <v>1</v>
      </c>
      <c r="AB2298" s="12" t="s">
        <v>8014</v>
      </c>
      <c r="AC2298" s="12" t="s">
        <v>8015</v>
      </c>
      <c r="AD2298" s="12"/>
      <c r="AE2298" s="12"/>
    </row>
    <row r="2299" customFormat="false" ht="38.8" hidden="false" customHeight="false" outlineLevel="0" collapsed="false">
      <c r="A2299" s="12" t="s">
        <v>31</v>
      </c>
      <c r="B2299" s="13" t="s">
        <v>1376</v>
      </c>
      <c r="C2299" s="47" t="s">
        <v>8016</v>
      </c>
      <c r="D2299" s="24" t="s">
        <v>51</v>
      </c>
      <c r="E2299" s="69" t="s">
        <v>8017</v>
      </c>
      <c r="F2299" s="17" t="s">
        <v>8018</v>
      </c>
      <c r="G2299" s="17" t="s">
        <v>8019</v>
      </c>
      <c r="I2299" s="47" t="s">
        <v>230</v>
      </c>
      <c r="J2299" s="47" t="s">
        <v>8020</v>
      </c>
      <c r="L2299" s="38"/>
      <c r="M2299" s="47" t="s">
        <v>147</v>
      </c>
      <c r="N2299" s="17" t="s">
        <v>8021</v>
      </c>
      <c r="O2299" s="65" t="s">
        <v>675</v>
      </c>
      <c r="P2299" s="47" t="s">
        <v>7937</v>
      </c>
      <c r="Q2299" s="12"/>
      <c r="R2299" s="12"/>
      <c r="S2299" s="12"/>
      <c r="T2299" s="12"/>
      <c r="U2299" s="12"/>
      <c r="V2299" s="12"/>
      <c r="Z2299" s="12"/>
      <c r="AA2299" s="12" t="n">
        <v>5</v>
      </c>
      <c r="AB2299" s="12" t="s">
        <v>8022</v>
      </c>
      <c r="AC2299" s="12"/>
      <c r="AD2299" s="12"/>
      <c r="AE2299" s="12"/>
    </row>
    <row r="2300" customFormat="false" ht="26.3" hidden="false" customHeight="false" outlineLevel="0" collapsed="false">
      <c r="A2300" s="12" t="s">
        <v>193</v>
      </c>
      <c r="B2300" s="13" t="s">
        <v>1376</v>
      </c>
      <c r="C2300" s="47" t="s">
        <v>8023</v>
      </c>
      <c r="I2300" s="47" t="s">
        <v>610</v>
      </c>
      <c r="J2300" s="47"/>
      <c r="L2300" s="38"/>
      <c r="N2300" s="47"/>
      <c r="P2300" s="47" t="s">
        <v>7937</v>
      </c>
      <c r="Q2300" s="12"/>
      <c r="R2300" s="12"/>
      <c r="S2300" s="12"/>
      <c r="T2300" s="12"/>
      <c r="U2300" s="12"/>
      <c r="V2300" s="12"/>
      <c r="Z2300" s="12"/>
      <c r="AA2300" s="12"/>
      <c r="AB2300" s="12" t="s">
        <v>8024</v>
      </c>
      <c r="AC2300" s="12"/>
      <c r="AD2300" s="12"/>
      <c r="AE2300" s="12"/>
    </row>
    <row r="2301" customFormat="false" ht="15.75" hidden="false" customHeight="false" outlineLevel="0" collapsed="false">
      <c r="A2301" s="12" t="s">
        <v>31</v>
      </c>
      <c r="B2301" s="13" t="s">
        <v>1376</v>
      </c>
      <c r="C2301" s="47" t="s">
        <v>8025</v>
      </c>
      <c r="D2301" s="17" t="s">
        <v>94</v>
      </c>
      <c r="E2301" s="69" t="s">
        <v>8026</v>
      </c>
      <c r="F2301" s="17" t="s">
        <v>8027</v>
      </c>
      <c r="G2301" s="17" t="s">
        <v>2127</v>
      </c>
      <c r="I2301" s="47" t="s">
        <v>905</v>
      </c>
      <c r="J2301" s="47" t="s">
        <v>2556</v>
      </c>
      <c r="K2301" s="17" t="n">
        <v>1867</v>
      </c>
      <c r="L2301" s="38"/>
      <c r="M2301" s="17" t="s">
        <v>74</v>
      </c>
      <c r="N2301" s="47" t="s">
        <v>8028</v>
      </c>
      <c r="O2301" s="65" t="s">
        <v>675</v>
      </c>
      <c r="P2301" s="47" t="s">
        <v>7937</v>
      </c>
      <c r="Q2301" s="12"/>
      <c r="R2301" s="12"/>
      <c r="S2301" s="12"/>
      <c r="T2301" s="12"/>
      <c r="U2301" s="12"/>
      <c r="V2301" s="12"/>
      <c r="Z2301" s="12"/>
      <c r="AA2301" s="12" t="n">
        <v>5</v>
      </c>
      <c r="AB2301" s="12" t="s">
        <v>8029</v>
      </c>
      <c r="AC2301" s="12"/>
      <c r="AD2301" s="12"/>
      <c r="AE2301" s="12"/>
    </row>
    <row r="2302" customFormat="false" ht="51.3" hidden="false" customHeight="false" outlineLevel="0" collapsed="false">
      <c r="A2302" s="12" t="s">
        <v>31</v>
      </c>
      <c r="B2302" s="13" t="s">
        <v>1376</v>
      </c>
      <c r="C2302" s="47" t="s">
        <v>8030</v>
      </c>
      <c r="D2302" s="17" t="s">
        <v>94</v>
      </c>
      <c r="E2302" s="69" t="s">
        <v>8031</v>
      </c>
      <c r="F2302" s="17" t="s">
        <v>8032</v>
      </c>
      <c r="G2302" s="39" t="s">
        <v>8033</v>
      </c>
      <c r="I2302" s="47" t="s">
        <v>166</v>
      </c>
      <c r="J2302" s="47" t="s">
        <v>8034</v>
      </c>
      <c r="K2302" s="47" t="n">
        <v>2006</v>
      </c>
      <c r="L2302" s="38"/>
      <c r="M2302" s="47" t="s">
        <v>74</v>
      </c>
      <c r="N2302" s="17" t="s">
        <v>8035</v>
      </c>
      <c r="O2302" s="17" t="s">
        <v>7928</v>
      </c>
      <c r="P2302" s="47" t="s">
        <v>7937</v>
      </c>
      <c r="Q2302" s="12"/>
      <c r="R2302" s="12"/>
      <c r="S2302" s="12"/>
      <c r="T2302" s="12"/>
      <c r="U2302" s="12"/>
      <c r="V2302" s="12"/>
      <c r="Z2302" s="12"/>
      <c r="AA2302" s="12" t="n">
        <v>5</v>
      </c>
      <c r="AB2302" s="12" t="s">
        <v>8036</v>
      </c>
      <c r="AC2302" s="12" t="s">
        <v>8037</v>
      </c>
      <c r="AD2302" s="12"/>
      <c r="AE2302" s="12"/>
    </row>
    <row r="2303" customFormat="false" ht="51.3" hidden="false" customHeight="false" outlineLevel="0" collapsed="false">
      <c r="A2303" s="12" t="s">
        <v>193</v>
      </c>
      <c r="B2303" s="13" t="s">
        <v>1376</v>
      </c>
      <c r="C2303" s="47" t="s">
        <v>8038</v>
      </c>
      <c r="D2303" s="17" t="s">
        <v>94</v>
      </c>
      <c r="G2303" s="47" t="s">
        <v>8039</v>
      </c>
      <c r="I2303" s="47" t="s">
        <v>230</v>
      </c>
      <c r="J2303" s="47" t="s">
        <v>8034</v>
      </c>
      <c r="L2303" s="38"/>
      <c r="M2303" s="47" t="s">
        <v>74</v>
      </c>
      <c r="N2303" s="17" t="s">
        <v>8040</v>
      </c>
      <c r="O2303" s="17" t="s">
        <v>7928</v>
      </c>
      <c r="P2303" s="47" t="s">
        <v>7937</v>
      </c>
      <c r="Q2303" s="12"/>
      <c r="R2303" s="12"/>
      <c r="S2303" s="12"/>
      <c r="T2303" s="12"/>
      <c r="U2303" s="12"/>
      <c r="V2303" s="12"/>
      <c r="Z2303" s="12"/>
      <c r="AA2303" s="12" t="n">
        <v>5</v>
      </c>
      <c r="AB2303" s="12" t="s">
        <v>8041</v>
      </c>
      <c r="AC2303" s="59" t="s">
        <v>8042</v>
      </c>
      <c r="AD2303" s="12"/>
      <c r="AE2303" s="12"/>
    </row>
    <row r="2304" customFormat="false" ht="51.3" hidden="false" customHeight="false" outlineLevel="0" collapsed="false">
      <c r="A2304" s="12" t="s">
        <v>193</v>
      </c>
      <c r="B2304" s="13" t="s">
        <v>1376</v>
      </c>
      <c r="C2304" s="47" t="s">
        <v>8043</v>
      </c>
      <c r="D2304" s="17" t="s">
        <v>94</v>
      </c>
      <c r="I2304" s="47" t="s">
        <v>230</v>
      </c>
      <c r="J2304" s="47" t="s">
        <v>8034</v>
      </c>
      <c r="L2304" s="38"/>
      <c r="N2304" s="17" t="s">
        <v>8044</v>
      </c>
      <c r="O2304" s="47" t="s">
        <v>149</v>
      </c>
      <c r="P2304" s="47" t="s">
        <v>7937</v>
      </c>
      <c r="Q2304" s="12"/>
      <c r="R2304" s="12"/>
      <c r="S2304" s="12"/>
      <c r="T2304" s="12"/>
      <c r="U2304" s="12"/>
      <c r="V2304" s="12"/>
      <c r="Z2304" s="12"/>
      <c r="AA2304" s="12" t="n">
        <v>5</v>
      </c>
      <c r="AB2304" s="12" t="s">
        <v>8045</v>
      </c>
      <c r="AC2304" s="59" t="s">
        <v>8046</v>
      </c>
      <c r="AD2304" s="12"/>
      <c r="AE2304" s="12"/>
    </row>
    <row r="2305" customFormat="false" ht="15.75" hidden="false" customHeight="false" outlineLevel="0" collapsed="false">
      <c r="A2305" s="12" t="s">
        <v>31</v>
      </c>
      <c r="B2305" s="13" t="s">
        <v>32</v>
      </c>
      <c r="C2305" s="47" t="s">
        <v>8047</v>
      </c>
      <c r="D2305" s="47" t="s">
        <v>51</v>
      </c>
      <c r="E2305" s="69" t="s">
        <v>8048</v>
      </c>
      <c r="F2305" s="47" t="s">
        <v>8049</v>
      </c>
      <c r="G2305" s="47" t="s">
        <v>2544</v>
      </c>
      <c r="H2305" s="47" t="s">
        <v>423</v>
      </c>
      <c r="I2305" s="47" t="s">
        <v>36</v>
      </c>
      <c r="J2305" s="47" t="s">
        <v>2283</v>
      </c>
      <c r="L2305" s="38"/>
      <c r="M2305" s="47" t="s">
        <v>58</v>
      </c>
      <c r="Q2305" s="12"/>
      <c r="R2305" s="12"/>
      <c r="S2305" s="12"/>
      <c r="T2305" s="12"/>
      <c r="U2305" s="12"/>
      <c r="V2305" s="12"/>
      <c r="Z2305" s="12"/>
      <c r="AA2305" s="12" t="n">
        <v>5</v>
      </c>
      <c r="AB2305" s="12"/>
      <c r="AC2305" s="12"/>
      <c r="AD2305" s="12"/>
      <c r="AE2305" s="12"/>
    </row>
    <row r="2306" customFormat="false" ht="15.75" hidden="false" customHeight="false" outlineLevel="0" collapsed="false">
      <c r="A2306" s="12" t="s">
        <v>31</v>
      </c>
      <c r="B2306" s="13" t="s">
        <v>32</v>
      </c>
      <c r="C2306" s="47" t="s">
        <v>8050</v>
      </c>
      <c r="D2306" s="47" t="s">
        <v>94</v>
      </c>
      <c r="E2306" s="69" t="s">
        <v>8051</v>
      </c>
      <c r="I2306" s="47" t="s">
        <v>36</v>
      </c>
      <c r="J2306" s="47" t="s">
        <v>2283</v>
      </c>
      <c r="L2306" s="38"/>
      <c r="M2306" s="47" t="s">
        <v>58</v>
      </c>
      <c r="Q2306" s="12"/>
      <c r="R2306" s="12"/>
      <c r="S2306" s="12"/>
      <c r="T2306" s="12"/>
      <c r="U2306" s="12"/>
      <c r="V2306" s="12"/>
      <c r="Z2306" s="12"/>
      <c r="AA2306" s="12" t="n">
        <v>5</v>
      </c>
      <c r="AB2306" s="12"/>
      <c r="AC2306" s="12"/>
      <c r="AD2306" s="12"/>
      <c r="AE2306" s="12"/>
    </row>
    <row r="2307" customFormat="false" ht="15.75" hidden="false" customHeight="false" outlineLevel="0" collapsed="false">
      <c r="A2307" s="12" t="s">
        <v>31</v>
      </c>
      <c r="B2307" s="13" t="s">
        <v>32</v>
      </c>
      <c r="C2307" s="47" t="s">
        <v>8052</v>
      </c>
      <c r="D2307" s="47" t="s">
        <v>94</v>
      </c>
      <c r="E2307" s="69" t="s">
        <v>8053</v>
      </c>
      <c r="I2307" s="47" t="s">
        <v>166</v>
      </c>
      <c r="J2307" s="47" t="s">
        <v>2283</v>
      </c>
      <c r="L2307" s="38"/>
      <c r="M2307" s="47" t="s">
        <v>58</v>
      </c>
      <c r="Q2307" s="12"/>
      <c r="R2307" s="12"/>
      <c r="S2307" s="12"/>
      <c r="T2307" s="12"/>
      <c r="U2307" s="12"/>
      <c r="V2307" s="12"/>
      <c r="Z2307" s="12"/>
      <c r="AA2307" s="12" t="n">
        <v>5</v>
      </c>
      <c r="AB2307" s="12"/>
      <c r="AC2307" s="12"/>
      <c r="AD2307" s="12"/>
      <c r="AE2307" s="12"/>
    </row>
    <row r="2308" customFormat="false" ht="15.75" hidden="false" customHeight="false" outlineLevel="0" collapsed="false">
      <c r="A2308" s="12" t="s">
        <v>31</v>
      </c>
      <c r="B2308" s="13" t="s">
        <v>32</v>
      </c>
      <c r="C2308" s="47" t="s">
        <v>8054</v>
      </c>
      <c r="D2308" s="47" t="s">
        <v>94</v>
      </c>
      <c r="E2308" s="69" t="s">
        <v>8055</v>
      </c>
      <c r="I2308" s="47" t="s">
        <v>886</v>
      </c>
      <c r="J2308" s="47" t="s">
        <v>2283</v>
      </c>
      <c r="L2308" s="38"/>
      <c r="M2308" s="47" t="s">
        <v>58</v>
      </c>
      <c r="Q2308" s="12"/>
      <c r="R2308" s="12"/>
      <c r="S2308" s="12"/>
      <c r="T2308" s="12"/>
      <c r="U2308" s="12"/>
      <c r="V2308" s="12"/>
      <c r="Z2308" s="12"/>
      <c r="AA2308" s="12" t="n">
        <v>5</v>
      </c>
      <c r="AB2308" s="12"/>
      <c r="AC2308" s="12"/>
      <c r="AD2308" s="12"/>
      <c r="AE2308" s="12"/>
    </row>
    <row r="2309" customFormat="false" ht="15.75" hidden="false" customHeight="false" outlineLevel="0" collapsed="false">
      <c r="A2309" s="12" t="s">
        <v>31</v>
      </c>
      <c r="B2309" s="13" t="s">
        <v>32</v>
      </c>
      <c r="C2309" s="47" t="s">
        <v>8056</v>
      </c>
      <c r="E2309" s="69" t="s">
        <v>8057</v>
      </c>
      <c r="I2309" s="47" t="s">
        <v>88</v>
      </c>
      <c r="J2309" s="47" t="s">
        <v>2283</v>
      </c>
      <c r="L2309" s="38"/>
      <c r="M2309" s="47" t="s">
        <v>58</v>
      </c>
      <c r="Q2309" s="12"/>
      <c r="R2309" s="12"/>
      <c r="S2309" s="12"/>
      <c r="T2309" s="12"/>
      <c r="U2309" s="12"/>
      <c r="V2309" s="12"/>
      <c r="Z2309" s="12"/>
      <c r="AA2309" s="12" t="n">
        <v>5</v>
      </c>
      <c r="AB2309" s="12"/>
      <c r="AC2309" s="12"/>
      <c r="AD2309" s="12"/>
      <c r="AE2309" s="12"/>
    </row>
    <row r="2310" customFormat="false" ht="15.75" hidden="false" customHeight="false" outlineLevel="0" collapsed="false">
      <c r="A2310" s="12" t="s">
        <v>31</v>
      </c>
      <c r="B2310" s="13" t="s">
        <v>32</v>
      </c>
      <c r="C2310" s="47" t="s">
        <v>8058</v>
      </c>
      <c r="E2310" s="69" t="s">
        <v>8059</v>
      </c>
      <c r="I2310" s="47" t="s">
        <v>557</v>
      </c>
      <c r="J2310" s="47" t="s">
        <v>2283</v>
      </c>
      <c r="L2310" s="38" t="s">
        <v>109</v>
      </c>
      <c r="M2310" s="47" t="s">
        <v>58</v>
      </c>
      <c r="Q2310" s="12"/>
      <c r="R2310" s="12"/>
      <c r="S2310" s="12"/>
      <c r="T2310" s="12"/>
      <c r="U2310" s="12"/>
      <c r="V2310" s="12"/>
      <c r="Z2310" s="12"/>
      <c r="AA2310" s="12" t="n">
        <v>5</v>
      </c>
      <c r="AB2310" s="12"/>
      <c r="AC2310" s="12"/>
      <c r="AD2310" s="12"/>
      <c r="AE2310" s="12"/>
    </row>
    <row r="2311" customFormat="false" ht="15.75" hidden="false" customHeight="false" outlineLevel="0" collapsed="false">
      <c r="A2311" s="12" t="s">
        <v>31</v>
      </c>
      <c r="B2311" s="13" t="s">
        <v>32</v>
      </c>
      <c r="C2311" s="47" t="s">
        <v>8060</v>
      </c>
      <c r="E2311" s="69" t="s">
        <v>8061</v>
      </c>
      <c r="I2311" s="47" t="s">
        <v>557</v>
      </c>
      <c r="J2311" s="47" t="s">
        <v>2283</v>
      </c>
      <c r="L2311" s="38"/>
      <c r="M2311" s="47" t="s">
        <v>58</v>
      </c>
      <c r="Q2311" s="12"/>
      <c r="R2311" s="12"/>
      <c r="S2311" s="12"/>
      <c r="T2311" s="12"/>
      <c r="U2311" s="12"/>
      <c r="V2311" s="12"/>
      <c r="Z2311" s="12"/>
      <c r="AA2311" s="12" t="n">
        <v>5</v>
      </c>
      <c r="AB2311" s="12"/>
      <c r="AC2311" s="12"/>
      <c r="AD2311" s="12"/>
      <c r="AE2311" s="12"/>
    </row>
    <row r="2312" customFormat="false" ht="15.75" hidden="false" customHeight="false" outlineLevel="0" collapsed="false">
      <c r="A2312" s="12" t="s">
        <v>31</v>
      </c>
      <c r="B2312" s="13" t="s">
        <v>32</v>
      </c>
      <c r="C2312" s="47" t="s">
        <v>8062</v>
      </c>
      <c r="E2312" s="69" t="s">
        <v>8063</v>
      </c>
      <c r="I2312" s="47" t="s">
        <v>1564</v>
      </c>
      <c r="J2312" s="47" t="s">
        <v>2283</v>
      </c>
      <c r="L2312" s="38"/>
      <c r="M2312" s="47" t="s">
        <v>58</v>
      </c>
      <c r="Q2312" s="12"/>
      <c r="R2312" s="12"/>
      <c r="S2312" s="12"/>
      <c r="T2312" s="12"/>
      <c r="U2312" s="12"/>
      <c r="V2312" s="12"/>
      <c r="Z2312" s="12"/>
      <c r="AA2312" s="12" t="n">
        <v>5</v>
      </c>
      <c r="AB2312" s="12"/>
      <c r="AC2312" s="12"/>
      <c r="AD2312" s="12"/>
      <c r="AE2312" s="12"/>
    </row>
    <row r="2313" customFormat="false" ht="15.75" hidden="false" customHeight="false" outlineLevel="0" collapsed="false">
      <c r="A2313" s="12" t="s">
        <v>31</v>
      </c>
      <c r="B2313" s="13" t="s">
        <v>32</v>
      </c>
      <c r="C2313" s="47" t="s">
        <v>8064</v>
      </c>
      <c r="E2313" s="69" t="s">
        <v>8065</v>
      </c>
      <c r="I2313" s="47" t="s">
        <v>1773</v>
      </c>
      <c r="J2313" s="47" t="s">
        <v>2283</v>
      </c>
      <c r="L2313" s="38"/>
      <c r="M2313" s="47" t="s">
        <v>58</v>
      </c>
      <c r="Q2313" s="12"/>
      <c r="R2313" s="12"/>
      <c r="S2313" s="12"/>
      <c r="T2313" s="12"/>
      <c r="U2313" s="12"/>
      <c r="V2313" s="12"/>
      <c r="Z2313" s="12"/>
      <c r="AA2313" s="12" t="n">
        <v>5</v>
      </c>
      <c r="AB2313" s="12"/>
      <c r="AC2313" s="12"/>
      <c r="AD2313" s="12"/>
      <c r="AE2313" s="12"/>
    </row>
    <row r="2314" customFormat="false" ht="15.75" hidden="false" customHeight="false" outlineLevel="0" collapsed="false">
      <c r="A2314" s="12" t="s">
        <v>31</v>
      </c>
      <c r="B2314" s="13" t="s">
        <v>32</v>
      </c>
      <c r="C2314" s="47" t="s">
        <v>8066</v>
      </c>
      <c r="E2314" s="69" t="s">
        <v>8067</v>
      </c>
      <c r="I2314" s="47" t="s">
        <v>266</v>
      </c>
      <c r="J2314" s="47" t="s">
        <v>2283</v>
      </c>
      <c r="L2314" s="38"/>
      <c r="M2314" s="47" t="s">
        <v>58</v>
      </c>
      <c r="Q2314" s="12"/>
      <c r="R2314" s="12"/>
      <c r="S2314" s="12"/>
      <c r="T2314" s="12"/>
      <c r="U2314" s="12"/>
      <c r="V2314" s="12"/>
      <c r="Z2314" s="12"/>
      <c r="AA2314" s="12" t="n">
        <v>5</v>
      </c>
      <c r="AB2314" s="12"/>
      <c r="AC2314" s="12"/>
      <c r="AD2314" s="12"/>
      <c r="AE2314" s="12"/>
    </row>
    <row r="2315" customFormat="false" ht="15.75" hidden="false" customHeight="false" outlineLevel="0" collapsed="false">
      <c r="A2315" s="12" t="s">
        <v>31</v>
      </c>
      <c r="B2315" s="13" t="s">
        <v>528</v>
      </c>
      <c r="C2315" s="16" t="s">
        <v>8068</v>
      </c>
      <c r="D2315" s="24" t="s">
        <v>195</v>
      </c>
      <c r="E2315" s="25" t="s">
        <v>8069</v>
      </c>
      <c r="F2315" s="17"/>
      <c r="G2315" s="17"/>
      <c r="H2315" s="17"/>
      <c r="I2315" s="17" t="s">
        <v>36</v>
      </c>
      <c r="J2315" s="32"/>
      <c r="K2315" s="17"/>
      <c r="L2315" s="38"/>
      <c r="M2315" s="17"/>
      <c r="N2315" s="17"/>
      <c r="O2315" s="17"/>
      <c r="P2315" s="12" t="s">
        <v>150</v>
      </c>
      <c r="Q2315" s="12"/>
      <c r="R2315" s="12"/>
      <c r="S2315" s="12"/>
      <c r="T2315" s="12"/>
      <c r="U2315" s="12"/>
      <c r="V2315" s="12"/>
      <c r="Z2315" s="12"/>
      <c r="AA2315" s="12"/>
      <c r="AB2315" s="12" t="s">
        <v>8070</v>
      </c>
      <c r="AC2315" s="12"/>
      <c r="AD2315" s="12"/>
      <c r="AE2315" s="12"/>
    </row>
    <row r="2316" customFormat="false" ht="15.75" hidden="false" customHeight="false" outlineLevel="0" collapsed="false">
      <c r="A2316" s="12" t="s">
        <v>31</v>
      </c>
      <c r="B2316" s="13" t="s">
        <v>528</v>
      </c>
      <c r="C2316" s="16" t="s">
        <v>8071</v>
      </c>
      <c r="D2316" s="24" t="s">
        <v>94</v>
      </c>
      <c r="E2316" s="44" t="s">
        <v>8072</v>
      </c>
      <c r="F2316" s="32" t="s">
        <v>8073</v>
      </c>
      <c r="G2316" s="17"/>
      <c r="H2316" s="17"/>
      <c r="I2316" s="17" t="s">
        <v>36</v>
      </c>
      <c r="J2316" s="32"/>
      <c r="K2316" s="17"/>
      <c r="L2316" s="38"/>
      <c r="M2316" s="17"/>
      <c r="N2316" s="17"/>
      <c r="O2316" s="17"/>
      <c r="P2316" s="12" t="s">
        <v>150</v>
      </c>
      <c r="Q2316" s="12"/>
      <c r="R2316" s="12"/>
      <c r="S2316" s="12"/>
      <c r="T2316" s="12"/>
      <c r="U2316" s="12"/>
      <c r="V2316" s="12"/>
      <c r="Z2316" s="12"/>
      <c r="AA2316" s="12"/>
      <c r="AB2316" s="12"/>
      <c r="AC2316" s="12"/>
      <c r="AD2316" s="12"/>
      <c r="AE2316" s="12"/>
    </row>
    <row r="2317" customFormat="false" ht="15.75" hidden="false" customHeight="false" outlineLevel="0" collapsed="false">
      <c r="A2317" s="12" t="s">
        <v>31</v>
      </c>
      <c r="B2317" s="13"/>
      <c r="C2317" s="16" t="s">
        <v>8074</v>
      </c>
      <c r="D2317" s="24"/>
      <c r="E2317" s="17"/>
      <c r="F2317" s="17"/>
      <c r="G2317" s="17"/>
      <c r="H2317" s="17"/>
      <c r="I2317" s="17" t="s">
        <v>36</v>
      </c>
      <c r="J2317" s="32"/>
      <c r="K2317" s="17"/>
      <c r="L2317" s="38"/>
      <c r="M2317" s="17"/>
      <c r="N2317" s="17"/>
      <c r="O2317" s="17"/>
      <c r="P2317" s="12" t="s">
        <v>150</v>
      </c>
      <c r="Q2317" s="12"/>
      <c r="R2317" s="12"/>
      <c r="S2317" s="12"/>
      <c r="T2317" s="12"/>
      <c r="U2317" s="12"/>
      <c r="V2317" s="12"/>
      <c r="Z2317" s="12"/>
      <c r="AA2317" s="12"/>
      <c r="AB2317" s="12"/>
      <c r="AC2317" s="12"/>
      <c r="AD2317" s="12"/>
      <c r="AE2317" s="12"/>
    </row>
    <row r="2318" customFormat="false" ht="15.75" hidden="false" customHeight="false" outlineLevel="0" collapsed="false">
      <c r="A2318" s="12"/>
      <c r="B2318" s="13"/>
      <c r="C2318" s="16" t="s">
        <v>8075</v>
      </c>
      <c r="D2318" s="24"/>
      <c r="E2318" s="17"/>
      <c r="F2318" s="17"/>
      <c r="G2318" s="17"/>
      <c r="H2318" s="17"/>
      <c r="I2318" s="17" t="s">
        <v>36</v>
      </c>
      <c r="J2318" s="32"/>
      <c r="K2318" s="17"/>
      <c r="L2318" s="38"/>
      <c r="M2318" s="17"/>
      <c r="N2318" s="17"/>
      <c r="O2318" s="17"/>
      <c r="P2318" s="12" t="s">
        <v>150</v>
      </c>
      <c r="Q2318" s="12"/>
      <c r="R2318" s="12"/>
      <c r="S2318" s="12"/>
      <c r="T2318" s="12"/>
      <c r="U2318" s="12"/>
      <c r="V2318" s="12"/>
      <c r="Z2318" s="12"/>
      <c r="AA2318" s="12"/>
      <c r="AB2318" s="12"/>
      <c r="AC2318" s="12"/>
      <c r="AD2318" s="12"/>
      <c r="AE2318" s="12"/>
    </row>
    <row r="2319" customFormat="false" ht="15.75" hidden="false" customHeight="false" outlineLevel="0" collapsed="false">
      <c r="A2319" s="12" t="s">
        <v>31</v>
      </c>
      <c r="B2319" s="13"/>
      <c r="C2319" s="16" t="s">
        <v>8076</v>
      </c>
      <c r="D2319" s="24"/>
      <c r="E2319" s="17"/>
      <c r="F2319" s="17"/>
      <c r="G2319" s="17"/>
      <c r="H2319" s="17"/>
      <c r="I2319" s="17" t="s">
        <v>36</v>
      </c>
      <c r="J2319" s="32"/>
      <c r="K2319" s="17"/>
      <c r="L2319" s="38"/>
      <c r="M2319" s="17"/>
      <c r="N2319" s="17"/>
      <c r="O2319" s="17"/>
      <c r="P2319" s="12" t="s">
        <v>150</v>
      </c>
      <c r="Q2319" s="12"/>
      <c r="R2319" s="12"/>
      <c r="S2319" s="12"/>
      <c r="T2319" s="12"/>
      <c r="U2319" s="12"/>
      <c r="V2319" s="12"/>
      <c r="Z2319" s="12"/>
      <c r="AA2319" s="12"/>
      <c r="AB2319" s="12"/>
      <c r="AC2319" s="12"/>
      <c r="AD2319" s="12"/>
      <c r="AE2319" s="12"/>
    </row>
    <row r="2320" customFormat="false" ht="15.75" hidden="false" customHeight="false" outlineLevel="0" collapsed="false">
      <c r="A2320" s="12"/>
      <c r="B2320" s="13"/>
      <c r="C2320" s="16" t="s">
        <v>8077</v>
      </c>
      <c r="D2320" s="24"/>
      <c r="E2320" s="17"/>
      <c r="F2320" s="17"/>
      <c r="G2320" s="17"/>
      <c r="H2320" s="17"/>
      <c r="I2320" s="17" t="s">
        <v>36</v>
      </c>
      <c r="J2320" s="32"/>
      <c r="K2320" s="17"/>
      <c r="L2320" s="38"/>
      <c r="M2320" s="17"/>
      <c r="N2320" s="17"/>
      <c r="O2320" s="17"/>
      <c r="P2320" s="12" t="s">
        <v>150</v>
      </c>
      <c r="Q2320" s="12"/>
      <c r="R2320" s="12"/>
      <c r="S2320" s="12"/>
      <c r="T2320" s="12"/>
      <c r="U2320" s="12"/>
      <c r="V2320" s="12"/>
      <c r="Z2320" s="12"/>
      <c r="AA2320" s="12"/>
      <c r="AB2320" s="12"/>
      <c r="AC2320" s="12"/>
      <c r="AD2320" s="12"/>
      <c r="AE2320" s="12"/>
    </row>
    <row r="2321" customFormat="false" ht="15.75" hidden="false" customHeight="false" outlineLevel="0" collapsed="false">
      <c r="A2321" s="12"/>
      <c r="B2321" s="13"/>
      <c r="C2321" s="16" t="s">
        <v>8078</v>
      </c>
      <c r="D2321" s="24"/>
      <c r="E2321" s="17"/>
      <c r="F2321" s="17"/>
      <c r="G2321" s="17"/>
      <c r="H2321" s="17"/>
      <c r="I2321" s="17" t="s">
        <v>36</v>
      </c>
      <c r="J2321" s="32"/>
      <c r="K2321" s="17"/>
      <c r="L2321" s="38"/>
      <c r="M2321" s="17"/>
      <c r="N2321" s="17"/>
      <c r="O2321" s="17"/>
      <c r="P2321" s="12" t="s">
        <v>150</v>
      </c>
      <c r="Q2321" s="12"/>
      <c r="R2321" s="12"/>
      <c r="S2321" s="12"/>
      <c r="T2321" s="12"/>
      <c r="U2321" s="12"/>
      <c r="V2321" s="12"/>
      <c r="Z2321" s="12"/>
      <c r="AA2321" s="12"/>
      <c r="AB2321" s="12"/>
      <c r="AC2321" s="12"/>
      <c r="AD2321" s="12"/>
      <c r="AE2321" s="12"/>
    </row>
    <row r="2322" customFormat="false" ht="15.75" hidden="false" customHeight="false" outlineLevel="0" collapsed="false">
      <c r="A2322" s="12" t="s">
        <v>31</v>
      </c>
      <c r="B2322" s="13"/>
      <c r="C2322" s="16" t="s">
        <v>8079</v>
      </c>
      <c r="D2322" s="24"/>
      <c r="E2322" s="17"/>
      <c r="F2322" s="17"/>
      <c r="G2322" s="17"/>
      <c r="H2322" s="17"/>
      <c r="I2322" s="17" t="s">
        <v>36</v>
      </c>
      <c r="J2322" s="32"/>
      <c r="K2322" s="17"/>
      <c r="L2322" s="38"/>
      <c r="M2322" s="17"/>
      <c r="N2322" s="17"/>
      <c r="O2322" s="17"/>
      <c r="P2322" s="12" t="s">
        <v>150</v>
      </c>
      <c r="Q2322" s="12"/>
      <c r="R2322" s="12"/>
      <c r="S2322" s="12"/>
      <c r="T2322" s="12"/>
      <c r="U2322" s="12"/>
      <c r="V2322" s="12"/>
      <c r="Z2322" s="12"/>
      <c r="AA2322" s="12"/>
      <c r="AB2322" s="12"/>
      <c r="AC2322" s="12"/>
      <c r="AD2322" s="12"/>
      <c r="AE2322" s="12"/>
    </row>
    <row r="2323" customFormat="false" ht="15.75" hidden="false" customHeight="false" outlineLevel="0" collapsed="false">
      <c r="A2323" s="12"/>
      <c r="B2323" s="13"/>
      <c r="C2323" s="16" t="s">
        <v>8080</v>
      </c>
      <c r="D2323" s="24"/>
      <c r="E2323" s="17"/>
      <c r="F2323" s="17"/>
      <c r="G2323" s="17"/>
      <c r="H2323" s="17"/>
      <c r="I2323" s="17" t="s">
        <v>36</v>
      </c>
      <c r="J2323" s="32"/>
      <c r="K2323" s="17"/>
      <c r="L2323" s="38"/>
      <c r="M2323" s="17"/>
      <c r="N2323" s="17"/>
      <c r="O2323" s="17"/>
      <c r="P2323" s="12" t="s">
        <v>150</v>
      </c>
      <c r="Q2323" s="12"/>
      <c r="R2323" s="12"/>
      <c r="S2323" s="12"/>
      <c r="T2323" s="12"/>
      <c r="U2323" s="12"/>
      <c r="V2323" s="12"/>
      <c r="Z2323" s="12"/>
      <c r="AA2323" s="12"/>
      <c r="AB2323" s="12"/>
      <c r="AC2323" s="12"/>
      <c r="AD2323" s="12"/>
      <c r="AE2323" s="12"/>
    </row>
    <row r="2324" customFormat="false" ht="15.75" hidden="false" customHeight="false" outlineLevel="0" collapsed="false">
      <c r="A2324" s="12" t="s">
        <v>31</v>
      </c>
      <c r="B2324" s="13"/>
      <c r="C2324" s="16" t="s">
        <v>8081</v>
      </c>
      <c r="D2324" s="24"/>
      <c r="E2324" s="17"/>
      <c r="F2324" s="17"/>
      <c r="G2324" s="17"/>
      <c r="H2324" s="17"/>
      <c r="I2324" s="17" t="s">
        <v>36</v>
      </c>
      <c r="J2324" s="32"/>
      <c r="K2324" s="17"/>
      <c r="L2324" s="38"/>
      <c r="M2324" s="17"/>
      <c r="N2324" s="17"/>
      <c r="O2324" s="17"/>
      <c r="P2324" s="12" t="s">
        <v>150</v>
      </c>
      <c r="Q2324" s="12"/>
      <c r="R2324" s="12"/>
      <c r="S2324" s="12"/>
      <c r="T2324" s="12"/>
      <c r="U2324" s="12"/>
      <c r="V2324" s="12"/>
      <c r="Z2324" s="12"/>
      <c r="AA2324" s="12"/>
      <c r="AB2324" s="12"/>
      <c r="AC2324" s="12"/>
      <c r="AD2324" s="12"/>
      <c r="AE2324" s="12"/>
    </row>
    <row r="2325" customFormat="false" ht="15.75" hidden="false" customHeight="false" outlineLevel="0" collapsed="false">
      <c r="A2325" s="12" t="s">
        <v>31</v>
      </c>
      <c r="B2325" s="13"/>
      <c r="C2325" s="16" t="s">
        <v>8082</v>
      </c>
      <c r="D2325" s="24"/>
      <c r="E2325" s="17"/>
      <c r="F2325" s="17"/>
      <c r="G2325" s="17"/>
      <c r="H2325" s="17"/>
      <c r="I2325" s="17" t="s">
        <v>36</v>
      </c>
      <c r="J2325" s="32"/>
      <c r="K2325" s="17"/>
      <c r="L2325" s="38"/>
      <c r="M2325" s="17"/>
      <c r="N2325" s="17"/>
      <c r="O2325" s="17"/>
      <c r="P2325" s="12" t="s">
        <v>150</v>
      </c>
      <c r="Q2325" s="12"/>
      <c r="R2325" s="12"/>
      <c r="S2325" s="12"/>
      <c r="T2325" s="12"/>
      <c r="U2325" s="12"/>
      <c r="V2325" s="12"/>
      <c r="Z2325" s="12"/>
      <c r="AA2325" s="12"/>
      <c r="AB2325" s="12"/>
      <c r="AC2325" s="12"/>
      <c r="AD2325" s="12"/>
      <c r="AE2325" s="12"/>
    </row>
    <row r="2326" customFormat="false" ht="15.75" hidden="false" customHeight="false" outlineLevel="0" collapsed="false">
      <c r="A2326" s="12"/>
      <c r="B2326" s="13"/>
      <c r="C2326" s="16" t="s">
        <v>8083</v>
      </c>
      <c r="D2326" s="24"/>
      <c r="E2326" s="17"/>
      <c r="F2326" s="17"/>
      <c r="G2326" s="17"/>
      <c r="H2326" s="17"/>
      <c r="I2326" s="17" t="s">
        <v>36</v>
      </c>
      <c r="J2326" s="32"/>
      <c r="K2326" s="17"/>
      <c r="L2326" s="38"/>
      <c r="M2326" s="17"/>
      <c r="N2326" s="17"/>
      <c r="O2326" s="17"/>
      <c r="P2326" s="12" t="s">
        <v>150</v>
      </c>
      <c r="Q2326" s="12"/>
      <c r="R2326" s="12"/>
      <c r="S2326" s="12"/>
      <c r="T2326" s="12"/>
      <c r="U2326" s="12"/>
      <c r="V2326" s="12"/>
      <c r="Z2326" s="12"/>
      <c r="AA2326" s="12"/>
      <c r="AB2326" s="12"/>
      <c r="AC2326" s="12"/>
      <c r="AD2326" s="12"/>
      <c r="AE2326" s="12"/>
    </row>
    <row r="2327" customFormat="false" ht="15.75" hidden="false" customHeight="false" outlineLevel="0" collapsed="false">
      <c r="A2327" s="12" t="s">
        <v>31</v>
      </c>
      <c r="B2327" s="13"/>
      <c r="C2327" s="16" t="s">
        <v>8084</v>
      </c>
      <c r="D2327" s="24"/>
      <c r="E2327" s="17"/>
      <c r="F2327" s="17"/>
      <c r="G2327" s="17"/>
      <c r="H2327" s="17"/>
      <c r="I2327" s="17" t="s">
        <v>36</v>
      </c>
      <c r="J2327" s="32"/>
      <c r="K2327" s="17"/>
      <c r="L2327" s="38"/>
      <c r="M2327" s="17"/>
      <c r="N2327" s="17"/>
      <c r="O2327" s="17"/>
      <c r="P2327" s="12" t="s">
        <v>150</v>
      </c>
      <c r="Q2327" s="12"/>
      <c r="R2327" s="12"/>
      <c r="S2327" s="12"/>
      <c r="T2327" s="12"/>
      <c r="U2327" s="12"/>
      <c r="V2327" s="12"/>
      <c r="Z2327" s="12"/>
      <c r="AA2327" s="12"/>
      <c r="AB2327" s="12"/>
      <c r="AC2327" s="12"/>
      <c r="AD2327" s="12"/>
      <c r="AE2327" s="12"/>
    </row>
    <row r="2328" customFormat="false" ht="15.75" hidden="false" customHeight="false" outlineLevel="0" collapsed="false">
      <c r="A2328" s="12" t="s">
        <v>31</v>
      </c>
      <c r="B2328" s="13"/>
      <c r="C2328" s="16" t="s">
        <v>8085</v>
      </c>
      <c r="D2328" s="24"/>
      <c r="E2328" s="17"/>
      <c r="F2328" s="17"/>
      <c r="G2328" s="17"/>
      <c r="H2328" s="17"/>
      <c r="I2328" s="17" t="s">
        <v>36</v>
      </c>
      <c r="J2328" s="32"/>
      <c r="K2328" s="17"/>
      <c r="L2328" s="38"/>
      <c r="M2328" s="17"/>
      <c r="N2328" s="17"/>
      <c r="O2328" s="17"/>
      <c r="P2328" s="12" t="s">
        <v>150</v>
      </c>
      <c r="Q2328" s="12"/>
      <c r="R2328" s="12"/>
      <c r="S2328" s="12"/>
      <c r="T2328" s="12"/>
      <c r="U2328" s="12"/>
      <c r="V2328" s="12"/>
      <c r="Z2328" s="12"/>
      <c r="AA2328" s="12"/>
      <c r="AB2328" s="12"/>
      <c r="AC2328" s="12"/>
      <c r="AD2328" s="12"/>
      <c r="AE2328" s="12"/>
    </row>
    <row r="2329" customFormat="false" ht="15.75" hidden="false" customHeight="false" outlineLevel="0" collapsed="false">
      <c r="A2329" s="12" t="s">
        <v>31</v>
      </c>
      <c r="B2329" s="13"/>
      <c r="C2329" s="16" t="s">
        <v>6722</v>
      </c>
      <c r="D2329" s="24"/>
      <c r="E2329" s="17"/>
      <c r="F2329" s="17"/>
      <c r="G2329" s="17"/>
      <c r="H2329" s="17"/>
      <c r="I2329" s="17" t="s">
        <v>36</v>
      </c>
      <c r="J2329" s="32"/>
      <c r="K2329" s="17"/>
      <c r="L2329" s="38"/>
      <c r="M2329" s="17"/>
      <c r="N2329" s="17"/>
      <c r="O2329" s="17"/>
      <c r="P2329" s="12" t="s">
        <v>150</v>
      </c>
      <c r="Q2329" s="12"/>
      <c r="R2329" s="12"/>
      <c r="S2329" s="12"/>
      <c r="T2329" s="12"/>
      <c r="U2329" s="12"/>
      <c r="V2329" s="12"/>
      <c r="Z2329" s="12"/>
      <c r="AA2329" s="12"/>
      <c r="AB2329" s="12"/>
      <c r="AC2329" s="12"/>
      <c r="AD2329" s="12"/>
      <c r="AE2329" s="12"/>
    </row>
    <row r="2330" customFormat="false" ht="15.75" hidden="false" customHeight="false" outlineLevel="0" collapsed="false">
      <c r="A2330" s="12"/>
      <c r="B2330" s="13"/>
      <c r="C2330" s="16" t="s">
        <v>8086</v>
      </c>
      <c r="D2330" s="24"/>
      <c r="E2330" s="17"/>
      <c r="F2330" s="17"/>
      <c r="G2330" s="17"/>
      <c r="H2330" s="17"/>
      <c r="I2330" s="17" t="s">
        <v>36</v>
      </c>
      <c r="J2330" s="32"/>
      <c r="K2330" s="17"/>
      <c r="L2330" s="38"/>
      <c r="M2330" s="17"/>
      <c r="N2330" s="17"/>
      <c r="O2330" s="17"/>
      <c r="P2330" s="12" t="s">
        <v>150</v>
      </c>
      <c r="Q2330" s="12"/>
      <c r="R2330" s="12"/>
      <c r="S2330" s="12"/>
      <c r="T2330" s="12"/>
      <c r="U2330" s="12"/>
      <c r="V2330" s="12"/>
      <c r="Z2330" s="12"/>
      <c r="AA2330" s="12"/>
      <c r="AB2330" s="12"/>
      <c r="AC2330" s="12"/>
      <c r="AD2330" s="12"/>
      <c r="AE2330" s="12"/>
    </row>
    <row r="2331" customFormat="false" ht="15.75" hidden="false" customHeight="false" outlineLevel="0" collapsed="false">
      <c r="A2331" s="12" t="s">
        <v>31</v>
      </c>
      <c r="B2331" s="13"/>
      <c r="C2331" s="16" t="s">
        <v>8087</v>
      </c>
      <c r="D2331" s="24"/>
      <c r="E2331" s="17"/>
      <c r="F2331" s="17"/>
      <c r="G2331" s="17"/>
      <c r="H2331" s="17"/>
      <c r="I2331" s="17" t="s">
        <v>36</v>
      </c>
      <c r="J2331" s="32"/>
      <c r="K2331" s="17"/>
      <c r="L2331" s="38"/>
      <c r="M2331" s="17"/>
      <c r="N2331" s="17"/>
      <c r="O2331" s="17"/>
      <c r="P2331" s="12" t="s">
        <v>150</v>
      </c>
      <c r="Q2331" s="12"/>
      <c r="R2331" s="12"/>
      <c r="S2331" s="12"/>
      <c r="T2331" s="12"/>
      <c r="U2331" s="12"/>
      <c r="V2331" s="12"/>
      <c r="Z2331" s="12"/>
      <c r="AA2331" s="12"/>
      <c r="AB2331" s="12"/>
      <c r="AC2331" s="12"/>
      <c r="AD2331" s="12"/>
      <c r="AE2331" s="12"/>
    </row>
    <row r="2332" customFormat="false" ht="15.75" hidden="false" customHeight="false" outlineLevel="0" collapsed="false">
      <c r="A2332" s="12" t="s">
        <v>31</v>
      </c>
      <c r="B2332" s="13"/>
      <c r="C2332" s="16" t="s">
        <v>8088</v>
      </c>
      <c r="D2332" s="24"/>
      <c r="E2332" s="17"/>
      <c r="F2332" s="17"/>
      <c r="G2332" s="17"/>
      <c r="H2332" s="17"/>
      <c r="I2332" s="17" t="s">
        <v>36</v>
      </c>
      <c r="J2332" s="32"/>
      <c r="K2332" s="17"/>
      <c r="L2332" s="38"/>
      <c r="M2332" s="17"/>
      <c r="N2332" s="17"/>
      <c r="O2332" s="17"/>
      <c r="P2332" s="12" t="s">
        <v>150</v>
      </c>
      <c r="Q2332" s="12"/>
      <c r="R2332" s="12"/>
      <c r="S2332" s="12"/>
      <c r="T2332" s="12"/>
      <c r="U2332" s="12"/>
      <c r="V2332" s="12"/>
      <c r="Z2332" s="12"/>
      <c r="AA2332" s="12"/>
      <c r="AB2332" s="12"/>
      <c r="AC2332" s="12"/>
      <c r="AD2332" s="12"/>
      <c r="AE2332" s="12"/>
    </row>
    <row r="2333" customFormat="false" ht="15.75" hidden="false" customHeight="false" outlineLevel="0" collapsed="false">
      <c r="A2333" s="12"/>
      <c r="B2333" s="13"/>
      <c r="C2333" s="16" t="s">
        <v>8089</v>
      </c>
      <c r="D2333" s="24"/>
      <c r="E2333" s="17"/>
      <c r="F2333" s="17"/>
      <c r="G2333" s="17"/>
      <c r="H2333" s="17"/>
      <c r="I2333" s="17" t="s">
        <v>36</v>
      </c>
      <c r="J2333" s="32"/>
      <c r="K2333" s="17"/>
      <c r="L2333" s="38"/>
      <c r="M2333" s="17"/>
      <c r="N2333" s="17"/>
      <c r="O2333" s="17"/>
      <c r="P2333" s="12" t="s">
        <v>150</v>
      </c>
      <c r="Q2333" s="12"/>
      <c r="R2333" s="12"/>
      <c r="S2333" s="12"/>
      <c r="T2333" s="12"/>
      <c r="U2333" s="12"/>
      <c r="V2333" s="12"/>
      <c r="Z2333" s="12"/>
      <c r="AA2333" s="12"/>
      <c r="AB2333" s="12"/>
      <c r="AC2333" s="12"/>
      <c r="AD2333" s="12"/>
      <c r="AE2333" s="12"/>
    </row>
    <row r="2334" customFormat="false" ht="15.75" hidden="false" customHeight="false" outlineLevel="0" collapsed="false">
      <c r="A2334" s="12" t="s">
        <v>31</v>
      </c>
      <c r="B2334" s="13"/>
      <c r="C2334" s="16" t="s">
        <v>8090</v>
      </c>
      <c r="D2334" s="24"/>
      <c r="E2334" s="17"/>
      <c r="F2334" s="17"/>
      <c r="G2334" s="17"/>
      <c r="H2334" s="17"/>
      <c r="I2334" s="17" t="s">
        <v>36</v>
      </c>
      <c r="J2334" s="32"/>
      <c r="K2334" s="17"/>
      <c r="L2334" s="38"/>
      <c r="M2334" s="17"/>
      <c r="N2334" s="17"/>
      <c r="O2334" s="17"/>
      <c r="P2334" s="12" t="s">
        <v>150</v>
      </c>
      <c r="Q2334" s="12"/>
      <c r="R2334" s="12"/>
      <c r="S2334" s="12"/>
      <c r="T2334" s="12"/>
      <c r="U2334" s="12"/>
      <c r="V2334" s="12"/>
      <c r="Z2334" s="12"/>
      <c r="AA2334" s="12"/>
      <c r="AB2334" s="12"/>
      <c r="AC2334" s="12"/>
      <c r="AD2334" s="12"/>
      <c r="AE2334" s="12"/>
    </row>
    <row r="2335" customFormat="false" ht="15.75" hidden="false" customHeight="false" outlineLevel="0" collapsed="false">
      <c r="A2335" s="12" t="s">
        <v>31</v>
      </c>
      <c r="B2335" s="13"/>
      <c r="C2335" s="16" t="s">
        <v>8091</v>
      </c>
      <c r="D2335" s="24"/>
      <c r="E2335" s="17"/>
      <c r="F2335" s="17"/>
      <c r="G2335" s="17"/>
      <c r="H2335" s="17"/>
      <c r="I2335" s="17" t="s">
        <v>36</v>
      </c>
      <c r="J2335" s="32"/>
      <c r="K2335" s="17"/>
      <c r="L2335" s="38"/>
      <c r="M2335" s="17"/>
      <c r="N2335" s="17"/>
      <c r="O2335" s="17"/>
      <c r="P2335" s="12" t="s">
        <v>150</v>
      </c>
      <c r="Q2335" s="12"/>
      <c r="R2335" s="12"/>
      <c r="S2335" s="12"/>
      <c r="T2335" s="12"/>
      <c r="U2335" s="12"/>
      <c r="V2335" s="12"/>
      <c r="Z2335" s="12"/>
      <c r="AA2335" s="12"/>
      <c r="AB2335" s="12"/>
      <c r="AC2335" s="12"/>
      <c r="AD2335" s="12"/>
      <c r="AE2335" s="12"/>
    </row>
    <row r="2336" customFormat="false" ht="15.75" hidden="false" customHeight="false" outlineLevel="0" collapsed="false">
      <c r="A2336" s="12" t="s">
        <v>31</v>
      </c>
      <c r="B2336" s="13"/>
      <c r="C2336" s="16" t="s">
        <v>1521</v>
      </c>
      <c r="D2336" s="24"/>
      <c r="E2336" s="17"/>
      <c r="F2336" s="17"/>
      <c r="G2336" s="17"/>
      <c r="H2336" s="17"/>
      <c r="I2336" s="17" t="s">
        <v>36</v>
      </c>
      <c r="J2336" s="32"/>
      <c r="K2336" s="17"/>
      <c r="L2336" s="38"/>
      <c r="M2336" s="17"/>
      <c r="N2336" s="17"/>
      <c r="O2336" s="17"/>
      <c r="P2336" s="12" t="s">
        <v>150</v>
      </c>
      <c r="Q2336" s="12"/>
      <c r="R2336" s="12"/>
      <c r="S2336" s="12"/>
      <c r="T2336" s="12"/>
      <c r="U2336" s="12"/>
      <c r="V2336" s="12"/>
      <c r="Z2336" s="12"/>
      <c r="AA2336" s="12"/>
      <c r="AB2336" s="12"/>
      <c r="AC2336" s="12"/>
      <c r="AD2336" s="12"/>
      <c r="AE2336" s="12"/>
    </row>
    <row r="2337" customFormat="false" ht="15.75" hidden="false" customHeight="false" outlineLevel="0" collapsed="false">
      <c r="A2337" s="12" t="s">
        <v>31</v>
      </c>
      <c r="B2337" s="13"/>
      <c r="C2337" s="16" t="s">
        <v>8092</v>
      </c>
      <c r="D2337" s="24"/>
      <c r="E2337" s="17"/>
      <c r="F2337" s="17"/>
      <c r="G2337" s="17"/>
      <c r="H2337" s="17"/>
      <c r="I2337" s="17" t="s">
        <v>36</v>
      </c>
      <c r="J2337" s="32"/>
      <c r="K2337" s="17"/>
      <c r="L2337" s="38"/>
      <c r="M2337" s="17"/>
      <c r="N2337" s="17"/>
      <c r="O2337" s="17"/>
      <c r="P2337" s="12" t="s">
        <v>150</v>
      </c>
      <c r="Q2337" s="12"/>
      <c r="R2337" s="12"/>
      <c r="S2337" s="12"/>
      <c r="T2337" s="12"/>
      <c r="U2337" s="12"/>
      <c r="V2337" s="12"/>
      <c r="Z2337" s="12"/>
      <c r="AA2337" s="12"/>
      <c r="AB2337" s="12"/>
      <c r="AC2337" s="12"/>
      <c r="AD2337" s="12"/>
      <c r="AE2337" s="12"/>
    </row>
    <row r="2338" customFormat="false" ht="15.75" hidden="false" customHeight="false" outlineLevel="0" collapsed="false">
      <c r="A2338" s="12" t="s">
        <v>31</v>
      </c>
      <c r="B2338" s="13"/>
      <c r="C2338" s="16" t="s">
        <v>8093</v>
      </c>
      <c r="D2338" s="24"/>
      <c r="E2338" s="17"/>
      <c r="F2338" s="17"/>
      <c r="G2338" s="17"/>
      <c r="H2338" s="17"/>
      <c r="I2338" s="17" t="s">
        <v>36</v>
      </c>
      <c r="J2338" s="32"/>
      <c r="K2338" s="17"/>
      <c r="L2338" s="38"/>
      <c r="M2338" s="17"/>
      <c r="N2338" s="17"/>
      <c r="O2338" s="17"/>
      <c r="P2338" s="12" t="s">
        <v>150</v>
      </c>
      <c r="Q2338" s="12"/>
      <c r="R2338" s="12"/>
      <c r="S2338" s="12"/>
      <c r="T2338" s="12"/>
      <c r="U2338" s="12"/>
      <c r="V2338" s="12"/>
      <c r="Z2338" s="12"/>
      <c r="AA2338" s="12"/>
      <c r="AB2338" s="12"/>
      <c r="AC2338" s="12"/>
      <c r="AD2338" s="12"/>
      <c r="AE2338" s="12"/>
    </row>
    <row r="2339" customFormat="false" ht="15.75" hidden="false" customHeight="false" outlineLevel="0" collapsed="false">
      <c r="A2339" s="12"/>
      <c r="B2339" s="13"/>
      <c r="C2339" s="16" t="s">
        <v>8094</v>
      </c>
      <c r="D2339" s="24"/>
      <c r="E2339" s="17"/>
      <c r="F2339" s="17"/>
      <c r="G2339" s="17"/>
      <c r="H2339" s="17"/>
      <c r="I2339" s="17" t="s">
        <v>36</v>
      </c>
      <c r="J2339" s="32"/>
      <c r="K2339" s="17"/>
      <c r="L2339" s="38"/>
      <c r="M2339" s="17"/>
      <c r="N2339" s="17"/>
      <c r="O2339" s="17"/>
      <c r="P2339" s="12" t="s">
        <v>150</v>
      </c>
      <c r="Q2339" s="12"/>
      <c r="R2339" s="12"/>
      <c r="S2339" s="12"/>
      <c r="T2339" s="12"/>
      <c r="U2339" s="12"/>
      <c r="V2339" s="12"/>
      <c r="Z2339" s="12"/>
      <c r="AA2339" s="12"/>
      <c r="AB2339" s="12"/>
      <c r="AC2339" s="12"/>
      <c r="AD2339" s="12"/>
      <c r="AE2339" s="12"/>
    </row>
    <row r="2340" customFormat="false" ht="15.75" hidden="false" customHeight="false" outlineLevel="0" collapsed="false">
      <c r="A2340" s="12" t="s">
        <v>31</v>
      </c>
      <c r="B2340" s="13"/>
      <c r="C2340" s="16" t="s">
        <v>8095</v>
      </c>
      <c r="D2340" s="24"/>
      <c r="E2340" s="17"/>
      <c r="F2340" s="17"/>
      <c r="G2340" s="17"/>
      <c r="H2340" s="17"/>
      <c r="I2340" s="17" t="s">
        <v>36</v>
      </c>
      <c r="J2340" s="32"/>
      <c r="K2340" s="17"/>
      <c r="L2340" s="38"/>
      <c r="M2340" s="17"/>
      <c r="N2340" s="17"/>
      <c r="O2340" s="17"/>
      <c r="P2340" s="12" t="s">
        <v>150</v>
      </c>
      <c r="Q2340" s="12"/>
      <c r="R2340" s="12"/>
      <c r="S2340" s="12"/>
      <c r="T2340" s="12"/>
      <c r="U2340" s="12"/>
      <c r="V2340" s="12"/>
      <c r="Z2340" s="12"/>
      <c r="AA2340" s="12"/>
      <c r="AB2340" s="12"/>
      <c r="AC2340" s="12"/>
      <c r="AD2340" s="12"/>
      <c r="AE2340" s="12"/>
    </row>
    <row r="2341" customFormat="false" ht="15.75" hidden="false" customHeight="false" outlineLevel="0" collapsed="false">
      <c r="A2341" s="12" t="s">
        <v>31</v>
      </c>
      <c r="B2341" s="13"/>
      <c r="C2341" s="16" t="s">
        <v>8096</v>
      </c>
      <c r="D2341" s="24"/>
      <c r="E2341" s="17"/>
      <c r="F2341" s="17"/>
      <c r="G2341" s="17"/>
      <c r="H2341" s="17"/>
      <c r="I2341" s="17" t="s">
        <v>36</v>
      </c>
      <c r="J2341" s="32"/>
      <c r="K2341" s="17"/>
      <c r="L2341" s="38"/>
      <c r="M2341" s="17"/>
      <c r="N2341" s="17"/>
      <c r="O2341" s="17"/>
      <c r="P2341" s="12" t="s">
        <v>150</v>
      </c>
      <c r="Q2341" s="12"/>
      <c r="R2341" s="12"/>
      <c r="S2341" s="12"/>
      <c r="T2341" s="12"/>
      <c r="U2341" s="12"/>
      <c r="V2341" s="12"/>
      <c r="Z2341" s="12"/>
      <c r="AA2341" s="12"/>
      <c r="AB2341" s="12"/>
      <c r="AC2341" s="12"/>
      <c r="AD2341" s="12"/>
      <c r="AE2341" s="12"/>
    </row>
    <row r="2342" customFormat="false" ht="15.75" hidden="false" customHeight="false" outlineLevel="0" collapsed="false">
      <c r="A2342" s="12"/>
      <c r="B2342" s="13"/>
      <c r="C2342" s="16" t="s">
        <v>8097</v>
      </c>
      <c r="D2342" s="24"/>
      <c r="E2342" s="17"/>
      <c r="F2342" s="17"/>
      <c r="G2342" s="17"/>
      <c r="I2342" s="17" t="s">
        <v>36</v>
      </c>
      <c r="J2342" s="32"/>
      <c r="K2342" s="17"/>
      <c r="L2342" s="38"/>
      <c r="M2342" s="17"/>
      <c r="N2342" s="17"/>
      <c r="O2342" s="17"/>
      <c r="P2342" s="12" t="s">
        <v>150</v>
      </c>
      <c r="Q2342" s="12"/>
      <c r="R2342" s="12"/>
      <c r="S2342" s="12"/>
      <c r="T2342" s="12"/>
      <c r="U2342" s="12"/>
      <c r="V2342" s="12"/>
      <c r="Z2342" s="12"/>
      <c r="AA2342" s="12"/>
      <c r="AB2342" s="12"/>
      <c r="AC2342" s="12"/>
      <c r="AD2342" s="12"/>
      <c r="AE2342" s="12"/>
    </row>
    <row r="2343" customFormat="false" ht="15.75" hidden="false" customHeight="false" outlineLevel="0" collapsed="false">
      <c r="A2343" s="12" t="s">
        <v>31</v>
      </c>
      <c r="B2343" s="13"/>
      <c r="C2343" s="47" t="s">
        <v>8098</v>
      </c>
      <c r="D2343" s="24"/>
      <c r="E2343" s="17"/>
      <c r="F2343" s="17"/>
      <c r="G2343" s="17"/>
      <c r="H2343" s="17"/>
      <c r="I2343" s="17" t="s">
        <v>36</v>
      </c>
      <c r="J2343" s="32"/>
      <c r="K2343" s="17"/>
      <c r="L2343" s="38"/>
      <c r="M2343" s="17"/>
      <c r="N2343" s="17"/>
      <c r="O2343" s="17"/>
      <c r="P2343" s="12" t="s">
        <v>150</v>
      </c>
      <c r="Q2343" s="12"/>
      <c r="R2343" s="12"/>
      <c r="S2343" s="12"/>
      <c r="T2343" s="12"/>
      <c r="U2343" s="12"/>
      <c r="V2343" s="12"/>
      <c r="Z2343" s="12"/>
      <c r="AA2343" s="12"/>
      <c r="AB2343" s="12"/>
      <c r="AC2343" s="12"/>
      <c r="AD2343" s="12"/>
      <c r="AE2343" s="12"/>
    </row>
    <row r="2344" customFormat="false" ht="15.75" hidden="false" customHeight="false" outlineLevel="0" collapsed="false">
      <c r="A2344" s="12" t="s">
        <v>31</v>
      </c>
      <c r="B2344" s="13"/>
      <c r="C2344" s="47" t="s">
        <v>8099</v>
      </c>
      <c r="D2344" s="24" t="s">
        <v>521</v>
      </c>
      <c r="E2344" s="17"/>
      <c r="F2344" s="17"/>
      <c r="G2344" s="17"/>
      <c r="H2344" s="17"/>
      <c r="I2344" s="17" t="s">
        <v>36</v>
      </c>
      <c r="J2344" s="32"/>
      <c r="K2344" s="17"/>
      <c r="L2344" s="38"/>
      <c r="M2344" s="17"/>
      <c r="N2344" s="17"/>
      <c r="O2344" s="17"/>
      <c r="P2344" s="12" t="s">
        <v>150</v>
      </c>
      <c r="Q2344" s="12"/>
      <c r="R2344" s="12"/>
      <c r="S2344" s="12"/>
      <c r="T2344" s="12"/>
      <c r="U2344" s="12"/>
      <c r="V2344" s="12"/>
      <c r="Z2344" s="12"/>
      <c r="AA2344" s="12"/>
      <c r="AB2344" s="12"/>
      <c r="AC2344" s="12"/>
      <c r="AD2344" s="12"/>
      <c r="AE2344" s="12"/>
    </row>
    <row r="2345" customFormat="false" ht="15.75" hidden="false" customHeight="false" outlineLevel="0" collapsed="false">
      <c r="A2345" s="12" t="s">
        <v>31</v>
      </c>
      <c r="B2345" s="13"/>
      <c r="C2345" s="47" t="s">
        <v>8100</v>
      </c>
      <c r="D2345" s="24" t="s">
        <v>521</v>
      </c>
      <c r="E2345" s="17"/>
      <c r="F2345" s="17"/>
      <c r="G2345" s="17"/>
      <c r="H2345" s="17"/>
      <c r="I2345" s="17" t="s">
        <v>36</v>
      </c>
      <c r="J2345" s="32"/>
      <c r="K2345" s="17"/>
      <c r="L2345" s="38"/>
      <c r="M2345" s="17"/>
      <c r="N2345" s="17"/>
      <c r="O2345" s="17"/>
      <c r="P2345" s="12" t="s">
        <v>150</v>
      </c>
      <c r="Q2345" s="12"/>
      <c r="R2345" s="12"/>
      <c r="S2345" s="12"/>
      <c r="T2345" s="12"/>
      <c r="U2345" s="12"/>
      <c r="V2345" s="12"/>
      <c r="Z2345" s="12"/>
      <c r="AA2345" s="12"/>
      <c r="AB2345" s="12"/>
      <c r="AC2345" s="12"/>
      <c r="AD2345" s="12"/>
      <c r="AE2345" s="12"/>
    </row>
    <row r="2346" customFormat="false" ht="15.75" hidden="false" customHeight="false" outlineLevel="0" collapsed="false">
      <c r="A2346" s="12" t="s">
        <v>31</v>
      </c>
      <c r="B2346" s="13"/>
      <c r="C2346" s="16" t="s">
        <v>8101</v>
      </c>
      <c r="D2346" s="24"/>
      <c r="E2346" s="17"/>
      <c r="F2346" s="17"/>
      <c r="G2346" s="17"/>
      <c r="H2346" s="17"/>
      <c r="I2346" s="17" t="s">
        <v>36</v>
      </c>
      <c r="J2346" s="32"/>
      <c r="K2346" s="17"/>
      <c r="L2346" s="38"/>
      <c r="M2346" s="17"/>
      <c r="N2346" s="17"/>
      <c r="O2346" s="17"/>
      <c r="P2346" s="12" t="s">
        <v>150</v>
      </c>
      <c r="Q2346" s="12"/>
      <c r="R2346" s="12"/>
      <c r="S2346" s="12"/>
      <c r="T2346" s="12"/>
      <c r="U2346" s="12"/>
      <c r="V2346" s="12"/>
      <c r="Z2346" s="12"/>
      <c r="AA2346" s="12"/>
      <c r="AB2346" s="12"/>
      <c r="AC2346" s="12"/>
      <c r="AD2346" s="12"/>
      <c r="AE2346" s="12"/>
    </row>
    <row r="2347" customFormat="false" ht="15.75" hidden="false" customHeight="false" outlineLevel="0" collapsed="false">
      <c r="A2347" s="12" t="s">
        <v>31</v>
      </c>
      <c r="B2347" s="13"/>
      <c r="C2347" s="16" t="s">
        <v>8102</v>
      </c>
      <c r="D2347" s="24"/>
      <c r="E2347" s="17"/>
      <c r="F2347" s="17"/>
      <c r="G2347" s="17"/>
      <c r="H2347" s="17"/>
      <c r="I2347" s="17" t="s">
        <v>36</v>
      </c>
      <c r="J2347" s="32"/>
      <c r="K2347" s="17"/>
      <c r="L2347" s="38"/>
      <c r="M2347" s="17"/>
      <c r="N2347" s="17"/>
      <c r="O2347" s="17"/>
      <c r="P2347" s="12" t="s">
        <v>150</v>
      </c>
      <c r="Q2347" s="12"/>
      <c r="R2347" s="12"/>
      <c r="S2347" s="12"/>
      <c r="T2347" s="12"/>
      <c r="U2347" s="12"/>
      <c r="V2347" s="12"/>
      <c r="Z2347" s="12"/>
      <c r="AA2347" s="12"/>
      <c r="AB2347" s="12"/>
      <c r="AC2347" s="12"/>
      <c r="AD2347" s="12"/>
      <c r="AE2347" s="12"/>
    </row>
    <row r="2348" customFormat="false" ht="15.75" hidden="false" customHeight="false" outlineLevel="0" collapsed="false">
      <c r="A2348" s="12" t="s">
        <v>31</v>
      </c>
      <c r="B2348" s="13"/>
      <c r="C2348" s="16" t="s">
        <v>8103</v>
      </c>
      <c r="D2348" s="24" t="s">
        <v>51</v>
      </c>
      <c r="E2348" s="17"/>
      <c r="F2348" s="17"/>
      <c r="G2348" s="17"/>
      <c r="H2348" s="17"/>
      <c r="I2348" s="17" t="s">
        <v>36</v>
      </c>
      <c r="J2348" s="32"/>
      <c r="K2348" s="17"/>
      <c r="L2348" s="38"/>
      <c r="M2348" s="17"/>
      <c r="N2348" s="17"/>
      <c r="O2348" s="17"/>
      <c r="P2348" s="12" t="s">
        <v>150</v>
      </c>
      <c r="Q2348" s="12"/>
      <c r="R2348" s="12"/>
      <c r="S2348" s="12"/>
      <c r="T2348" s="12"/>
      <c r="U2348" s="12"/>
      <c r="V2348" s="12"/>
      <c r="Z2348" s="12"/>
      <c r="AA2348" s="12"/>
      <c r="AB2348" s="12"/>
      <c r="AC2348" s="12"/>
      <c r="AD2348" s="12"/>
      <c r="AE2348" s="12"/>
    </row>
    <row r="2349" customFormat="false" ht="15.75" hidden="false" customHeight="false" outlineLevel="0" collapsed="false">
      <c r="A2349" s="12"/>
      <c r="B2349" s="13"/>
      <c r="C2349" s="16" t="s">
        <v>8104</v>
      </c>
      <c r="D2349" s="24"/>
      <c r="E2349" s="17"/>
      <c r="F2349" s="17"/>
      <c r="G2349" s="17"/>
      <c r="H2349" s="17"/>
      <c r="I2349" s="17" t="s">
        <v>36</v>
      </c>
      <c r="J2349" s="32"/>
      <c r="K2349" s="17"/>
      <c r="L2349" s="38"/>
      <c r="M2349" s="17"/>
      <c r="N2349" s="17"/>
      <c r="O2349" s="17"/>
      <c r="P2349" s="12" t="s">
        <v>150</v>
      </c>
      <c r="Q2349" s="12"/>
      <c r="R2349" s="12"/>
      <c r="S2349" s="12"/>
      <c r="T2349" s="12"/>
      <c r="U2349" s="12"/>
      <c r="V2349" s="12"/>
      <c r="Z2349" s="12"/>
      <c r="AA2349" s="12"/>
      <c r="AB2349" s="12"/>
      <c r="AC2349" s="12"/>
      <c r="AD2349" s="12"/>
      <c r="AE2349" s="12"/>
    </row>
    <row r="2350" customFormat="false" ht="15.75" hidden="false" customHeight="false" outlineLevel="0" collapsed="false">
      <c r="A2350" s="12" t="s">
        <v>31</v>
      </c>
      <c r="B2350" s="13"/>
      <c r="C2350" s="65" t="s">
        <v>8105</v>
      </c>
      <c r="D2350" s="24" t="s">
        <v>521</v>
      </c>
      <c r="E2350" s="17"/>
      <c r="F2350" s="17"/>
      <c r="G2350" s="17"/>
      <c r="H2350" s="17"/>
      <c r="I2350" s="17" t="s">
        <v>36</v>
      </c>
      <c r="J2350" s="32"/>
      <c r="K2350" s="17"/>
      <c r="L2350" s="38"/>
      <c r="M2350" s="17"/>
      <c r="N2350" s="17"/>
      <c r="O2350" s="17"/>
      <c r="P2350" s="12" t="s">
        <v>150</v>
      </c>
      <c r="Q2350" s="12"/>
      <c r="R2350" s="12"/>
      <c r="S2350" s="12"/>
      <c r="T2350" s="12"/>
      <c r="U2350" s="12"/>
      <c r="V2350" s="12"/>
      <c r="Z2350" s="12"/>
      <c r="AA2350" s="12"/>
      <c r="AB2350" s="12"/>
      <c r="AC2350" s="12"/>
      <c r="AD2350" s="12"/>
      <c r="AE2350" s="12"/>
    </row>
    <row r="2351" customFormat="false" ht="15.75" hidden="false" customHeight="false" outlineLevel="0" collapsed="false">
      <c r="A2351" s="12" t="s">
        <v>31</v>
      </c>
      <c r="B2351" s="13"/>
      <c r="C2351" s="16" t="s">
        <v>8106</v>
      </c>
      <c r="D2351" s="24" t="s">
        <v>521</v>
      </c>
      <c r="E2351" s="17"/>
      <c r="F2351" s="17"/>
      <c r="G2351" s="17"/>
      <c r="H2351" s="17"/>
      <c r="I2351" s="17" t="s">
        <v>36</v>
      </c>
      <c r="J2351" s="32"/>
      <c r="K2351" s="17"/>
      <c r="L2351" s="38"/>
      <c r="M2351" s="17"/>
      <c r="N2351" s="17"/>
      <c r="O2351" s="17"/>
      <c r="P2351" s="12" t="s">
        <v>150</v>
      </c>
      <c r="Q2351" s="12"/>
      <c r="R2351" s="12"/>
      <c r="S2351" s="12"/>
      <c r="T2351" s="12"/>
      <c r="U2351" s="12"/>
      <c r="V2351" s="12"/>
      <c r="Z2351" s="12"/>
      <c r="AA2351" s="12"/>
      <c r="AB2351" s="12"/>
      <c r="AC2351" s="12"/>
      <c r="AD2351" s="12"/>
      <c r="AE2351" s="12"/>
    </row>
    <row r="2352" customFormat="false" ht="15.75" hidden="false" customHeight="false" outlineLevel="0" collapsed="false">
      <c r="A2352" s="12" t="s">
        <v>31</v>
      </c>
      <c r="B2352" s="13"/>
      <c r="C2352" s="16" t="s">
        <v>8107</v>
      </c>
      <c r="D2352" s="24"/>
      <c r="E2352" s="17"/>
      <c r="F2352" s="17"/>
      <c r="G2352" s="17"/>
      <c r="H2352" s="17"/>
      <c r="I2352" s="17" t="s">
        <v>36</v>
      </c>
      <c r="J2352" s="32"/>
      <c r="K2352" s="17"/>
      <c r="L2352" s="38"/>
      <c r="M2352" s="17"/>
      <c r="N2352" s="17"/>
      <c r="O2352" s="17"/>
      <c r="P2352" s="12" t="s">
        <v>150</v>
      </c>
      <c r="Q2352" s="12"/>
      <c r="R2352" s="12"/>
      <c r="S2352" s="12"/>
      <c r="T2352" s="12"/>
      <c r="U2352" s="12"/>
      <c r="V2352" s="12"/>
      <c r="Z2352" s="12"/>
      <c r="AA2352" s="12"/>
      <c r="AB2352" s="12"/>
      <c r="AC2352" s="12"/>
      <c r="AD2352" s="12"/>
      <c r="AE2352" s="12"/>
    </row>
    <row r="2353" customFormat="false" ht="15.75" hidden="false" customHeight="false" outlineLevel="0" collapsed="false">
      <c r="A2353" s="12" t="s">
        <v>31</v>
      </c>
      <c r="B2353" s="13"/>
      <c r="C2353" s="16" t="s">
        <v>8108</v>
      </c>
      <c r="D2353" s="24"/>
      <c r="E2353" s="17"/>
      <c r="F2353" s="17"/>
      <c r="G2353" s="17"/>
      <c r="H2353" s="17"/>
      <c r="I2353" s="17" t="s">
        <v>36</v>
      </c>
      <c r="J2353" s="32"/>
      <c r="K2353" s="17"/>
      <c r="L2353" s="38"/>
      <c r="M2353" s="17"/>
      <c r="N2353" s="17"/>
      <c r="O2353" s="17"/>
      <c r="P2353" s="12" t="s">
        <v>150</v>
      </c>
      <c r="Q2353" s="12"/>
      <c r="R2353" s="12"/>
      <c r="S2353" s="12"/>
      <c r="T2353" s="12"/>
      <c r="U2353" s="12"/>
      <c r="V2353" s="12"/>
      <c r="Z2353" s="12"/>
      <c r="AA2353" s="12"/>
      <c r="AB2353" s="12"/>
      <c r="AC2353" s="12"/>
      <c r="AD2353" s="12"/>
      <c r="AE2353" s="12"/>
    </row>
    <row r="2354" customFormat="false" ht="15.75" hidden="false" customHeight="false" outlineLevel="0" collapsed="false">
      <c r="A2354" s="12" t="s">
        <v>31</v>
      </c>
      <c r="B2354" s="13"/>
      <c r="C2354" s="16" t="s">
        <v>8109</v>
      </c>
      <c r="D2354" s="24" t="s">
        <v>521</v>
      </c>
      <c r="E2354" s="17"/>
      <c r="F2354" s="17"/>
      <c r="G2354" s="17"/>
      <c r="H2354" s="17"/>
      <c r="I2354" s="17" t="s">
        <v>36</v>
      </c>
      <c r="J2354" s="32"/>
      <c r="K2354" s="17"/>
      <c r="L2354" s="38"/>
      <c r="M2354" s="17"/>
      <c r="N2354" s="17"/>
      <c r="O2354" s="17"/>
      <c r="P2354" s="12" t="s">
        <v>150</v>
      </c>
      <c r="Q2354" s="12"/>
      <c r="R2354" s="12"/>
      <c r="S2354" s="12"/>
      <c r="T2354" s="12"/>
      <c r="U2354" s="12"/>
      <c r="V2354" s="12"/>
      <c r="Z2354" s="12"/>
      <c r="AA2354" s="12"/>
      <c r="AB2354" s="12"/>
      <c r="AC2354" s="12"/>
      <c r="AD2354" s="12"/>
      <c r="AE2354" s="12"/>
    </row>
    <row r="2355" customFormat="false" ht="15.75" hidden="false" customHeight="false" outlineLevel="0" collapsed="false">
      <c r="A2355" s="12" t="s">
        <v>31</v>
      </c>
      <c r="B2355" s="13"/>
      <c r="C2355" s="16" t="s">
        <v>8110</v>
      </c>
      <c r="D2355" s="24"/>
      <c r="E2355" s="17"/>
      <c r="F2355" s="17"/>
      <c r="G2355" s="17"/>
      <c r="H2355" s="17"/>
      <c r="I2355" s="17" t="s">
        <v>36</v>
      </c>
      <c r="J2355" s="32"/>
      <c r="K2355" s="17"/>
      <c r="L2355" s="38"/>
      <c r="M2355" s="17"/>
      <c r="N2355" s="17"/>
      <c r="O2355" s="17"/>
      <c r="P2355" s="12" t="s">
        <v>150</v>
      </c>
      <c r="Q2355" s="12"/>
      <c r="R2355" s="12"/>
      <c r="S2355" s="12"/>
      <c r="T2355" s="12"/>
      <c r="U2355" s="12"/>
      <c r="V2355" s="12"/>
      <c r="Z2355" s="12"/>
      <c r="AA2355" s="12"/>
      <c r="AB2355" s="12"/>
      <c r="AC2355" s="12"/>
      <c r="AD2355" s="12"/>
      <c r="AE2355" s="12"/>
    </row>
    <row r="2356" customFormat="false" ht="15.75" hidden="false" customHeight="false" outlineLevel="0" collapsed="false">
      <c r="A2356" s="12" t="s">
        <v>31</v>
      </c>
      <c r="B2356" s="13"/>
      <c r="C2356" s="16" t="s">
        <v>8111</v>
      </c>
      <c r="D2356" s="24"/>
      <c r="E2356" s="17"/>
      <c r="F2356" s="17"/>
      <c r="G2356" s="17"/>
      <c r="H2356" s="17"/>
      <c r="I2356" s="17" t="s">
        <v>36</v>
      </c>
      <c r="J2356" s="32"/>
      <c r="K2356" s="17"/>
      <c r="L2356" s="38"/>
      <c r="M2356" s="17"/>
      <c r="N2356" s="17"/>
      <c r="O2356" s="17"/>
      <c r="P2356" s="12" t="s">
        <v>150</v>
      </c>
      <c r="Q2356" s="12"/>
      <c r="R2356" s="12"/>
      <c r="S2356" s="12"/>
      <c r="T2356" s="12"/>
      <c r="U2356" s="12"/>
      <c r="V2356" s="12"/>
      <c r="Z2356" s="12"/>
      <c r="AA2356" s="12"/>
      <c r="AB2356" s="12"/>
      <c r="AC2356" s="12"/>
      <c r="AD2356" s="12"/>
      <c r="AE2356" s="12"/>
    </row>
    <row r="2357" customFormat="false" ht="15.75" hidden="false" customHeight="false" outlineLevel="0" collapsed="false">
      <c r="A2357" s="12" t="s">
        <v>31</v>
      </c>
      <c r="B2357" s="13"/>
      <c r="C2357" s="16" t="s">
        <v>8112</v>
      </c>
      <c r="D2357" s="24"/>
      <c r="E2357" s="17"/>
      <c r="F2357" s="17"/>
      <c r="G2357" s="17"/>
      <c r="H2357" s="17"/>
      <c r="I2357" s="17" t="s">
        <v>36</v>
      </c>
      <c r="J2357" s="32"/>
      <c r="K2357" s="17"/>
      <c r="L2357" s="38"/>
      <c r="M2357" s="17"/>
      <c r="N2357" s="17"/>
      <c r="O2357" s="17"/>
      <c r="P2357" s="12" t="s">
        <v>150</v>
      </c>
      <c r="Q2357" s="12"/>
      <c r="R2357" s="12"/>
      <c r="S2357" s="12"/>
      <c r="T2357" s="12"/>
      <c r="U2357" s="12"/>
      <c r="V2357" s="12"/>
      <c r="Z2357" s="12"/>
      <c r="AA2357" s="12"/>
      <c r="AB2357" s="12"/>
      <c r="AC2357" s="12"/>
      <c r="AD2357" s="12"/>
      <c r="AE2357" s="12"/>
    </row>
    <row r="2358" customFormat="false" ht="15.75" hidden="false" customHeight="false" outlineLevel="0" collapsed="false">
      <c r="A2358" s="12" t="s">
        <v>31</v>
      </c>
      <c r="B2358" s="13"/>
      <c r="C2358" s="16" t="s">
        <v>8113</v>
      </c>
      <c r="D2358" s="24"/>
      <c r="E2358" s="17"/>
      <c r="F2358" s="17"/>
      <c r="G2358" s="17"/>
      <c r="H2358" s="17"/>
      <c r="I2358" s="17" t="s">
        <v>36</v>
      </c>
      <c r="J2358" s="32"/>
      <c r="K2358" s="17"/>
      <c r="L2358" s="38"/>
      <c r="M2358" s="17"/>
      <c r="N2358" s="17"/>
      <c r="O2358" s="17"/>
      <c r="P2358" s="12" t="s">
        <v>150</v>
      </c>
      <c r="Q2358" s="12"/>
      <c r="R2358" s="12"/>
      <c r="S2358" s="12"/>
      <c r="T2358" s="12"/>
      <c r="U2358" s="12"/>
      <c r="V2358" s="12"/>
      <c r="Z2358" s="12"/>
      <c r="AA2358" s="12"/>
      <c r="AB2358" s="12"/>
      <c r="AC2358" s="12"/>
      <c r="AD2358" s="12"/>
      <c r="AE2358" s="12"/>
    </row>
    <row r="2359" customFormat="false" ht="15.75" hidden="false" customHeight="false" outlineLevel="0" collapsed="false">
      <c r="A2359" s="12"/>
      <c r="B2359" s="13"/>
      <c r="C2359" s="16" t="s">
        <v>8114</v>
      </c>
      <c r="D2359" s="24"/>
      <c r="E2359" s="17"/>
      <c r="F2359" s="17"/>
      <c r="G2359" s="17"/>
      <c r="H2359" s="17"/>
      <c r="I2359" s="17" t="s">
        <v>36</v>
      </c>
      <c r="J2359" s="32"/>
      <c r="K2359" s="17"/>
      <c r="L2359" s="38"/>
      <c r="M2359" s="17"/>
      <c r="N2359" s="17"/>
      <c r="O2359" s="17"/>
      <c r="P2359" s="12" t="s">
        <v>150</v>
      </c>
      <c r="Q2359" s="12"/>
      <c r="R2359" s="12"/>
      <c r="S2359" s="12"/>
      <c r="T2359" s="12"/>
      <c r="U2359" s="12"/>
      <c r="V2359" s="12"/>
      <c r="Z2359" s="12"/>
      <c r="AA2359" s="12"/>
      <c r="AB2359" s="12"/>
      <c r="AC2359" s="12"/>
      <c r="AD2359" s="12"/>
      <c r="AE2359" s="12"/>
    </row>
    <row r="2360" customFormat="false" ht="15.75" hidden="false" customHeight="false" outlineLevel="0" collapsed="false">
      <c r="A2360" s="12" t="s">
        <v>31</v>
      </c>
      <c r="B2360" s="13"/>
      <c r="C2360" s="16" t="s">
        <v>8115</v>
      </c>
      <c r="D2360" s="24"/>
      <c r="E2360" s="17"/>
      <c r="F2360" s="17"/>
      <c r="G2360" s="17"/>
      <c r="H2360" s="17"/>
      <c r="I2360" s="17" t="s">
        <v>36</v>
      </c>
      <c r="J2360" s="32"/>
      <c r="K2360" s="17"/>
      <c r="L2360" s="38"/>
      <c r="M2360" s="17"/>
      <c r="N2360" s="17"/>
      <c r="O2360" s="17"/>
      <c r="P2360" s="12" t="s">
        <v>150</v>
      </c>
      <c r="Q2360" s="12"/>
      <c r="R2360" s="12"/>
      <c r="S2360" s="12"/>
      <c r="T2360" s="12"/>
      <c r="U2360" s="12"/>
      <c r="V2360" s="12"/>
      <c r="Z2360" s="12"/>
      <c r="AA2360" s="12"/>
      <c r="AB2360" s="12"/>
      <c r="AC2360" s="12"/>
      <c r="AD2360" s="12"/>
      <c r="AE2360" s="12"/>
    </row>
    <row r="2361" customFormat="false" ht="15.75" hidden="false" customHeight="false" outlineLevel="0" collapsed="false">
      <c r="A2361" s="12" t="s">
        <v>31</v>
      </c>
      <c r="B2361" s="13"/>
      <c r="C2361" s="16" t="s">
        <v>8116</v>
      </c>
      <c r="D2361" s="24"/>
      <c r="E2361" s="17"/>
      <c r="F2361" s="17"/>
      <c r="G2361" s="17"/>
      <c r="H2361" s="17"/>
      <c r="I2361" s="17" t="s">
        <v>36</v>
      </c>
      <c r="J2361" s="32"/>
      <c r="K2361" s="17"/>
      <c r="L2361" s="38"/>
      <c r="M2361" s="17"/>
      <c r="N2361" s="17"/>
      <c r="O2361" s="17"/>
      <c r="P2361" s="12" t="s">
        <v>150</v>
      </c>
      <c r="Q2361" s="12"/>
      <c r="R2361" s="12"/>
      <c r="S2361" s="12"/>
      <c r="T2361" s="12"/>
      <c r="U2361" s="12"/>
      <c r="V2361" s="12"/>
      <c r="Z2361" s="12"/>
      <c r="AA2361" s="12"/>
      <c r="AB2361" s="12"/>
      <c r="AC2361" s="12"/>
      <c r="AD2361" s="12"/>
      <c r="AE2361" s="12"/>
    </row>
    <row r="2362" customFormat="false" ht="15.75" hidden="false" customHeight="false" outlineLevel="0" collapsed="false">
      <c r="A2362" s="12"/>
      <c r="B2362" s="13"/>
      <c r="C2362" s="16" t="s">
        <v>8117</v>
      </c>
      <c r="D2362" s="24"/>
      <c r="E2362" s="17"/>
      <c r="F2362" s="17"/>
      <c r="G2362" s="17"/>
      <c r="H2362" s="17"/>
      <c r="I2362" s="17" t="s">
        <v>36</v>
      </c>
      <c r="J2362" s="32"/>
      <c r="K2362" s="17"/>
      <c r="L2362" s="38"/>
      <c r="M2362" s="17"/>
      <c r="N2362" s="17"/>
      <c r="O2362" s="17"/>
      <c r="P2362" s="12" t="s">
        <v>150</v>
      </c>
      <c r="Q2362" s="12"/>
      <c r="R2362" s="12"/>
      <c r="S2362" s="12"/>
      <c r="T2362" s="12"/>
      <c r="U2362" s="12"/>
      <c r="V2362" s="12"/>
      <c r="Z2362" s="12"/>
      <c r="AA2362" s="12"/>
      <c r="AB2362" s="12"/>
      <c r="AC2362" s="12"/>
      <c r="AD2362" s="12"/>
      <c r="AE2362" s="12"/>
    </row>
    <row r="2363" customFormat="false" ht="15.75" hidden="false" customHeight="false" outlineLevel="0" collapsed="false">
      <c r="A2363" s="12" t="s">
        <v>31</v>
      </c>
      <c r="B2363" s="13"/>
      <c r="C2363" s="16" t="s">
        <v>8118</v>
      </c>
      <c r="D2363" s="24"/>
      <c r="E2363" s="17"/>
      <c r="F2363" s="17"/>
      <c r="G2363" s="17"/>
      <c r="H2363" s="17"/>
      <c r="I2363" s="17" t="s">
        <v>36</v>
      </c>
      <c r="J2363" s="32"/>
      <c r="K2363" s="17"/>
      <c r="L2363" s="38"/>
      <c r="M2363" s="17"/>
      <c r="N2363" s="17"/>
      <c r="O2363" s="17"/>
      <c r="P2363" s="12" t="s">
        <v>150</v>
      </c>
      <c r="Q2363" s="12"/>
      <c r="R2363" s="12"/>
      <c r="S2363" s="12"/>
      <c r="T2363" s="12"/>
      <c r="U2363" s="12"/>
      <c r="V2363" s="12"/>
      <c r="Z2363" s="12"/>
      <c r="AA2363" s="12"/>
      <c r="AB2363" s="12"/>
      <c r="AC2363" s="12"/>
      <c r="AD2363" s="12"/>
      <c r="AE2363" s="12"/>
    </row>
    <row r="2364" customFormat="false" ht="15.75" hidden="false" customHeight="false" outlineLevel="0" collapsed="false">
      <c r="A2364" s="12" t="s">
        <v>31</v>
      </c>
      <c r="B2364" s="13"/>
      <c r="C2364" s="16" t="s">
        <v>8119</v>
      </c>
      <c r="D2364" s="24"/>
      <c r="E2364" s="17"/>
      <c r="F2364" s="17"/>
      <c r="G2364" s="17"/>
      <c r="H2364" s="17"/>
      <c r="I2364" s="17" t="s">
        <v>36</v>
      </c>
      <c r="J2364" s="32"/>
      <c r="K2364" s="17"/>
      <c r="L2364" s="38"/>
      <c r="M2364" s="17"/>
      <c r="N2364" s="17"/>
      <c r="O2364" s="17"/>
      <c r="P2364" s="12" t="s">
        <v>150</v>
      </c>
      <c r="Q2364" s="12"/>
      <c r="R2364" s="12"/>
      <c r="S2364" s="12"/>
      <c r="T2364" s="12"/>
      <c r="U2364" s="12"/>
      <c r="V2364" s="12"/>
      <c r="Z2364" s="12"/>
      <c r="AA2364" s="12"/>
      <c r="AB2364" s="12"/>
      <c r="AC2364" s="12"/>
      <c r="AD2364" s="12"/>
      <c r="AE2364" s="12"/>
    </row>
    <row r="2365" customFormat="false" ht="15.75" hidden="false" customHeight="false" outlineLevel="0" collapsed="false">
      <c r="A2365" s="12" t="s">
        <v>31</v>
      </c>
      <c r="B2365" s="13"/>
      <c r="C2365" s="16" t="s">
        <v>8120</v>
      </c>
      <c r="D2365" s="24"/>
      <c r="E2365" s="17"/>
      <c r="F2365" s="17"/>
      <c r="G2365" s="17"/>
      <c r="H2365" s="17"/>
      <c r="I2365" s="17" t="s">
        <v>36</v>
      </c>
      <c r="J2365" s="32"/>
      <c r="K2365" s="17"/>
      <c r="L2365" s="38"/>
      <c r="M2365" s="17"/>
      <c r="N2365" s="17"/>
      <c r="O2365" s="17"/>
      <c r="P2365" s="12" t="s">
        <v>150</v>
      </c>
      <c r="Q2365" s="12"/>
      <c r="R2365" s="12"/>
      <c r="S2365" s="12"/>
      <c r="T2365" s="12"/>
      <c r="U2365" s="12"/>
      <c r="V2365" s="12"/>
      <c r="Z2365" s="12"/>
      <c r="AA2365" s="12"/>
      <c r="AB2365" s="12"/>
      <c r="AC2365" s="12"/>
      <c r="AD2365" s="12"/>
      <c r="AE2365" s="12"/>
    </row>
    <row r="2366" customFormat="false" ht="15.75" hidden="false" customHeight="false" outlineLevel="0" collapsed="false">
      <c r="A2366" s="12" t="s">
        <v>31</v>
      </c>
      <c r="B2366" s="13"/>
      <c r="C2366" s="16" t="s">
        <v>8121</v>
      </c>
      <c r="D2366" s="24"/>
      <c r="E2366" s="17"/>
      <c r="F2366" s="17"/>
      <c r="G2366" s="17"/>
      <c r="H2366" s="17"/>
      <c r="I2366" s="17" t="s">
        <v>36</v>
      </c>
      <c r="J2366" s="32"/>
      <c r="K2366" s="17"/>
      <c r="L2366" s="38"/>
      <c r="M2366" s="17"/>
      <c r="N2366" s="17"/>
      <c r="O2366" s="17"/>
      <c r="P2366" s="12" t="s">
        <v>150</v>
      </c>
      <c r="Q2366" s="12"/>
      <c r="R2366" s="12"/>
      <c r="S2366" s="12"/>
      <c r="T2366" s="12"/>
      <c r="U2366" s="12"/>
      <c r="V2366" s="12"/>
      <c r="Z2366" s="12"/>
      <c r="AA2366" s="12"/>
      <c r="AB2366" s="12"/>
      <c r="AC2366" s="12"/>
      <c r="AD2366" s="12"/>
      <c r="AE2366" s="12"/>
    </row>
    <row r="2367" customFormat="false" ht="15.75" hidden="false" customHeight="false" outlineLevel="0" collapsed="false">
      <c r="A2367" s="12" t="s">
        <v>31</v>
      </c>
      <c r="B2367" s="13"/>
      <c r="C2367" s="16" t="s">
        <v>8122</v>
      </c>
      <c r="D2367" s="24"/>
      <c r="E2367" s="17"/>
      <c r="F2367" s="17"/>
      <c r="G2367" s="17"/>
      <c r="H2367" s="17"/>
      <c r="I2367" s="17" t="s">
        <v>36</v>
      </c>
      <c r="J2367" s="32"/>
      <c r="K2367" s="17"/>
      <c r="L2367" s="38"/>
      <c r="M2367" s="17"/>
      <c r="N2367" s="17"/>
      <c r="O2367" s="17"/>
      <c r="P2367" s="12" t="s">
        <v>150</v>
      </c>
      <c r="Q2367" s="12"/>
      <c r="R2367" s="12"/>
      <c r="S2367" s="12"/>
      <c r="T2367" s="12"/>
      <c r="U2367" s="12"/>
      <c r="V2367" s="12"/>
      <c r="Z2367" s="12"/>
      <c r="AA2367" s="12"/>
      <c r="AB2367" s="12"/>
      <c r="AC2367" s="12"/>
      <c r="AD2367" s="12"/>
      <c r="AE2367" s="12"/>
    </row>
    <row r="2368" customFormat="false" ht="15.75" hidden="false" customHeight="false" outlineLevel="0" collapsed="false">
      <c r="A2368" s="12" t="s">
        <v>31</v>
      </c>
      <c r="B2368" s="13"/>
      <c r="C2368" s="16" t="s">
        <v>8123</v>
      </c>
      <c r="D2368" s="24"/>
      <c r="E2368" s="17"/>
      <c r="F2368" s="17"/>
      <c r="G2368" s="17"/>
      <c r="H2368" s="17"/>
      <c r="I2368" s="17" t="s">
        <v>36</v>
      </c>
      <c r="J2368" s="32"/>
      <c r="K2368" s="17"/>
      <c r="L2368" s="38"/>
      <c r="M2368" s="17"/>
      <c r="N2368" s="17"/>
      <c r="O2368" s="17"/>
      <c r="P2368" s="12" t="s">
        <v>150</v>
      </c>
      <c r="Q2368" s="12"/>
      <c r="R2368" s="12"/>
      <c r="S2368" s="12"/>
      <c r="T2368" s="12"/>
      <c r="U2368" s="12"/>
      <c r="V2368" s="12"/>
      <c r="Z2368" s="12"/>
      <c r="AA2368" s="12"/>
      <c r="AB2368" s="12"/>
      <c r="AC2368" s="12"/>
      <c r="AD2368" s="12"/>
      <c r="AE2368" s="12"/>
    </row>
    <row r="2369" customFormat="false" ht="15.75" hidden="false" customHeight="false" outlineLevel="0" collapsed="false">
      <c r="A2369" s="12" t="s">
        <v>31</v>
      </c>
      <c r="B2369" s="13"/>
      <c r="C2369" s="16" t="s">
        <v>8124</v>
      </c>
      <c r="D2369" s="24"/>
      <c r="E2369" s="17"/>
      <c r="F2369" s="17"/>
      <c r="G2369" s="17"/>
      <c r="H2369" s="17"/>
      <c r="I2369" s="17" t="s">
        <v>36</v>
      </c>
      <c r="J2369" s="32"/>
      <c r="K2369" s="17"/>
      <c r="L2369" s="38"/>
      <c r="M2369" s="17"/>
      <c r="N2369" s="17"/>
      <c r="O2369" s="17"/>
      <c r="P2369" s="12" t="s">
        <v>150</v>
      </c>
      <c r="Q2369" s="12"/>
      <c r="R2369" s="12"/>
      <c r="S2369" s="12"/>
      <c r="T2369" s="12"/>
      <c r="U2369" s="12"/>
      <c r="V2369" s="12"/>
      <c r="Z2369" s="12"/>
      <c r="AA2369" s="12"/>
      <c r="AB2369" s="12"/>
      <c r="AC2369" s="12"/>
      <c r="AD2369" s="12"/>
      <c r="AE2369" s="12"/>
    </row>
    <row r="2370" customFormat="false" ht="15.75" hidden="false" customHeight="false" outlineLevel="0" collapsed="false">
      <c r="A2370" s="12"/>
      <c r="B2370" s="13"/>
      <c r="C2370" s="16" t="s">
        <v>8125</v>
      </c>
      <c r="D2370" s="24"/>
      <c r="E2370" s="17"/>
      <c r="F2370" s="17"/>
      <c r="G2370" s="17"/>
      <c r="H2370" s="17"/>
      <c r="I2370" s="17" t="s">
        <v>36</v>
      </c>
      <c r="J2370" s="32"/>
      <c r="K2370" s="17"/>
      <c r="L2370" s="38"/>
      <c r="M2370" s="17"/>
      <c r="N2370" s="17"/>
      <c r="O2370" s="17"/>
      <c r="P2370" s="12" t="s">
        <v>150</v>
      </c>
      <c r="Q2370" s="12"/>
      <c r="R2370" s="12"/>
      <c r="S2370" s="12"/>
      <c r="T2370" s="12"/>
      <c r="U2370" s="12"/>
      <c r="V2370" s="12"/>
      <c r="Z2370" s="12"/>
      <c r="AA2370" s="12"/>
      <c r="AB2370" s="12"/>
      <c r="AC2370" s="12"/>
      <c r="AD2370" s="12"/>
      <c r="AE2370" s="12"/>
    </row>
    <row r="2371" customFormat="false" ht="15.75" hidden="false" customHeight="false" outlineLevel="0" collapsed="false">
      <c r="A2371" s="12" t="s">
        <v>31</v>
      </c>
      <c r="B2371" s="13"/>
      <c r="C2371" s="16" t="s">
        <v>8126</v>
      </c>
      <c r="D2371" s="24"/>
      <c r="E2371" s="17"/>
      <c r="F2371" s="17"/>
      <c r="G2371" s="17"/>
      <c r="H2371" s="17"/>
      <c r="I2371" s="17" t="s">
        <v>36</v>
      </c>
      <c r="J2371" s="32"/>
      <c r="K2371" s="17"/>
      <c r="L2371" s="38"/>
      <c r="M2371" s="17"/>
      <c r="N2371" s="17"/>
      <c r="O2371" s="17"/>
      <c r="P2371" s="12" t="s">
        <v>150</v>
      </c>
      <c r="Q2371" s="12"/>
      <c r="R2371" s="12"/>
      <c r="S2371" s="12"/>
      <c r="T2371" s="12"/>
      <c r="U2371" s="12"/>
      <c r="V2371" s="12"/>
      <c r="Z2371" s="12"/>
      <c r="AA2371" s="12"/>
      <c r="AB2371" s="12"/>
      <c r="AC2371" s="12"/>
      <c r="AD2371" s="12"/>
      <c r="AE2371" s="12"/>
    </row>
    <row r="2372" customFormat="false" ht="15.75" hidden="false" customHeight="false" outlineLevel="0" collapsed="false">
      <c r="A2372" s="12"/>
      <c r="B2372" s="13"/>
      <c r="C2372" s="16" t="s">
        <v>8127</v>
      </c>
      <c r="D2372" s="24"/>
      <c r="E2372" s="17"/>
      <c r="F2372" s="17"/>
      <c r="G2372" s="17"/>
      <c r="H2372" s="17"/>
      <c r="I2372" s="17" t="s">
        <v>36</v>
      </c>
      <c r="J2372" s="32"/>
      <c r="K2372" s="17"/>
      <c r="L2372" s="38"/>
      <c r="M2372" s="17"/>
      <c r="N2372" s="17"/>
      <c r="O2372" s="17"/>
      <c r="P2372" s="12" t="s">
        <v>150</v>
      </c>
      <c r="Q2372" s="12"/>
      <c r="R2372" s="12"/>
      <c r="S2372" s="12"/>
      <c r="T2372" s="12"/>
      <c r="U2372" s="12"/>
      <c r="V2372" s="12"/>
      <c r="Z2372" s="12"/>
      <c r="AA2372" s="12"/>
      <c r="AB2372" s="12"/>
      <c r="AC2372" s="12"/>
      <c r="AD2372" s="12"/>
      <c r="AE2372" s="12"/>
    </row>
    <row r="2373" customFormat="false" ht="15.75" hidden="false" customHeight="false" outlineLevel="0" collapsed="false">
      <c r="A2373" s="12" t="s">
        <v>31</v>
      </c>
      <c r="B2373" s="13"/>
      <c r="C2373" s="16" t="s">
        <v>8128</v>
      </c>
      <c r="D2373" s="24"/>
      <c r="E2373" s="17"/>
      <c r="F2373" s="17"/>
      <c r="G2373" s="17"/>
      <c r="H2373" s="17"/>
      <c r="I2373" s="17" t="s">
        <v>36</v>
      </c>
      <c r="J2373" s="32"/>
      <c r="K2373" s="17"/>
      <c r="L2373" s="38"/>
      <c r="M2373" s="17"/>
      <c r="N2373" s="17"/>
      <c r="O2373" s="17"/>
      <c r="P2373" s="12" t="s">
        <v>150</v>
      </c>
      <c r="Q2373" s="12"/>
      <c r="R2373" s="12"/>
      <c r="S2373" s="12"/>
      <c r="T2373" s="12"/>
      <c r="U2373" s="12"/>
      <c r="V2373" s="12"/>
      <c r="Z2373" s="12"/>
      <c r="AA2373" s="12"/>
      <c r="AB2373" s="12"/>
      <c r="AC2373" s="12"/>
      <c r="AD2373" s="12"/>
      <c r="AE2373" s="12"/>
    </row>
    <row r="2374" customFormat="false" ht="15.75" hidden="false" customHeight="false" outlineLevel="0" collapsed="false">
      <c r="A2374" s="12" t="s">
        <v>31</v>
      </c>
      <c r="B2374" s="13"/>
      <c r="C2374" s="16" t="s">
        <v>8129</v>
      </c>
      <c r="D2374" s="24" t="s">
        <v>620</v>
      </c>
      <c r="E2374" s="17"/>
      <c r="F2374" s="17"/>
      <c r="G2374" s="17"/>
      <c r="H2374" s="17"/>
      <c r="I2374" s="17" t="s">
        <v>36</v>
      </c>
      <c r="J2374" s="32"/>
      <c r="K2374" s="17"/>
      <c r="L2374" s="38"/>
      <c r="M2374" s="17"/>
      <c r="N2374" s="17"/>
      <c r="O2374" s="17"/>
      <c r="P2374" s="12" t="s">
        <v>150</v>
      </c>
      <c r="Q2374" s="12"/>
      <c r="R2374" s="12"/>
      <c r="S2374" s="12"/>
      <c r="T2374" s="12"/>
      <c r="U2374" s="12"/>
      <c r="V2374" s="12"/>
      <c r="Z2374" s="12"/>
      <c r="AA2374" s="12"/>
      <c r="AB2374" s="12"/>
      <c r="AC2374" s="12"/>
      <c r="AD2374" s="12"/>
      <c r="AE2374" s="12"/>
    </row>
    <row r="2375" customFormat="false" ht="15.75" hidden="false" customHeight="false" outlineLevel="0" collapsed="false">
      <c r="A2375" s="12" t="s">
        <v>31</v>
      </c>
      <c r="B2375" s="13"/>
      <c r="C2375" s="16" t="s">
        <v>8130</v>
      </c>
      <c r="D2375" s="24"/>
      <c r="E2375" s="17"/>
      <c r="F2375" s="17"/>
      <c r="G2375" s="17"/>
      <c r="H2375" s="17"/>
      <c r="I2375" s="17" t="s">
        <v>36</v>
      </c>
      <c r="J2375" s="32"/>
      <c r="K2375" s="17"/>
      <c r="L2375" s="38"/>
      <c r="M2375" s="17"/>
      <c r="N2375" s="17"/>
      <c r="O2375" s="17"/>
      <c r="P2375" s="12" t="s">
        <v>150</v>
      </c>
      <c r="Q2375" s="12"/>
      <c r="R2375" s="12"/>
      <c r="S2375" s="12"/>
      <c r="T2375" s="12"/>
      <c r="U2375" s="12"/>
      <c r="V2375" s="12"/>
      <c r="Z2375" s="12"/>
      <c r="AA2375" s="12"/>
      <c r="AB2375" s="12"/>
      <c r="AC2375" s="12"/>
      <c r="AD2375" s="12"/>
      <c r="AE2375" s="12"/>
    </row>
    <row r="2376" customFormat="false" ht="15.75" hidden="false" customHeight="false" outlineLevel="0" collapsed="false">
      <c r="A2376" s="12" t="s">
        <v>31</v>
      </c>
      <c r="B2376" s="13"/>
      <c r="C2376" s="16" t="s">
        <v>8131</v>
      </c>
      <c r="D2376" s="24"/>
      <c r="E2376" s="17"/>
      <c r="F2376" s="17"/>
      <c r="G2376" s="17"/>
      <c r="H2376" s="17"/>
      <c r="I2376" s="17" t="s">
        <v>36</v>
      </c>
      <c r="J2376" s="32"/>
      <c r="K2376" s="17"/>
      <c r="L2376" s="38"/>
      <c r="M2376" s="17"/>
      <c r="N2376" s="17"/>
      <c r="O2376" s="17"/>
      <c r="P2376" s="12" t="s">
        <v>150</v>
      </c>
      <c r="Q2376" s="12"/>
      <c r="R2376" s="12"/>
      <c r="S2376" s="12"/>
      <c r="T2376" s="12"/>
      <c r="U2376" s="12"/>
      <c r="V2376" s="12"/>
      <c r="Z2376" s="12"/>
      <c r="AA2376" s="12"/>
      <c r="AB2376" s="12"/>
      <c r="AC2376" s="12"/>
      <c r="AD2376" s="12"/>
      <c r="AE2376" s="12"/>
    </row>
    <row r="2377" customFormat="false" ht="15.75" hidden="false" customHeight="false" outlineLevel="0" collapsed="false">
      <c r="A2377" s="12" t="s">
        <v>31</v>
      </c>
      <c r="B2377" s="13"/>
      <c r="C2377" s="16" t="s">
        <v>8132</v>
      </c>
      <c r="D2377" s="24"/>
      <c r="E2377" s="17"/>
      <c r="F2377" s="17"/>
      <c r="G2377" s="17"/>
      <c r="H2377" s="17"/>
      <c r="I2377" s="17" t="s">
        <v>36</v>
      </c>
      <c r="J2377" s="32"/>
      <c r="K2377" s="17"/>
      <c r="L2377" s="38"/>
      <c r="M2377" s="17"/>
      <c r="N2377" s="17"/>
      <c r="O2377" s="17"/>
      <c r="P2377" s="12" t="s">
        <v>150</v>
      </c>
      <c r="Q2377" s="12"/>
      <c r="R2377" s="12"/>
      <c r="S2377" s="12"/>
      <c r="T2377" s="12"/>
      <c r="U2377" s="12"/>
      <c r="V2377" s="12"/>
      <c r="Z2377" s="12"/>
      <c r="AA2377" s="12"/>
      <c r="AB2377" s="12"/>
      <c r="AC2377" s="12"/>
      <c r="AD2377" s="12"/>
      <c r="AE2377" s="12"/>
    </row>
    <row r="2378" customFormat="false" ht="15.75" hidden="false" customHeight="false" outlineLevel="0" collapsed="false">
      <c r="A2378" s="12"/>
      <c r="B2378" s="13"/>
      <c r="C2378" s="16" t="s">
        <v>8133</v>
      </c>
      <c r="D2378" s="24"/>
      <c r="E2378" s="17"/>
      <c r="F2378" s="17"/>
      <c r="G2378" s="17"/>
      <c r="H2378" s="17"/>
      <c r="I2378" s="17" t="s">
        <v>36</v>
      </c>
      <c r="J2378" s="32"/>
      <c r="K2378" s="17"/>
      <c r="L2378" s="38"/>
      <c r="M2378" s="17"/>
      <c r="N2378" s="17"/>
      <c r="O2378" s="17"/>
      <c r="P2378" s="12" t="s">
        <v>150</v>
      </c>
      <c r="Q2378" s="12"/>
      <c r="R2378" s="12"/>
      <c r="S2378" s="12"/>
      <c r="T2378" s="12"/>
      <c r="U2378" s="12"/>
      <c r="V2378" s="12"/>
      <c r="Z2378" s="12"/>
      <c r="AA2378" s="12"/>
      <c r="AB2378" s="12"/>
      <c r="AC2378" s="12"/>
      <c r="AD2378" s="12"/>
      <c r="AE2378" s="12"/>
    </row>
    <row r="2379" customFormat="false" ht="15.75" hidden="false" customHeight="false" outlineLevel="0" collapsed="false">
      <c r="A2379" s="12" t="s">
        <v>31</v>
      </c>
      <c r="B2379" s="13"/>
      <c r="C2379" s="16" t="s">
        <v>8134</v>
      </c>
      <c r="D2379" s="24"/>
      <c r="E2379" s="17"/>
      <c r="F2379" s="17"/>
      <c r="G2379" s="17"/>
      <c r="H2379" s="17"/>
      <c r="I2379" s="17" t="s">
        <v>36</v>
      </c>
      <c r="J2379" s="32"/>
      <c r="K2379" s="17"/>
      <c r="L2379" s="38"/>
      <c r="M2379" s="17"/>
      <c r="N2379" s="17"/>
      <c r="O2379" s="17"/>
      <c r="P2379" s="12" t="s">
        <v>150</v>
      </c>
      <c r="Q2379" s="12"/>
      <c r="R2379" s="12"/>
      <c r="S2379" s="12"/>
      <c r="T2379" s="12"/>
      <c r="U2379" s="12"/>
      <c r="V2379" s="12"/>
      <c r="Z2379" s="12"/>
      <c r="AA2379" s="12"/>
      <c r="AB2379" s="12"/>
      <c r="AC2379" s="12"/>
      <c r="AD2379" s="12"/>
      <c r="AE2379" s="12"/>
    </row>
    <row r="2380" customFormat="false" ht="15.75" hidden="false" customHeight="false" outlineLevel="0" collapsed="false">
      <c r="A2380" s="12" t="s">
        <v>31</v>
      </c>
      <c r="B2380" s="13"/>
      <c r="C2380" s="16" t="s">
        <v>8135</v>
      </c>
      <c r="D2380" s="24"/>
      <c r="E2380" s="17"/>
      <c r="F2380" s="17"/>
      <c r="G2380" s="17"/>
      <c r="H2380" s="17"/>
      <c r="I2380" s="17" t="s">
        <v>36</v>
      </c>
      <c r="J2380" s="32"/>
      <c r="K2380" s="17"/>
      <c r="L2380" s="38"/>
      <c r="M2380" s="17"/>
      <c r="N2380" s="17"/>
      <c r="O2380" s="17"/>
      <c r="P2380" s="12" t="s">
        <v>150</v>
      </c>
      <c r="Q2380" s="12"/>
      <c r="R2380" s="12"/>
      <c r="S2380" s="12"/>
      <c r="T2380" s="12"/>
      <c r="U2380" s="12"/>
      <c r="V2380" s="12"/>
      <c r="Z2380" s="12"/>
      <c r="AA2380" s="12"/>
      <c r="AB2380" s="12"/>
      <c r="AC2380" s="12"/>
      <c r="AD2380" s="12"/>
      <c r="AE2380" s="12"/>
    </row>
    <row r="2381" customFormat="false" ht="15.75" hidden="false" customHeight="false" outlineLevel="0" collapsed="false">
      <c r="A2381" s="12" t="s">
        <v>31</v>
      </c>
      <c r="B2381" s="13"/>
      <c r="C2381" s="16" t="s">
        <v>8136</v>
      </c>
      <c r="D2381" s="24"/>
      <c r="E2381" s="17"/>
      <c r="F2381" s="17"/>
      <c r="G2381" s="17"/>
      <c r="H2381" s="17"/>
      <c r="I2381" s="17" t="s">
        <v>36</v>
      </c>
      <c r="J2381" s="32"/>
      <c r="K2381" s="17"/>
      <c r="L2381" s="38"/>
      <c r="M2381" s="17"/>
      <c r="N2381" s="17"/>
      <c r="O2381" s="17"/>
      <c r="P2381" s="12" t="s">
        <v>150</v>
      </c>
      <c r="Q2381" s="12"/>
      <c r="R2381" s="12"/>
      <c r="S2381" s="12"/>
      <c r="T2381" s="12"/>
      <c r="U2381" s="12"/>
      <c r="V2381" s="12"/>
      <c r="Z2381" s="12"/>
      <c r="AA2381" s="12"/>
      <c r="AB2381" s="12"/>
      <c r="AC2381" s="12"/>
      <c r="AD2381" s="12"/>
      <c r="AE2381" s="12"/>
    </row>
    <row r="2382" customFormat="false" ht="15.75" hidden="false" customHeight="false" outlineLevel="0" collapsed="false">
      <c r="A2382" s="12" t="s">
        <v>31</v>
      </c>
      <c r="B2382" s="13"/>
      <c r="C2382" s="16" t="s">
        <v>8137</v>
      </c>
      <c r="D2382" s="24"/>
      <c r="E2382" s="17"/>
      <c r="F2382" s="17"/>
      <c r="G2382" s="17"/>
      <c r="H2382" s="17"/>
      <c r="I2382" s="17" t="s">
        <v>36</v>
      </c>
      <c r="J2382" s="32"/>
      <c r="K2382" s="17"/>
      <c r="L2382" s="38"/>
      <c r="M2382" s="17"/>
      <c r="N2382" s="17"/>
      <c r="O2382" s="17"/>
      <c r="P2382" s="12" t="s">
        <v>150</v>
      </c>
      <c r="Q2382" s="12"/>
      <c r="R2382" s="12"/>
      <c r="S2382" s="12"/>
      <c r="T2382" s="12"/>
      <c r="U2382" s="12"/>
      <c r="V2382" s="12"/>
      <c r="Z2382" s="12"/>
      <c r="AA2382" s="12"/>
      <c r="AB2382" s="12"/>
      <c r="AC2382" s="12"/>
      <c r="AD2382" s="12"/>
      <c r="AE2382" s="12"/>
    </row>
    <row r="2383" customFormat="false" ht="15.75" hidden="false" customHeight="false" outlineLevel="0" collapsed="false">
      <c r="A2383" s="12" t="s">
        <v>31</v>
      </c>
      <c r="B2383" s="13"/>
      <c r="C2383" s="16" t="s">
        <v>8138</v>
      </c>
      <c r="D2383" s="24"/>
      <c r="E2383" s="17"/>
      <c r="F2383" s="17"/>
      <c r="G2383" s="17"/>
      <c r="H2383" s="17"/>
      <c r="I2383" s="17" t="s">
        <v>36</v>
      </c>
      <c r="J2383" s="32"/>
      <c r="K2383" s="17"/>
      <c r="L2383" s="38"/>
      <c r="M2383" s="17"/>
      <c r="N2383" s="17"/>
      <c r="O2383" s="17"/>
      <c r="P2383" s="12" t="s">
        <v>150</v>
      </c>
      <c r="Q2383" s="12"/>
      <c r="R2383" s="12"/>
      <c r="S2383" s="12"/>
      <c r="T2383" s="12"/>
      <c r="U2383" s="12"/>
      <c r="V2383" s="12"/>
      <c r="Z2383" s="12"/>
      <c r="AA2383" s="12"/>
      <c r="AB2383" s="12"/>
      <c r="AC2383" s="12"/>
      <c r="AD2383" s="12"/>
      <c r="AE2383" s="12"/>
    </row>
    <row r="2384" customFormat="false" ht="15.75" hidden="false" customHeight="false" outlineLevel="0" collapsed="false">
      <c r="A2384" s="12" t="s">
        <v>31</v>
      </c>
      <c r="B2384" s="13"/>
      <c r="C2384" s="16" t="s">
        <v>8139</v>
      </c>
      <c r="D2384" s="24"/>
      <c r="E2384" s="17"/>
      <c r="F2384" s="17"/>
      <c r="G2384" s="17"/>
      <c r="H2384" s="17"/>
      <c r="I2384" s="17" t="s">
        <v>36</v>
      </c>
      <c r="J2384" s="32"/>
      <c r="K2384" s="17"/>
      <c r="L2384" s="38"/>
      <c r="M2384" s="17"/>
      <c r="N2384" s="17"/>
      <c r="O2384" s="17"/>
      <c r="P2384" s="12" t="s">
        <v>150</v>
      </c>
      <c r="Q2384" s="12"/>
      <c r="R2384" s="12"/>
      <c r="S2384" s="12"/>
      <c r="T2384" s="12"/>
      <c r="U2384" s="12"/>
      <c r="V2384" s="12"/>
      <c r="Z2384" s="12"/>
      <c r="AA2384" s="12"/>
      <c r="AB2384" s="12"/>
      <c r="AC2384" s="12"/>
      <c r="AD2384" s="12"/>
      <c r="AE2384" s="12"/>
    </row>
    <row r="2385" customFormat="false" ht="15.75" hidden="false" customHeight="false" outlineLevel="0" collapsed="false">
      <c r="A2385" s="12" t="s">
        <v>31</v>
      </c>
      <c r="B2385" s="13"/>
      <c r="C2385" s="16" t="s">
        <v>8140</v>
      </c>
      <c r="D2385" s="24"/>
      <c r="E2385" s="17"/>
      <c r="F2385" s="17"/>
      <c r="G2385" s="17"/>
      <c r="H2385" s="17"/>
      <c r="I2385" s="17" t="s">
        <v>36</v>
      </c>
      <c r="J2385" s="32"/>
      <c r="K2385" s="17"/>
      <c r="L2385" s="38"/>
      <c r="M2385" s="17"/>
      <c r="N2385" s="17"/>
      <c r="O2385" s="17"/>
      <c r="P2385" s="12" t="s">
        <v>150</v>
      </c>
      <c r="Q2385" s="12"/>
      <c r="R2385" s="12"/>
      <c r="S2385" s="12"/>
      <c r="T2385" s="12"/>
      <c r="U2385" s="12"/>
      <c r="V2385" s="12"/>
      <c r="Z2385" s="12"/>
      <c r="AA2385" s="12"/>
      <c r="AB2385" s="12"/>
      <c r="AC2385" s="12"/>
      <c r="AD2385" s="12"/>
      <c r="AE2385" s="12"/>
    </row>
    <row r="2386" customFormat="false" ht="15.75" hidden="false" customHeight="false" outlineLevel="0" collapsed="false">
      <c r="A2386" s="12"/>
      <c r="B2386" s="13"/>
      <c r="C2386" s="16" t="s">
        <v>8141</v>
      </c>
      <c r="D2386" s="24"/>
      <c r="E2386" s="17"/>
      <c r="F2386" s="17"/>
      <c r="G2386" s="17"/>
      <c r="H2386" s="17"/>
      <c r="I2386" s="17" t="s">
        <v>36</v>
      </c>
      <c r="J2386" s="32"/>
      <c r="K2386" s="17"/>
      <c r="L2386" s="38"/>
      <c r="M2386" s="17"/>
      <c r="N2386" s="17"/>
      <c r="O2386" s="17"/>
      <c r="P2386" s="12" t="s">
        <v>150</v>
      </c>
      <c r="Q2386" s="12"/>
      <c r="R2386" s="12"/>
      <c r="S2386" s="12"/>
      <c r="T2386" s="12"/>
      <c r="U2386" s="12"/>
      <c r="V2386" s="12"/>
      <c r="Z2386" s="12"/>
      <c r="AA2386" s="12"/>
      <c r="AB2386" s="12"/>
      <c r="AC2386" s="12"/>
      <c r="AD2386" s="12"/>
      <c r="AE2386" s="12"/>
    </row>
    <row r="2387" customFormat="false" ht="15.75" hidden="false" customHeight="false" outlineLevel="0" collapsed="false">
      <c r="A2387" s="12" t="s">
        <v>31</v>
      </c>
      <c r="B2387" s="13"/>
      <c r="C2387" s="16" t="s">
        <v>8142</v>
      </c>
      <c r="D2387" s="24"/>
      <c r="E2387" s="17"/>
      <c r="F2387" s="17"/>
      <c r="G2387" s="17"/>
      <c r="H2387" s="17"/>
      <c r="I2387" s="17" t="s">
        <v>36</v>
      </c>
      <c r="J2387" s="32"/>
      <c r="K2387" s="17"/>
      <c r="L2387" s="38"/>
      <c r="M2387" s="17"/>
      <c r="N2387" s="17"/>
      <c r="O2387" s="17"/>
      <c r="P2387" s="12" t="s">
        <v>150</v>
      </c>
      <c r="Q2387" s="12"/>
      <c r="R2387" s="12"/>
      <c r="S2387" s="12"/>
      <c r="T2387" s="12"/>
      <c r="U2387" s="12"/>
      <c r="V2387" s="12"/>
      <c r="Z2387" s="12"/>
      <c r="AA2387" s="12"/>
      <c r="AB2387" s="12"/>
      <c r="AC2387" s="12"/>
      <c r="AD2387" s="12"/>
      <c r="AE2387" s="12"/>
    </row>
    <row r="2388" customFormat="false" ht="15.75" hidden="false" customHeight="false" outlineLevel="0" collapsed="false">
      <c r="A2388" s="12"/>
      <c r="B2388" s="13"/>
      <c r="C2388" s="16" t="s">
        <v>8143</v>
      </c>
      <c r="D2388" s="24"/>
      <c r="E2388" s="17"/>
      <c r="F2388" s="17"/>
      <c r="G2388" s="17"/>
      <c r="H2388" s="17"/>
      <c r="I2388" s="17" t="s">
        <v>36</v>
      </c>
      <c r="J2388" s="32"/>
      <c r="K2388" s="17"/>
      <c r="L2388" s="38"/>
      <c r="M2388" s="17"/>
      <c r="N2388" s="17"/>
      <c r="O2388" s="17"/>
      <c r="P2388" s="12" t="s">
        <v>150</v>
      </c>
      <c r="Q2388" s="12"/>
      <c r="R2388" s="12"/>
      <c r="S2388" s="12"/>
      <c r="T2388" s="12"/>
      <c r="U2388" s="12"/>
      <c r="V2388" s="12"/>
      <c r="Z2388" s="12"/>
      <c r="AA2388" s="12"/>
      <c r="AB2388" s="12"/>
      <c r="AC2388" s="12"/>
      <c r="AD2388" s="12"/>
      <c r="AE2388" s="12"/>
    </row>
    <row r="2389" customFormat="false" ht="15.75" hidden="false" customHeight="false" outlineLevel="0" collapsed="false">
      <c r="A2389" s="12"/>
      <c r="B2389" s="13"/>
      <c r="C2389" s="16" t="s">
        <v>8144</v>
      </c>
      <c r="D2389" s="24"/>
      <c r="E2389" s="17"/>
      <c r="F2389" s="17"/>
      <c r="G2389" s="17"/>
      <c r="H2389" s="17"/>
      <c r="I2389" s="17" t="s">
        <v>36</v>
      </c>
      <c r="J2389" s="32"/>
      <c r="K2389" s="17"/>
      <c r="L2389" s="38"/>
      <c r="M2389" s="17"/>
      <c r="N2389" s="17"/>
      <c r="O2389" s="17"/>
      <c r="P2389" s="12" t="s">
        <v>150</v>
      </c>
      <c r="Q2389" s="12"/>
      <c r="R2389" s="12"/>
      <c r="S2389" s="12"/>
      <c r="T2389" s="12"/>
      <c r="U2389" s="12"/>
      <c r="V2389" s="12"/>
      <c r="Z2389" s="12"/>
      <c r="AA2389" s="12"/>
      <c r="AB2389" s="12"/>
      <c r="AC2389" s="12"/>
      <c r="AD2389" s="12"/>
      <c r="AE2389" s="12"/>
    </row>
    <row r="2390" customFormat="false" ht="15.75" hidden="false" customHeight="false" outlineLevel="0" collapsed="false">
      <c r="A2390" s="12" t="s">
        <v>31</v>
      </c>
      <c r="B2390" s="13"/>
      <c r="C2390" s="16" t="s">
        <v>3924</v>
      </c>
      <c r="D2390" s="24"/>
      <c r="E2390" s="17"/>
      <c r="F2390" s="17"/>
      <c r="G2390" s="17"/>
      <c r="H2390" s="17"/>
      <c r="I2390" s="17" t="s">
        <v>36</v>
      </c>
      <c r="J2390" s="32"/>
      <c r="K2390" s="17"/>
      <c r="L2390" s="38"/>
      <c r="M2390" s="17"/>
      <c r="N2390" s="17"/>
      <c r="O2390" s="17"/>
      <c r="P2390" s="12" t="s">
        <v>150</v>
      </c>
      <c r="Q2390" s="12"/>
      <c r="R2390" s="12"/>
      <c r="S2390" s="12"/>
      <c r="T2390" s="12"/>
      <c r="U2390" s="12"/>
      <c r="V2390" s="12"/>
      <c r="Z2390" s="12"/>
      <c r="AA2390" s="12"/>
      <c r="AB2390" s="12"/>
      <c r="AC2390" s="12"/>
      <c r="AD2390" s="12"/>
      <c r="AE2390" s="12"/>
    </row>
    <row r="2391" customFormat="false" ht="15.75" hidden="false" customHeight="false" outlineLevel="0" collapsed="false">
      <c r="A2391" s="12" t="s">
        <v>31</v>
      </c>
      <c r="B2391" s="13"/>
      <c r="C2391" s="16" t="s">
        <v>8145</v>
      </c>
      <c r="D2391" s="24"/>
      <c r="E2391" s="17"/>
      <c r="F2391" s="17"/>
      <c r="G2391" s="17"/>
      <c r="H2391" s="17"/>
      <c r="I2391" s="17" t="s">
        <v>36</v>
      </c>
      <c r="J2391" s="32"/>
      <c r="K2391" s="17"/>
      <c r="L2391" s="38"/>
      <c r="M2391" s="17"/>
      <c r="N2391" s="17"/>
      <c r="O2391" s="17"/>
      <c r="P2391" s="12" t="s">
        <v>150</v>
      </c>
      <c r="Q2391" s="12"/>
      <c r="R2391" s="12"/>
      <c r="S2391" s="12"/>
      <c r="T2391" s="12"/>
      <c r="U2391" s="12"/>
      <c r="V2391" s="12"/>
      <c r="Z2391" s="12"/>
      <c r="AA2391" s="12"/>
      <c r="AB2391" s="12"/>
      <c r="AC2391" s="12"/>
      <c r="AD2391" s="12"/>
      <c r="AE2391" s="12"/>
    </row>
    <row r="2392" customFormat="false" ht="15.75" hidden="false" customHeight="false" outlineLevel="0" collapsed="false">
      <c r="A2392" s="12" t="s">
        <v>31</v>
      </c>
      <c r="B2392" s="13"/>
      <c r="C2392" s="16" t="s">
        <v>8146</v>
      </c>
      <c r="D2392" s="24"/>
      <c r="E2392" s="17"/>
      <c r="F2392" s="17"/>
      <c r="G2392" s="17"/>
      <c r="H2392" s="17"/>
      <c r="I2392" s="17" t="s">
        <v>36</v>
      </c>
      <c r="J2392" s="32"/>
      <c r="K2392" s="17"/>
      <c r="L2392" s="38"/>
      <c r="M2392" s="17"/>
      <c r="N2392" s="17"/>
      <c r="O2392" s="17"/>
      <c r="P2392" s="12" t="s">
        <v>150</v>
      </c>
      <c r="Q2392" s="12"/>
      <c r="R2392" s="12"/>
      <c r="S2392" s="12"/>
      <c r="T2392" s="12"/>
      <c r="U2392" s="12"/>
      <c r="V2392" s="12"/>
      <c r="Z2392" s="12"/>
      <c r="AA2392" s="12"/>
      <c r="AB2392" s="12"/>
      <c r="AC2392" s="12"/>
      <c r="AD2392" s="12"/>
      <c r="AE2392" s="12"/>
    </row>
    <row r="2393" customFormat="false" ht="15.75" hidden="false" customHeight="false" outlineLevel="0" collapsed="false">
      <c r="A2393" s="12" t="s">
        <v>31</v>
      </c>
      <c r="B2393" s="13"/>
      <c r="C2393" s="16" t="s">
        <v>8147</v>
      </c>
      <c r="D2393" s="24"/>
      <c r="E2393" s="17"/>
      <c r="F2393" s="17"/>
      <c r="G2393" s="17"/>
      <c r="H2393" s="17"/>
      <c r="I2393" s="17" t="s">
        <v>36</v>
      </c>
      <c r="J2393" s="32"/>
      <c r="K2393" s="17"/>
      <c r="L2393" s="38"/>
      <c r="M2393" s="17"/>
      <c r="N2393" s="17"/>
      <c r="O2393" s="17"/>
      <c r="P2393" s="12" t="s">
        <v>150</v>
      </c>
      <c r="Q2393" s="12"/>
      <c r="R2393" s="12"/>
      <c r="S2393" s="12"/>
      <c r="T2393" s="12"/>
      <c r="U2393" s="12"/>
      <c r="V2393" s="12"/>
      <c r="Z2393" s="12"/>
      <c r="AA2393" s="12"/>
      <c r="AB2393" s="12"/>
      <c r="AC2393" s="12"/>
      <c r="AD2393" s="12"/>
      <c r="AE2393" s="12"/>
    </row>
    <row r="2394" customFormat="false" ht="15.75" hidden="false" customHeight="false" outlineLevel="0" collapsed="false">
      <c r="A2394" s="12" t="s">
        <v>31</v>
      </c>
      <c r="B2394" s="13"/>
      <c r="C2394" s="16" t="s">
        <v>8148</v>
      </c>
      <c r="D2394" s="24"/>
      <c r="E2394" s="17"/>
      <c r="F2394" s="17"/>
      <c r="G2394" s="17"/>
      <c r="H2394" s="17"/>
      <c r="I2394" s="17" t="s">
        <v>36</v>
      </c>
      <c r="J2394" s="32"/>
      <c r="K2394" s="17"/>
      <c r="L2394" s="38"/>
      <c r="M2394" s="17"/>
      <c r="N2394" s="17"/>
      <c r="O2394" s="17"/>
      <c r="P2394" s="12" t="s">
        <v>150</v>
      </c>
      <c r="Q2394" s="12"/>
      <c r="R2394" s="12"/>
      <c r="S2394" s="12"/>
      <c r="T2394" s="12"/>
      <c r="U2394" s="12"/>
      <c r="V2394" s="12"/>
      <c r="Z2394" s="12"/>
      <c r="AA2394" s="12"/>
      <c r="AB2394" s="12"/>
      <c r="AC2394" s="12"/>
      <c r="AD2394" s="12"/>
      <c r="AE2394" s="12"/>
    </row>
    <row r="2395" customFormat="false" ht="15.75" hidden="false" customHeight="false" outlineLevel="0" collapsed="false">
      <c r="A2395" s="12" t="s">
        <v>31</v>
      </c>
      <c r="B2395" s="13"/>
      <c r="C2395" s="16" t="s">
        <v>8149</v>
      </c>
      <c r="D2395" s="24"/>
      <c r="E2395" s="17"/>
      <c r="F2395" s="17"/>
      <c r="G2395" s="17"/>
      <c r="H2395" s="17"/>
      <c r="I2395" s="17" t="s">
        <v>36</v>
      </c>
      <c r="J2395" s="32"/>
      <c r="K2395" s="17"/>
      <c r="L2395" s="38"/>
      <c r="M2395" s="17"/>
      <c r="N2395" s="17"/>
      <c r="O2395" s="17"/>
      <c r="P2395" s="12" t="s">
        <v>150</v>
      </c>
      <c r="Q2395" s="12"/>
      <c r="R2395" s="12"/>
      <c r="S2395" s="12"/>
      <c r="T2395" s="12"/>
      <c r="U2395" s="12"/>
      <c r="V2395" s="12"/>
      <c r="Z2395" s="12"/>
      <c r="AA2395" s="12"/>
      <c r="AB2395" s="12"/>
      <c r="AC2395" s="12"/>
      <c r="AD2395" s="12"/>
      <c r="AE2395" s="12"/>
    </row>
    <row r="2396" customFormat="false" ht="15.75" hidden="false" customHeight="false" outlineLevel="0" collapsed="false">
      <c r="A2396" s="12" t="s">
        <v>31</v>
      </c>
      <c r="B2396" s="13"/>
      <c r="C2396" s="16" t="s">
        <v>8150</v>
      </c>
      <c r="D2396" s="24"/>
      <c r="E2396" s="17"/>
      <c r="F2396" s="17"/>
      <c r="G2396" s="17"/>
      <c r="H2396" s="17"/>
      <c r="I2396" s="17" t="s">
        <v>36</v>
      </c>
      <c r="J2396" s="32"/>
      <c r="K2396" s="17"/>
      <c r="L2396" s="38"/>
      <c r="M2396" s="17"/>
      <c r="N2396" s="17"/>
      <c r="O2396" s="17"/>
      <c r="P2396" s="12" t="s">
        <v>150</v>
      </c>
      <c r="Q2396" s="12"/>
      <c r="R2396" s="12"/>
      <c r="S2396" s="12"/>
      <c r="T2396" s="12"/>
      <c r="U2396" s="12"/>
      <c r="V2396" s="12"/>
      <c r="Z2396" s="12"/>
      <c r="AA2396" s="12"/>
      <c r="AB2396" s="12"/>
      <c r="AC2396" s="12"/>
      <c r="AD2396" s="12"/>
      <c r="AE2396" s="12"/>
    </row>
    <row r="2397" customFormat="false" ht="15.75" hidden="false" customHeight="false" outlineLevel="0" collapsed="false">
      <c r="A2397" s="12" t="s">
        <v>31</v>
      </c>
      <c r="B2397" s="13"/>
      <c r="C2397" s="16" t="s">
        <v>8151</v>
      </c>
      <c r="D2397" s="24"/>
      <c r="E2397" s="17"/>
      <c r="F2397" s="17"/>
      <c r="G2397" s="17"/>
      <c r="H2397" s="17"/>
      <c r="I2397" s="17" t="s">
        <v>36</v>
      </c>
      <c r="J2397" s="32"/>
      <c r="K2397" s="17"/>
      <c r="L2397" s="38"/>
      <c r="M2397" s="17"/>
      <c r="N2397" s="17"/>
      <c r="O2397" s="17"/>
      <c r="P2397" s="12" t="s">
        <v>150</v>
      </c>
      <c r="Q2397" s="12"/>
      <c r="R2397" s="12"/>
      <c r="S2397" s="12"/>
      <c r="T2397" s="12"/>
      <c r="U2397" s="12"/>
      <c r="V2397" s="12"/>
      <c r="Z2397" s="12"/>
      <c r="AA2397" s="12"/>
      <c r="AB2397" s="12"/>
      <c r="AC2397" s="12"/>
      <c r="AD2397" s="12"/>
      <c r="AE2397" s="12"/>
    </row>
    <row r="2398" customFormat="false" ht="15.75" hidden="false" customHeight="false" outlineLevel="0" collapsed="false">
      <c r="A2398" s="12" t="s">
        <v>31</v>
      </c>
      <c r="B2398" s="13"/>
      <c r="C2398" s="16" t="s">
        <v>8152</v>
      </c>
      <c r="D2398" s="24"/>
      <c r="E2398" s="17"/>
      <c r="F2398" s="17"/>
      <c r="G2398" s="17"/>
      <c r="H2398" s="17"/>
      <c r="I2398" s="17" t="s">
        <v>36</v>
      </c>
      <c r="J2398" s="32"/>
      <c r="K2398" s="17"/>
      <c r="L2398" s="38"/>
      <c r="M2398" s="17"/>
      <c r="N2398" s="17"/>
      <c r="O2398" s="17"/>
      <c r="P2398" s="12" t="s">
        <v>150</v>
      </c>
      <c r="Q2398" s="12"/>
      <c r="R2398" s="12"/>
      <c r="S2398" s="12"/>
      <c r="T2398" s="12"/>
      <c r="U2398" s="12"/>
      <c r="V2398" s="12"/>
      <c r="Z2398" s="12"/>
      <c r="AA2398" s="12"/>
      <c r="AB2398" s="12"/>
      <c r="AC2398" s="12"/>
      <c r="AD2398" s="12"/>
      <c r="AE2398" s="12"/>
    </row>
    <row r="2399" customFormat="false" ht="15.75" hidden="false" customHeight="false" outlineLevel="0" collapsed="false">
      <c r="A2399" s="12" t="s">
        <v>31</v>
      </c>
      <c r="B2399" s="13"/>
      <c r="C2399" s="16" t="s">
        <v>3432</v>
      </c>
      <c r="D2399" s="24"/>
      <c r="E2399" s="17"/>
      <c r="F2399" s="17"/>
      <c r="G2399" s="17"/>
      <c r="H2399" s="17"/>
      <c r="I2399" s="17" t="s">
        <v>36</v>
      </c>
      <c r="J2399" s="32"/>
      <c r="K2399" s="17"/>
      <c r="L2399" s="38"/>
      <c r="M2399" s="17"/>
      <c r="N2399" s="17"/>
      <c r="O2399" s="17"/>
      <c r="P2399" s="12" t="s">
        <v>150</v>
      </c>
      <c r="Q2399" s="12"/>
      <c r="R2399" s="12"/>
      <c r="S2399" s="12"/>
      <c r="T2399" s="12"/>
      <c r="U2399" s="12"/>
      <c r="V2399" s="12"/>
      <c r="Z2399" s="12"/>
      <c r="AA2399" s="12"/>
      <c r="AB2399" s="12"/>
      <c r="AC2399" s="12"/>
      <c r="AD2399" s="12"/>
      <c r="AE2399" s="12"/>
    </row>
    <row r="2400" customFormat="false" ht="15.75" hidden="false" customHeight="false" outlineLevel="0" collapsed="false">
      <c r="A2400" s="12" t="s">
        <v>31</v>
      </c>
      <c r="B2400" s="13"/>
      <c r="C2400" s="16" t="s">
        <v>8153</v>
      </c>
      <c r="D2400" s="24"/>
      <c r="E2400" s="17"/>
      <c r="F2400" s="17"/>
      <c r="G2400" s="17"/>
      <c r="H2400" s="17"/>
      <c r="I2400" s="17" t="s">
        <v>36</v>
      </c>
      <c r="J2400" s="32"/>
      <c r="K2400" s="17"/>
      <c r="L2400" s="38"/>
      <c r="M2400" s="17"/>
      <c r="N2400" s="17"/>
      <c r="O2400" s="17"/>
      <c r="P2400" s="12" t="s">
        <v>150</v>
      </c>
      <c r="Q2400" s="12"/>
      <c r="R2400" s="12"/>
      <c r="S2400" s="12"/>
      <c r="T2400" s="12"/>
      <c r="U2400" s="12"/>
      <c r="V2400" s="12"/>
      <c r="Z2400" s="12"/>
      <c r="AA2400" s="12"/>
      <c r="AB2400" s="12"/>
      <c r="AC2400" s="12"/>
      <c r="AD2400" s="12"/>
      <c r="AE2400" s="12"/>
    </row>
    <row r="2401" customFormat="false" ht="15.75" hidden="false" customHeight="false" outlineLevel="0" collapsed="false">
      <c r="A2401" s="12" t="s">
        <v>31</v>
      </c>
      <c r="B2401" s="13"/>
      <c r="C2401" s="16" t="s">
        <v>8154</v>
      </c>
      <c r="D2401" s="24"/>
      <c r="E2401" s="17"/>
      <c r="F2401" s="17"/>
      <c r="G2401" s="17"/>
      <c r="H2401" s="17"/>
      <c r="I2401" s="17" t="s">
        <v>36</v>
      </c>
      <c r="J2401" s="32"/>
      <c r="K2401" s="17"/>
      <c r="L2401" s="38"/>
      <c r="M2401" s="17"/>
      <c r="N2401" s="17"/>
      <c r="O2401" s="17"/>
      <c r="P2401" s="12" t="s">
        <v>150</v>
      </c>
      <c r="Q2401" s="12"/>
      <c r="R2401" s="12"/>
      <c r="S2401" s="12"/>
      <c r="T2401" s="12"/>
      <c r="U2401" s="12"/>
      <c r="V2401" s="12"/>
      <c r="Z2401" s="12"/>
      <c r="AA2401" s="12"/>
      <c r="AB2401" s="12"/>
      <c r="AC2401" s="12"/>
      <c r="AD2401" s="12"/>
      <c r="AE2401" s="12"/>
    </row>
    <row r="2402" customFormat="false" ht="15.75" hidden="false" customHeight="false" outlineLevel="0" collapsed="false">
      <c r="A2402" s="12" t="s">
        <v>31</v>
      </c>
      <c r="B2402" s="13"/>
      <c r="C2402" s="16" t="s">
        <v>8155</v>
      </c>
      <c r="D2402" s="24" t="s">
        <v>152</v>
      </c>
      <c r="E2402" s="17"/>
      <c r="F2402" s="17"/>
      <c r="G2402" s="17"/>
      <c r="H2402" s="17"/>
      <c r="I2402" s="17" t="s">
        <v>36</v>
      </c>
      <c r="J2402" s="32"/>
      <c r="K2402" s="17"/>
      <c r="L2402" s="38"/>
      <c r="M2402" s="17"/>
      <c r="N2402" s="17"/>
      <c r="O2402" s="17"/>
      <c r="P2402" s="12" t="s">
        <v>150</v>
      </c>
      <c r="Q2402" s="12"/>
      <c r="R2402" s="12"/>
      <c r="S2402" s="12"/>
      <c r="T2402" s="12"/>
      <c r="U2402" s="12"/>
      <c r="V2402" s="12"/>
      <c r="Z2402" s="12"/>
      <c r="AA2402" s="12"/>
      <c r="AB2402" s="12"/>
      <c r="AC2402" s="12"/>
      <c r="AD2402" s="12"/>
      <c r="AE2402" s="12"/>
    </row>
    <row r="2403" customFormat="false" ht="15.75" hidden="false" customHeight="false" outlineLevel="0" collapsed="false">
      <c r="A2403" s="12" t="s">
        <v>31</v>
      </c>
      <c r="B2403" s="13"/>
      <c r="C2403" s="16" t="s">
        <v>8156</v>
      </c>
      <c r="D2403" s="24"/>
      <c r="E2403" s="17"/>
      <c r="F2403" s="17"/>
      <c r="G2403" s="17"/>
      <c r="H2403" s="17"/>
      <c r="I2403" s="17" t="s">
        <v>36</v>
      </c>
      <c r="J2403" s="32"/>
      <c r="K2403" s="17"/>
      <c r="L2403" s="38"/>
      <c r="M2403" s="17"/>
      <c r="N2403" s="17"/>
      <c r="O2403" s="17"/>
      <c r="P2403" s="12" t="s">
        <v>150</v>
      </c>
      <c r="Q2403" s="12"/>
      <c r="R2403" s="12"/>
      <c r="S2403" s="12"/>
      <c r="T2403" s="12"/>
      <c r="U2403" s="12"/>
      <c r="V2403" s="12"/>
      <c r="Z2403" s="12"/>
      <c r="AA2403" s="12"/>
      <c r="AB2403" s="12"/>
      <c r="AC2403" s="12"/>
      <c r="AD2403" s="12"/>
      <c r="AE2403" s="12"/>
    </row>
    <row r="2404" customFormat="false" ht="15.75" hidden="false" customHeight="false" outlineLevel="0" collapsed="false">
      <c r="A2404" s="12" t="s">
        <v>31</v>
      </c>
      <c r="B2404" s="13"/>
      <c r="C2404" s="16" t="s">
        <v>8157</v>
      </c>
      <c r="D2404" s="24"/>
      <c r="E2404" s="17"/>
      <c r="F2404" s="17"/>
      <c r="G2404" s="17"/>
      <c r="H2404" s="17"/>
      <c r="I2404" s="17" t="s">
        <v>36</v>
      </c>
      <c r="J2404" s="32"/>
      <c r="K2404" s="17"/>
      <c r="L2404" s="38"/>
      <c r="M2404" s="17"/>
      <c r="N2404" s="17"/>
      <c r="O2404" s="17"/>
      <c r="P2404" s="12" t="s">
        <v>150</v>
      </c>
      <c r="Q2404" s="12"/>
      <c r="R2404" s="12"/>
      <c r="S2404" s="12"/>
      <c r="T2404" s="12"/>
      <c r="U2404" s="12"/>
      <c r="V2404" s="12"/>
      <c r="Z2404" s="12"/>
      <c r="AA2404" s="12"/>
      <c r="AB2404" s="12"/>
      <c r="AC2404" s="12"/>
      <c r="AD2404" s="12"/>
      <c r="AE2404" s="12"/>
    </row>
    <row r="2405" customFormat="false" ht="15.75" hidden="false" customHeight="false" outlineLevel="0" collapsed="false">
      <c r="A2405" s="12" t="s">
        <v>31</v>
      </c>
      <c r="B2405" s="13"/>
      <c r="C2405" s="16" t="s">
        <v>8158</v>
      </c>
      <c r="D2405" s="24"/>
      <c r="E2405" s="17"/>
      <c r="F2405" s="17"/>
      <c r="G2405" s="17"/>
      <c r="H2405" s="17"/>
      <c r="I2405" s="17" t="s">
        <v>36</v>
      </c>
      <c r="J2405" s="32"/>
      <c r="K2405" s="17"/>
      <c r="L2405" s="38"/>
      <c r="M2405" s="17"/>
      <c r="N2405" s="17"/>
      <c r="O2405" s="17"/>
      <c r="P2405" s="12" t="s">
        <v>150</v>
      </c>
      <c r="Q2405" s="12"/>
      <c r="R2405" s="12"/>
      <c r="S2405" s="12"/>
      <c r="T2405" s="12"/>
      <c r="U2405" s="12"/>
      <c r="V2405" s="12"/>
      <c r="Z2405" s="12"/>
      <c r="AA2405" s="12"/>
      <c r="AB2405" s="12"/>
      <c r="AC2405" s="12"/>
      <c r="AD2405" s="12"/>
      <c r="AE2405" s="12"/>
    </row>
    <row r="2406" customFormat="false" ht="15.75" hidden="false" customHeight="false" outlineLevel="0" collapsed="false">
      <c r="A2406" s="12" t="s">
        <v>31</v>
      </c>
      <c r="B2406" s="13"/>
      <c r="C2406" s="16" t="s">
        <v>8159</v>
      </c>
      <c r="D2406" s="24"/>
      <c r="E2406" s="17"/>
      <c r="F2406" s="17"/>
      <c r="G2406" s="17"/>
      <c r="H2406" s="17"/>
      <c r="I2406" s="17" t="s">
        <v>36</v>
      </c>
      <c r="J2406" s="32"/>
      <c r="K2406" s="17"/>
      <c r="L2406" s="38"/>
      <c r="M2406" s="17"/>
      <c r="N2406" s="17"/>
      <c r="O2406" s="17"/>
      <c r="P2406" s="12" t="s">
        <v>150</v>
      </c>
      <c r="Q2406" s="12"/>
      <c r="R2406" s="12"/>
      <c r="S2406" s="12"/>
      <c r="T2406" s="12"/>
      <c r="U2406" s="12"/>
      <c r="V2406" s="12"/>
      <c r="Z2406" s="12"/>
      <c r="AA2406" s="12"/>
      <c r="AB2406" s="12"/>
      <c r="AC2406" s="12"/>
      <c r="AD2406" s="12"/>
      <c r="AE2406" s="12"/>
    </row>
    <row r="2407" customFormat="false" ht="15.75" hidden="false" customHeight="false" outlineLevel="0" collapsed="false">
      <c r="A2407" s="12" t="s">
        <v>31</v>
      </c>
      <c r="B2407" s="13"/>
      <c r="C2407" s="57" t="s">
        <v>8160</v>
      </c>
      <c r="D2407" s="24"/>
      <c r="E2407" s="17"/>
      <c r="F2407" s="17"/>
      <c r="G2407" s="17"/>
      <c r="H2407" s="17"/>
      <c r="I2407" s="17" t="s">
        <v>36</v>
      </c>
      <c r="J2407" s="32"/>
      <c r="K2407" s="17"/>
      <c r="L2407" s="38"/>
      <c r="M2407" s="17"/>
      <c r="N2407" s="17"/>
      <c r="O2407" s="17"/>
      <c r="P2407" s="12" t="s">
        <v>150</v>
      </c>
      <c r="Q2407" s="12"/>
      <c r="R2407" s="12"/>
      <c r="S2407" s="12"/>
      <c r="T2407" s="12"/>
      <c r="U2407" s="12"/>
      <c r="V2407" s="12"/>
      <c r="Z2407" s="12"/>
      <c r="AA2407" s="12"/>
      <c r="AB2407" s="12"/>
      <c r="AC2407" s="12"/>
      <c r="AD2407" s="12"/>
      <c r="AE2407" s="12"/>
    </row>
    <row r="2408" customFormat="false" ht="15.75" hidden="false" customHeight="false" outlineLevel="0" collapsed="false">
      <c r="A2408" s="12" t="s">
        <v>31</v>
      </c>
      <c r="B2408" s="13"/>
      <c r="C2408" s="16" t="s">
        <v>8161</v>
      </c>
      <c r="D2408" s="24"/>
      <c r="E2408" s="17"/>
      <c r="F2408" s="17"/>
      <c r="G2408" s="17"/>
      <c r="H2408" s="17"/>
      <c r="I2408" s="17" t="s">
        <v>36</v>
      </c>
      <c r="J2408" s="32"/>
      <c r="K2408" s="17"/>
      <c r="L2408" s="38"/>
      <c r="M2408" s="17"/>
      <c r="N2408" s="17"/>
      <c r="O2408" s="17"/>
      <c r="P2408" s="12" t="s">
        <v>150</v>
      </c>
      <c r="Q2408" s="12"/>
      <c r="R2408" s="12"/>
      <c r="S2408" s="12"/>
      <c r="T2408" s="12"/>
      <c r="U2408" s="12"/>
      <c r="V2408" s="12"/>
      <c r="Z2408" s="12"/>
      <c r="AA2408" s="12"/>
      <c r="AB2408" s="12"/>
      <c r="AC2408" s="12"/>
      <c r="AD2408" s="12"/>
      <c r="AE2408" s="12"/>
    </row>
    <row r="2409" customFormat="false" ht="15.75" hidden="false" customHeight="false" outlineLevel="0" collapsed="false">
      <c r="A2409" s="12" t="s">
        <v>31</v>
      </c>
      <c r="B2409" s="13"/>
      <c r="C2409" s="16" t="s">
        <v>8159</v>
      </c>
      <c r="D2409" s="24"/>
      <c r="E2409" s="17"/>
      <c r="F2409" s="17"/>
      <c r="G2409" s="17"/>
      <c r="H2409" s="17"/>
      <c r="I2409" s="17" t="s">
        <v>36</v>
      </c>
      <c r="J2409" s="32"/>
      <c r="K2409" s="17"/>
      <c r="L2409" s="38"/>
      <c r="M2409" s="17"/>
      <c r="N2409" s="17"/>
      <c r="O2409" s="17"/>
      <c r="P2409" s="12" t="s">
        <v>150</v>
      </c>
      <c r="Q2409" s="12"/>
      <c r="R2409" s="12"/>
      <c r="S2409" s="12"/>
      <c r="T2409" s="12"/>
      <c r="U2409" s="12"/>
      <c r="V2409" s="12"/>
      <c r="Z2409" s="12"/>
      <c r="AA2409" s="12"/>
      <c r="AB2409" s="12"/>
      <c r="AC2409" s="12"/>
      <c r="AD2409" s="12"/>
      <c r="AE2409" s="12"/>
    </row>
    <row r="2410" customFormat="false" ht="15.75" hidden="false" customHeight="false" outlineLevel="0" collapsed="false">
      <c r="A2410" s="12" t="s">
        <v>31</v>
      </c>
      <c r="B2410" s="13"/>
      <c r="C2410" s="16" t="s">
        <v>8162</v>
      </c>
      <c r="D2410" s="24"/>
      <c r="E2410" s="17"/>
      <c r="F2410" s="17"/>
      <c r="G2410" s="17"/>
      <c r="H2410" s="17"/>
      <c r="I2410" s="17" t="s">
        <v>36</v>
      </c>
      <c r="J2410" s="32"/>
      <c r="K2410" s="17"/>
      <c r="L2410" s="38"/>
      <c r="M2410" s="17"/>
      <c r="N2410" s="17"/>
      <c r="O2410" s="17"/>
      <c r="P2410" s="12" t="s">
        <v>150</v>
      </c>
      <c r="Q2410" s="12"/>
      <c r="R2410" s="12"/>
      <c r="S2410" s="12"/>
      <c r="T2410" s="12"/>
      <c r="U2410" s="12"/>
      <c r="V2410" s="12"/>
      <c r="Z2410" s="12"/>
      <c r="AA2410" s="12"/>
      <c r="AB2410" s="12"/>
      <c r="AC2410" s="12"/>
      <c r="AD2410" s="12"/>
      <c r="AE2410" s="12"/>
    </row>
    <row r="2411" customFormat="false" ht="15.75" hidden="false" customHeight="false" outlineLevel="0" collapsed="false">
      <c r="A2411" s="12" t="s">
        <v>31</v>
      </c>
      <c r="B2411" s="13"/>
      <c r="C2411" s="16" t="s">
        <v>8163</v>
      </c>
      <c r="D2411" s="24"/>
      <c r="E2411" s="17"/>
      <c r="F2411" s="17"/>
      <c r="G2411" s="17"/>
      <c r="H2411" s="17"/>
      <c r="I2411" s="17" t="s">
        <v>36</v>
      </c>
      <c r="J2411" s="32"/>
      <c r="K2411" s="17"/>
      <c r="L2411" s="38"/>
      <c r="M2411" s="17"/>
      <c r="N2411" s="17"/>
      <c r="O2411" s="17"/>
      <c r="P2411" s="12" t="s">
        <v>150</v>
      </c>
      <c r="Q2411" s="12"/>
      <c r="R2411" s="12"/>
      <c r="S2411" s="12"/>
      <c r="T2411" s="12"/>
      <c r="U2411" s="12"/>
      <c r="V2411" s="12"/>
      <c r="Z2411" s="12"/>
      <c r="AA2411" s="12"/>
      <c r="AB2411" s="12"/>
      <c r="AC2411" s="12"/>
      <c r="AD2411" s="12"/>
      <c r="AE2411" s="12"/>
    </row>
    <row r="2412" customFormat="false" ht="15.75" hidden="false" customHeight="false" outlineLevel="0" collapsed="false">
      <c r="A2412" s="12" t="s">
        <v>31</v>
      </c>
      <c r="B2412" s="13"/>
      <c r="C2412" s="16" t="s">
        <v>8164</v>
      </c>
      <c r="D2412" s="24"/>
      <c r="E2412" s="17"/>
      <c r="F2412" s="17"/>
      <c r="G2412" s="17"/>
      <c r="H2412" s="17"/>
      <c r="I2412" s="17" t="s">
        <v>36</v>
      </c>
      <c r="J2412" s="32"/>
      <c r="K2412" s="17"/>
      <c r="L2412" s="38"/>
      <c r="M2412" s="17"/>
      <c r="N2412" s="17"/>
      <c r="O2412" s="17"/>
      <c r="P2412" s="12" t="s">
        <v>150</v>
      </c>
      <c r="Q2412" s="12"/>
      <c r="R2412" s="12"/>
      <c r="S2412" s="12"/>
      <c r="T2412" s="12"/>
      <c r="U2412" s="12"/>
      <c r="V2412" s="12"/>
      <c r="Z2412" s="12"/>
      <c r="AA2412" s="12"/>
      <c r="AB2412" s="12"/>
      <c r="AC2412" s="12"/>
      <c r="AD2412" s="12"/>
      <c r="AE2412" s="12"/>
    </row>
    <row r="2413" customFormat="false" ht="15.75" hidden="false" customHeight="false" outlineLevel="0" collapsed="false">
      <c r="A2413" s="12" t="s">
        <v>31</v>
      </c>
      <c r="B2413" s="13"/>
      <c r="C2413" s="16" t="s">
        <v>8165</v>
      </c>
      <c r="D2413" s="24"/>
      <c r="E2413" s="17"/>
      <c r="F2413" s="17"/>
      <c r="G2413" s="17"/>
      <c r="H2413" s="17"/>
      <c r="I2413" s="17" t="s">
        <v>36</v>
      </c>
      <c r="J2413" s="32"/>
      <c r="K2413" s="17"/>
      <c r="L2413" s="38"/>
      <c r="M2413" s="17"/>
      <c r="N2413" s="17"/>
      <c r="O2413" s="17"/>
      <c r="P2413" s="12" t="s">
        <v>150</v>
      </c>
      <c r="Q2413" s="12"/>
      <c r="R2413" s="12"/>
      <c r="S2413" s="12"/>
      <c r="T2413" s="12"/>
      <c r="U2413" s="12"/>
      <c r="V2413" s="12"/>
      <c r="Z2413" s="12"/>
      <c r="AA2413" s="12"/>
      <c r="AB2413" s="12"/>
      <c r="AC2413" s="12"/>
      <c r="AD2413" s="12"/>
      <c r="AE2413" s="12"/>
    </row>
    <row r="2414" customFormat="false" ht="15.75" hidden="false" customHeight="false" outlineLevel="0" collapsed="false">
      <c r="A2414" s="12" t="s">
        <v>31</v>
      </c>
      <c r="B2414" s="13"/>
      <c r="C2414" s="16" t="s">
        <v>8166</v>
      </c>
      <c r="D2414" s="24"/>
      <c r="E2414" s="17"/>
      <c r="F2414" s="17"/>
      <c r="G2414" s="17"/>
      <c r="H2414" s="17"/>
      <c r="I2414" s="17" t="s">
        <v>36</v>
      </c>
      <c r="J2414" s="32"/>
      <c r="K2414" s="17"/>
      <c r="L2414" s="38"/>
      <c r="M2414" s="17"/>
      <c r="N2414" s="17"/>
      <c r="O2414" s="17"/>
      <c r="P2414" s="12" t="s">
        <v>150</v>
      </c>
      <c r="Q2414" s="12"/>
      <c r="R2414" s="12"/>
      <c r="S2414" s="12"/>
      <c r="T2414" s="12"/>
      <c r="U2414" s="12"/>
      <c r="V2414" s="12"/>
      <c r="Z2414" s="12"/>
      <c r="AA2414" s="12"/>
      <c r="AB2414" s="12"/>
      <c r="AC2414" s="12"/>
      <c r="AD2414" s="12"/>
      <c r="AE2414" s="12"/>
    </row>
    <row r="2415" customFormat="false" ht="15.75" hidden="false" customHeight="false" outlineLevel="0" collapsed="false">
      <c r="A2415" s="12" t="s">
        <v>31</v>
      </c>
      <c r="B2415" s="13"/>
      <c r="C2415" s="16" t="s">
        <v>8167</v>
      </c>
      <c r="D2415" s="24"/>
      <c r="E2415" s="17"/>
      <c r="F2415" s="17"/>
      <c r="G2415" s="17"/>
      <c r="H2415" s="17"/>
      <c r="I2415" s="17" t="s">
        <v>36</v>
      </c>
      <c r="J2415" s="32"/>
      <c r="K2415" s="17"/>
      <c r="L2415" s="38"/>
      <c r="M2415" s="17"/>
      <c r="N2415" s="17"/>
      <c r="O2415" s="17"/>
      <c r="P2415" s="12" t="s">
        <v>150</v>
      </c>
      <c r="Q2415" s="12"/>
      <c r="R2415" s="12"/>
      <c r="S2415" s="12"/>
      <c r="T2415" s="12"/>
      <c r="U2415" s="12"/>
      <c r="V2415" s="12"/>
      <c r="Z2415" s="12"/>
      <c r="AA2415" s="12"/>
      <c r="AB2415" s="12"/>
      <c r="AC2415" s="12"/>
      <c r="AD2415" s="12"/>
      <c r="AE2415" s="12"/>
    </row>
    <row r="2416" customFormat="false" ht="15.75" hidden="false" customHeight="false" outlineLevel="0" collapsed="false">
      <c r="A2416" s="12" t="s">
        <v>31</v>
      </c>
      <c r="B2416" s="13" t="s">
        <v>32</v>
      </c>
      <c r="C2416" s="16" t="s">
        <v>8168</v>
      </c>
      <c r="D2416" s="24" t="s">
        <v>94</v>
      </c>
      <c r="E2416" s="25" t="s">
        <v>8169</v>
      </c>
      <c r="F2416" s="17" t="s">
        <v>8170</v>
      </c>
      <c r="G2416" s="17" t="s">
        <v>8171</v>
      </c>
      <c r="H2416" s="17" t="s">
        <v>439</v>
      </c>
      <c r="I2416" s="17" t="s">
        <v>36</v>
      </c>
      <c r="J2416" s="32" t="s">
        <v>231</v>
      </c>
      <c r="K2416" s="17" t="n">
        <v>2014</v>
      </c>
      <c r="L2416" s="38" t="s">
        <v>275</v>
      </c>
      <c r="M2416" s="17" t="s">
        <v>74</v>
      </c>
      <c r="N2416" s="17" t="s">
        <v>8172</v>
      </c>
      <c r="O2416" s="17" t="s">
        <v>675</v>
      </c>
      <c r="P2416" s="12" t="s">
        <v>526</v>
      </c>
      <c r="Q2416" s="12"/>
      <c r="R2416" s="12"/>
      <c r="S2416" s="12"/>
      <c r="T2416" s="12"/>
      <c r="U2416" s="12"/>
      <c r="V2416" s="12"/>
      <c r="Z2416" s="12"/>
      <c r="AA2416" s="12" t="n">
        <v>5</v>
      </c>
      <c r="AB2416" s="12"/>
      <c r="AC2416" s="59" t="s">
        <v>8173</v>
      </c>
      <c r="AD2416" s="12"/>
      <c r="AE2416" s="12"/>
    </row>
    <row r="2417" customFormat="false" ht="15.75" hidden="false" customHeight="false" outlineLevel="0" collapsed="false">
      <c r="A2417" s="12"/>
      <c r="B2417" s="13" t="s">
        <v>32</v>
      </c>
      <c r="C2417" s="16" t="s">
        <v>8174</v>
      </c>
      <c r="D2417" s="24" t="s">
        <v>94</v>
      </c>
      <c r="E2417" s="127" t="s">
        <v>8175</v>
      </c>
      <c r="F2417" s="17" t="s">
        <v>8176</v>
      </c>
      <c r="G2417" s="17" t="s">
        <v>2292</v>
      </c>
      <c r="H2417" s="17" t="s">
        <v>72</v>
      </c>
      <c r="I2417" s="17" t="s">
        <v>36</v>
      </c>
      <c r="J2417" s="32" t="s">
        <v>3260</v>
      </c>
      <c r="K2417" s="17" t="n">
        <v>1951</v>
      </c>
      <c r="L2417" s="38" t="s">
        <v>275</v>
      </c>
      <c r="M2417" s="17" t="s">
        <v>74</v>
      </c>
      <c r="N2417" s="17"/>
      <c r="O2417" s="17" t="s">
        <v>675</v>
      </c>
      <c r="P2417" s="12" t="s">
        <v>526</v>
      </c>
      <c r="Q2417" s="12"/>
      <c r="R2417" s="12"/>
      <c r="S2417" s="12"/>
      <c r="T2417" s="12"/>
      <c r="U2417" s="12"/>
      <c r="V2417" s="12"/>
      <c r="Z2417" s="12"/>
      <c r="AA2417" s="12"/>
      <c r="AB2417" s="12"/>
      <c r="AC2417" s="12"/>
      <c r="AD2417" s="12"/>
      <c r="AE2417" s="12"/>
    </row>
    <row r="2418" customFormat="false" ht="15.75" hidden="false" customHeight="false" outlineLevel="0" collapsed="false">
      <c r="A2418" s="12" t="s">
        <v>31</v>
      </c>
      <c r="B2418" s="13" t="s">
        <v>1376</v>
      </c>
      <c r="C2418" s="16" t="s">
        <v>8177</v>
      </c>
      <c r="D2418" s="24" t="s">
        <v>94</v>
      </c>
      <c r="E2418" s="127" t="s">
        <v>8178</v>
      </c>
      <c r="F2418" s="17" t="s">
        <v>8179</v>
      </c>
      <c r="G2418" s="17" t="s">
        <v>8180</v>
      </c>
      <c r="H2418" s="17"/>
      <c r="I2418" s="17" t="s">
        <v>882</v>
      </c>
      <c r="J2418" s="32" t="s">
        <v>3260</v>
      </c>
      <c r="K2418" s="17" t="n">
        <v>2007</v>
      </c>
      <c r="L2418" s="38" t="s">
        <v>109</v>
      </c>
      <c r="M2418" s="17" t="s">
        <v>74</v>
      </c>
      <c r="N2418" s="17"/>
      <c r="O2418" s="17" t="s">
        <v>7928</v>
      </c>
      <c r="P2418" s="12" t="s">
        <v>526</v>
      </c>
      <c r="Q2418" s="12"/>
      <c r="R2418" s="12"/>
      <c r="S2418" s="12"/>
      <c r="T2418" s="12"/>
      <c r="U2418" s="12"/>
      <c r="V2418" s="12"/>
      <c r="Z2418" s="12"/>
      <c r="AA2418" s="12" t="n">
        <v>5</v>
      </c>
      <c r="AB2418" s="12"/>
      <c r="AC2418" s="59" t="s">
        <v>8181</v>
      </c>
      <c r="AD2418" s="12"/>
      <c r="AE2418" s="12"/>
    </row>
    <row r="2419" customFormat="false" ht="15.75" hidden="false" customHeight="false" outlineLevel="0" collapsed="false">
      <c r="A2419" s="12" t="s">
        <v>31</v>
      </c>
      <c r="B2419" s="13" t="s">
        <v>1376</v>
      </c>
      <c r="C2419" s="16" t="s">
        <v>8182</v>
      </c>
      <c r="D2419" s="24" t="s">
        <v>51</v>
      </c>
      <c r="E2419" s="25" t="s">
        <v>8183</v>
      </c>
      <c r="F2419" s="17" t="s">
        <v>8184</v>
      </c>
      <c r="G2419" s="17" t="s">
        <v>8185</v>
      </c>
      <c r="H2419" s="17"/>
      <c r="I2419" s="17" t="s">
        <v>92</v>
      </c>
      <c r="J2419" s="32" t="s">
        <v>58</v>
      </c>
      <c r="K2419" s="17" t="n">
        <v>2009</v>
      </c>
      <c r="L2419" s="38"/>
      <c r="M2419" s="17" t="s">
        <v>147</v>
      </c>
      <c r="N2419" s="17" t="s">
        <v>8186</v>
      </c>
      <c r="O2419" s="17" t="s">
        <v>7928</v>
      </c>
      <c r="P2419" s="12" t="s">
        <v>526</v>
      </c>
      <c r="Q2419" s="12"/>
      <c r="R2419" s="12"/>
      <c r="S2419" s="12"/>
      <c r="T2419" s="12"/>
      <c r="U2419" s="12"/>
      <c r="V2419" s="12"/>
      <c r="Z2419" s="12"/>
      <c r="AA2419" s="12" t="n">
        <v>5</v>
      </c>
      <c r="AB2419" s="12" t="s">
        <v>8187</v>
      </c>
      <c r="AC2419" s="59" t="s">
        <v>8188</v>
      </c>
      <c r="AD2419" s="12"/>
      <c r="AE2419" s="12"/>
    </row>
    <row r="2420" customFormat="false" ht="15.75" hidden="false" customHeight="false" outlineLevel="0" collapsed="false">
      <c r="A2420" s="12" t="s">
        <v>31</v>
      </c>
      <c r="B2420" s="13" t="s">
        <v>1376</v>
      </c>
      <c r="C2420" s="16" t="s">
        <v>1819</v>
      </c>
      <c r="D2420" s="24" t="s">
        <v>620</v>
      </c>
      <c r="E2420" s="53" t="s">
        <v>8189</v>
      </c>
      <c r="F2420" s="17" t="s">
        <v>8190</v>
      </c>
      <c r="G2420" s="17" t="s">
        <v>754</v>
      </c>
      <c r="H2420" s="17"/>
      <c r="I2420" s="17" t="s">
        <v>166</v>
      </c>
      <c r="J2420" s="32" t="s">
        <v>3260</v>
      </c>
      <c r="K2420" s="17"/>
      <c r="L2420" s="38"/>
      <c r="M2420" s="17" t="s">
        <v>147</v>
      </c>
      <c r="N2420" s="17" t="s">
        <v>8191</v>
      </c>
      <c r="O2420" s="17" t="s">
        <v>149</v>
      </c>
      <c r="P2420" s="12" t="s">
        <v>526</v>
      </c>
      <c r="Q2420" s="12"/>
      <c r="R2420" s="12"/>
      <c r="S2420" s="12"/>
      <c r="T2420" s="12"/>
      <c r="U2420" s="12"/>
      <c r="V2420" s="12"/>
      <c r="W2420" s="17"/>
      <c r="X2420" s="17"/>
      <c r="Y2420" s="17"/>
      <c r="Z2420" s="12"/>
      <c r="AA2420" s="12" t="n">
        <v>5</v>
      </c>
      <c r="AB2420" s="12"/>
      <c r="AC2420" s="59" t="s">
        <v>8192</v>
      </c>
      <c r="AD2420" s="12"/>
      <c r="AE2420" s="12"/>
      <c r="AF2420" s="17"/>
      <c r="AG2420" s="17"/>
    </row>
    <row r="2421" customFormat="false" ht="15.75" hidden="false" customHeight="false" outlineLevel="0" collapsed="false">
      <c r="A2421" s="12" t="s">
        <v>31</v>
      </c>
      <c r="B2421" s="13" t="s">
        <v>1376</v>
      </c>
      <c r="C2421" s="16" t="s">
        <v>8193</v>
      </c>
      <c r="D2421" s="24" t="s">
        <v>8194</v>
      </c>
      <c r="E2421" s="25" t="s">
        <v>8195</v>
      </c>
      <c r="F2421" s="17" t="s">
        <v>8196</v>
      </c>
      <c r="G2421" s="17" t="s">
        <v>754</v>
      </c>
      <c r="H2421" s="17"/>
      <c r="I2421" s="17" t="s">
        <v>166</v>
      </c>
      <c r="J2421" s="32" t="s">
        <v>1565</v>
      </c>
      <c r="K2421" s="17" t="n">
        <v>2012</v>
      </c>
      <c r="L2421" s="38"/>
      <c r="M2421" s="17" t="s">
        <v>147</v>
      </c>
      <c r="N2421" s="49" t="s">
        <v>8197</v>
      </c>
      <c r="O2421" s="17" t="s">
        <v>149</v>
      </c>
      <c r="P2421" s="12" t="s">
        <v>526</v>
      </c>
      <c r="Q2421" s="12"/>
      <c r="R2421" s="12"/>
      <c r="S2421" s="12"/>
      <c r="T2421" s="12"/>
      <c r="U2421" s="12"/>
      <c r="V2421" s="12"/>
      <c r="W2421" s="17"/>
      <c r="X2421" s="17"/>
      <c r="Y2421" s="17"/>
      <c r="Z2421" s="12"/>
      <c r="AA2421" s="12" t="n">
        <v>5</v>
      </c>
      <c r="AB2421" s="12" t="s">
        <v>8198</v>
      </c>
      <c r="AC2421" s="59" t="s">
        <v>6314</v>
      </c>
      <c r="AD2421" s="12"/>
      <c r="AE2421" s="12"/>
      <c r="AF2421" s="17"/>
      <c r="AG2421" s="17"/>
    </row>
    <row r="2422" customFormat="false" ht="15.75" hidden="false" customHeight="false" outlineLevel="0" collapsed="false">
      <c r="A2422" s="12" t="s">
        <v>31</v>
      </c>
      <c r="B2422" s="13" t="s">
        <v>1376</v>
      </c>
      <c r="C2422" s="98" t="s">
        <v>5814</v>
      </c>
      <c r="D2422" s="24" t="s">
        <v>51</v>
      </c>
      <c r="E2422" s="25" t="s">
        <v>5815</v>
      </c>
      <c r="F2422" s="98" t="s">
        <v>8199</v>
      </c>
      <c r="G2422" s="98" t="s">
        <v>3469</v>
      </c>
      <c r="H2422" s="17"/>
      <c r="I2422" s="17" t="s">
        <v>166</v>
      </c>
      <c r="J2422" s="17" t="s">
        <v>167</v>
      </c>
      <c r="K2422" s="17" t="n">
        <v>1995</v>
      </c>
      <c r="L2422" s="38" t="s">
        <v>99</v>
      </c>
      <c r="M2422" s="34" t="s">
        <v>8200</v>
      </c>
      <c r="N2422" s="17"/>
      <c r="O2422" s="17" t="s">
        <v>7928</v>
      </c>
      <c r="P2422" s="12" t="s">
        <v>526</v>
      </c>
      <c r="Q2422" s="12"/>
      <c r="R2422" s="12"/>
      <c r="S2422" s="12"/>
      <c r="T2422" s="12"/>
      <c r="U2422" s="12"/>
      <c r="V2422" s="12"/>
      <c r="W2422" s="17"/>
      <c r="X2422" s="17"/>
      <c r="Y2422" s="17"/>
      <c r="Z2422" s="12"/>
      <c r="AA2422" s="12" t="n">
        <v>5</v>
      </c>
      <c r="AB2422" s="12" t="s">
        <v>8201</v>
      </c>
      <c r="AC2422" s="59" t="s">
        <v>8202</v>
      </c>
      <c r="AD2422" s="12"/>
      <c r="AE2422" s="12"/>
      <c r="AF2422" s="17"/>
      <c r="AG2422" s="17"/>
    </row>
    <row r="2423" customFormat="false" ht="15.75" hidden="false" customHeight="false" outlineLevel="0" collapsed="false">
      <c r="A2423" s="12" t="s">
        <v>31</v>
      </c>
      <c r="B2423" s="13" t="s">
        <v>1376</v>
      </c>
      <c r="C2423" s="98" t="s">
        <v>8203</v>
      </c>
      <c r="D2423" s="24" t="s">
        <v>94</v>
      </c>
      <c r="E2423" s="53" t="s">
        <v>8204</v>
      </c>
      <c r="F2423" s="98" t="s">
        <v>8205</v>
      </c>
      <c r="G2423" s="17" t="s">
        <v>7958</v>
      </c>
      <c r="H2423" s="17"/>
      <c r="I2423" s="17" t="s">
        <v>2073</v>
      </c>
      <c r="J2423" s="17" t="s">
        <v>2283</v>
      </c>
      <c r="K2423" s="17" t="n">
        <v>1999</v>
      </c>
      <c r="L2423" s="38" t="s">
        <v>275</v>
      </c>
      <c r="M2423" s="17"/>
      <c r="N2423" s="17"/>
      <c r="O2423" s="17" t="s">
        <v>675</v>
      </c>
      <c r="P2423" s="12" t="s">
        <v>526</v>
      </c>
      <c r="Q2423" s="12"/>
      <c r="R2423" s="12"/>
      <c r="S2423" s="12"/>
      <c r="T2423" s="12"/>
      <c r="U2423" s="12"/>
      <c r="V2423" s="12"/>
      <c r="W2423" s="17"/>
      <c r="X2423" s="17"/>
      <c r="Y2423" s="17"/>
      <c r="Z2423" s="12"/>
      <c r="AA2423" s="12" t="n">
        <v>5</v>
      </c>
      <c r="AB2423" s="12" t="s">
        <v>8201</v>
      </c>
      <c r="AC2423" s="59" t="s">
        <v>8202</v>
      </c>
      <c r="AD2423" s="12"/>
      <c r="AE2423" s="12"/>
      <c r="AF2423" s="17"/>
      <c r="AG2423" s="17"/>
    </row>
    <row r="2424" customFormat="false" ht="15.75" hidden="false" customHeight="false" outlineLevel="0" collapsed="false">
      <c r="A2424" s="12" t="s">
        <v>31</v>
      </c>
      <c r="B2424" s="13" t="s">
        <v>1376</v>
      </c>
      <c r="C2424" s="16" t="s">
        <v>8206</v>
      </c>
      <c r="D2424" s="24" t="s">
        <v>94</v>
      </c>
      <c r="E2424" s="25" t="s">
        <v>8207</v>
      </c>
      <c r="F2424" s="17" t="s">
        <v>8208</v>
      </c>
      <c r="G2424" s="17" t="s">
        <v>8180</v>
      </c>
      <c r="H2424" s="17"/>
      <c r="I2424" s="17" t="s">
        <v>882</v>
      </c>
      <c r="J2424" s="47" t="s">
        <v>1816</v>
      </c>
      <c r="K2424" s="17" t="n">
        <v>1995</v>
      </c>
      <c r="L2424" s="17"/>
      <c r="M2424" s="17" t="s">
        <v>147</v>
      </c>
      <c r="N2424" s="17"/>
      <c r="O2424" s="17" t="s">
        <v>7928</v>
      </c>
      <c r="P2424" s="12" t="s">
        <v>526</v>
      </c>
      <c r="Q2424" s="12"/>
      <c r="R2424" s="12"/>
      <c r="S2424" s="12"/>
      <c r="T2424" s="12"/>
      <c r="U2424" s="12"/>
      <c r="V2424" s="12"/>
      <c r="W2424" s="17"/>
      <c r="X2424" s="17"/>
      <c r="Y2424" s="17"/>
      <c r="Z2424" s="12"/>
      <c r="AA2424" s="12" t="n">
        <v>5</v>
      </c>
      <c r="AB2424" s="12" t="s">
        <v>8201</v>
      </c>
      <c r="AC2424" s="59" t="s">
        <v>8202</v>
      </c>
      <c r="AD2424" s="12"/>
      <c r="AE2424" s="12"/>
      <c r="AF2424" s="17"/>
      <c r="AG2424" s="17"/>
    </row>
    <row r="2425" customFormat="false" ht="15.75" hidden="false" customHeight="false" outlineLevel="0" collapsed="false">
      <c r="A2425" s="12" t="s">
        <v>31</v>
      </c>
      <c r="B2425" s="13" t="s">
        <v>1376</v>
      </c>
      <c r="C2425" s="39" t="s">
        <v>8209</v>
      </c>
      <c r="D2425" s="24" t="s">
        <v>94</v>
      </c>
      <c r="E2425" s="53" t="s">
        <v>8210</v>
      </c>
      <c r="F2425" s="17" t="s">
        <v>8211</v>
      </c>
      <c r="G2425" s="17" t="s">
        <v>8212</v>
      </c>
      <c r="H2425" s="17"/>
      <c r="I2425" s="17" t="s">
        <v>8213</v>
      </c>
      <c r="J2425" s="32" t="s">
        <v>3260</v>
      </c>
      <c r="K2425" s="17"/>
      <c r="L2425" s="47" t="s">
        <v>73</v>
      </c>
      <c r="M2425" s="17" t="s">
        <v>74</v>
      </c>
      <c r="N2425" s="17"/>
      <c r="O2425" s="17" t="s">
        <v>7928</v>
      </c>
      <c r="P2425" s="12" t="s">
        <v>526</v>
      </c>
      <c r="Q2425" s="12"/>
      <c r="R2425" s="12"/>
      <c r="S2425" s="12"/>
      <c r="T2425" s="12"/>
      <c r="U2425" s="12"/>
      <c r="V2425" s="12"/>
      <c r="W2425" s="17"/>
      <c r="X2425" s="17"/>
      <c r="Y2425" s="17"/>
      <c r="Z2425" s="12"/>
      <c r="AA2425" s="12" t="n">
        <v>5</v>
      </c>
      <c r="AB2425" s="12" t="s">
        <v>8201</v>
      </c>
      <c r="AC2425" s="59" t="s">
        <v>8202</v>
      </c>
      <c r="AD2425" s="12"/>
      <c r="AE2425" s="12"/>
      <c r="AF2425" s="17"/>
      <c r="AG2425" s="17"/>
    </row>
    <row r="2426" customFormat="false" ht="15.75" hidden="false" customHeight="false" outlineLevel="0" collapsed="false">
      <c r="A2426" s="12" t="s">
        <v>31</v>
      </c>
      <c r="B2426" s="13" t="s">
        <v>1376</v>
      </c>
      <c r="C2426" s="16" t="s">
        <v>8214</v>
      </c>
      <c r="D2426" s="24" t="s">
        <v>94</v>
      </c>
      <c r="E2426" s="53" t="s">
        <v>8215</v>
      </c>
      <c r="F2426" s="17" t="s">
        <v>8216</v>
      </c>
      <c r="G2426" s="17" t="s">
        <v>8217</v>
      </c>
      <c r="H2426" s="17"/>
      <c r="I2426" s="17" t="s">
        <v>8218</v>
      </c>
      <c r="J2426" s="32" t="s">
        <v>3260</v>
      </c>
      <c r="K2426" s="17" t="n">
        <v>1993</v>
      </c>
      <c r="L2426" s="17"/>
      <c r="M2426" s="17" t="s">
        <v>74</v>
      </c>
      <c r="N2426" s="17"/>
      <c r="O2426" s="17" t="s">
        <v>7928</v>
      </c>
      <c r="P2426" s="12" t="s">
        <v>526</v>
      </c>
      <c r="Q2426" s="12"/>
      <c r="R2426" s="12"/>
      <c r="S2426" s="12"/>
      <c r="T2426" s="12"/>
      <c r="U2426" s="12"/>
      <c r="V2426" s="12"/>
      <c r="W2426" s="17"/>
      <c r="X2426" s="17"/>
      <c r="Y2426" s="17"/>
      <c r="Z2426" s="12"/>
      <c r="AA2426" s="12" t="n">
        <v>5</v>
      </c>
      <c r="AB2426" s="12" t="s">
        <v>8201</v>
      </c>
      <c r="AC2426" s="59" t="s">
        <v>8202</v>
      </c>
      <c r="AD2426" s="12"/>
      <c r="AE2426" s="12"/>
    </row>
    <row r="2427" customFormat="false" ht="15.75" hidden="false" customHeight="false" outlineLevel="0" collapsed="false">
      <c r="A2427" s="12" t="s">
        <v>31</v>
      </c>
      <c r="B2427" s="13" t="s">
        <v>1376</v>
      </c>
      <c r="C2427" s="16" t="s">
        <v>8219</v>
      </c>
      <c r="D2427" s="24" t="s">
        <v>94</v>
      </c>
      <c r="E2427" s="53" t="s">
        <v>8220</v>
      </c>
      <c r="F2427" s="17" t="s">
        <v>8221</v>
      </c>
      <c r="G2427" s="17" t="s">
        <v>8222</v>
      </c>
      <c r="H2427" s="17"/>
      <c r="I2427" s="17" t="s">
        <v>8213</v>
      </c>
      <c r="J2427" s="47" t="s">
        <v>1816</v>
      </c>
      <c r="K2427" s="17" t="n">
        <v>1983</v>
      </c>
      <c r="L2427" s="17"/>
      <c r="M2427" s="17" t="s">
        <v>74</v>
      </c>
      <c r="N2427" s="17"/>
      <c r="O2427" s="17" t="s">
        <v>7928</v>
      </c>
      <c r="P2427" s="12" t="s">
        <v>526</v>
      </c>
      <c r="Q2427" s="12"/>
      <c r="R2427" s="12"/>
      <c r="S2427" s="12"/>
      <c r="T2427" s="12"/>
      <c r="U2427" s="12"/>
      <c r="V2427" s="12"/>
      <c r="W2427" s="17"/>
      <c r="X2427" s="17"/>
      <c r="Y2427" s="17"/>
      <c r="Z2427" s="12"/>
      <c r="AA2427" s="12" t="n">
        <v>5</v>
      </c>
      <c r="AB2427" s="12" t="s">
        <v>8201</v>
      </c>
      <c r="AC2427" s="59" t="s">
        <v>8202</v>
      </c>
      <c r="AD2427" s="12"/>
      <c r="AE2427" s="12"/>
    </row>
  </sheetData>
  <hyperlinks>
    <hyperlink ref="E3" r:id="rId1" display="http://www.stickerride.com"/>
    <hyperlink ref="E5" r:id="rId2" display="http://www.observatoriourbano.org.pe/modulo_vigilancia_ciudadana/04_normas_nacionales.html"/>
    <hyperlink ref="E6" r:id="rId3" display="http://www.agrococoainvestment.com"/>
    <hyperlink ref="E8" r:id="rId4" display="http://cropin.co.in"/>
    <hyperlink ref="E9" r:id="rId5" display="http://cultivandofuturo.tumblr.com/"/>
    <hyperlink ref="E10" r:id="rId6" display="http://mvigour.com/FarmingInstructor.html"/>
    <hyperlink ref="E12" r:id="rId7" display="http://www.getlocavore.com"/>
    <hyperlink ref="E13" r:id="rId8" display="http://www.manditrades.com/"/>
    <hyperlink ref="E15" r:id="rId9" display="http://www.mkulimayoung.co.ke/"/>
    <hyperlink ref="E16" r:id="rId10" display="http://www.solapa4.com/en"/>
    <hyperlink ref="E17" r:id="rId11" display="http://www.agricinghana.com"/>
    <hyperlink ref="E18" r:id="rId12" display="http://weathersafe.co.uk/"/>
    <hyperlink ref="E19" r:id="rId13" display="http://www.whyhunger.org"/>
    <hyperlink ref="E20" r:id="rId14" display="http://www.wastenotoc.org"/>
    <hyperlink ref="E21" r:id="rId15" display="http://www.greenishbright.com"/>
    <hyperlink ref="E22" r:id="rId16" display="http://www.hintsolutions.ru/"/>
    <hyperlink ref="AC24" r:id="rId17" display="http://actuatedfutures.com/"/>
    <hyperlink ref="E25" r:id="rId18" display="http://www.crowdvoice.org/"/>
    <hyperlink ref="P25" r:id="rId19" display="http://www.civicstack.org/"/>
    <hyperlink ref="E26" r:id="rId20" display="http://www.ideas42.org/"/>
    <hyperlink ref="E27" r:id="rId21" display="http://www.filmcontact.com/member/stefan-coetzer"/>
    <hyperlink ref="E28" r:id="rId22" display="http://www.emoksha.org/about.html"/>
    <hyperlink ref="E29" r:id="rId23" display="http://www.dmlabs.org"/>
    <hyperlink ref="E34" r:id="rId24" display="http://www.scribd.com/doc/232433281/Open-Financial-Data"/>
    <hyperlink ref="AC36" r:id="rId25" display="https://aistemos.com/story/"/>
    <hyperlink ref="E37" r:id="rId26" display="http://www.allens.com.au/"/>
    <hyperlink ref="E40" r:id="rId27" display="https://www.ashurst.com"/>
    <hyperlink ref="AC42" r:id="rId28" display="http://www.actionaid.org.uk/campaign/ftse-100-tax-haven-tracker"/>
    <hyperlink ref="AD42" r:id="rId29" display="https://docs.google.com/document/d/1mAV6eu4htsVc9KXEpdorTiavb4xyvmUuJpiPNrbI3Jw/edit"/>
    <hyperlink ref="E43" r:id="rId30" display="http://www.adaptive.com"/>
    <hyperlink ref="E44" r:id="rId31" display="http://www.asc-partners.com"/>
    <hyperlink ref="E45" r:id="rId32" display="http://www.avvo.com"/>
    <hyperlink ref="E47" r:id="rId33" display="http://www.blr.com"/>
    <hyperlink ref="E50" r:id="rId34" display="http://www.complianceandrisks.com"/>
    <hyperlink ref="E52" r:id="rId35" display="http://www.copyright.com"/>
    <hyperlink ref="E53" r:id="rId36" display="http://www.costquest.com"/>
    <hyperlink ref="E55" r:id="rId37" display="https://www.ecodesk.com"/>
    <hyperlink ref="E56" r:id="rId38" display="http://resources.alljobopenings.com/equality"/>
    <hyperlink ref="E57" r:id="rId39" display="www.ey.com/"/>
    <hyperlink ref="E58" r:id="rId40" display="www.fastcase.com "/>
    <hyperlink ref="E59" r:id="rId41" display="https://www.firstpointresources.com/"/>
    <hyperlink ref="E64" r:id="rId42" display="http://corp.intelius.com/"/>
    <hyperlink ref="E65" r:id="rId43" display="http://www.jjkeller.com"/>
    <hyperlink ref="E66" r:id="rId44" display="www.jurispect.com"/>
    <hyperlink ref="E68" r:id="rId45" display="http://www.kpmg.com"/>
    <hyperlink ref="E71" r:id="rId46" display="http://www.lexisnexis.com/en-us/home.page"/>
    <hyperlink ref="E73" r:id="rId47" display="http://www.marlinalter.com/"/>
    <hyperlink ref="E74" r:id="rId48" display="http://www.microbilt.com/"/>
    <hyperlink ref="C76" r:id="rId49" display="MuckRock.com"/>
    <hyperlink ref="E76" r:id="rId50" display="https://www.muckrock.com"/>
    <hyperlink ref="E77" r:id="rId51" display="http://www.municode.com"/>
    <hyperlink ref="E78" r:id="rId52" display="http://www.oversightsystems.com"/>
    <hyperlink ref="E82" r:id="rId53" display="http://www.rrdonnelley.com"/>
    <hyperlink ref="E83" r:id="rId54" display="https://www.relsci.com"/>
    <hyperlink ref="E84" r:id="rId55" display="http://www.sterlinginfosystems.com/"/>
    <hyperlink ref="E86" r:id="rId56" display="http://www.transunion.com/"/>
    <hyperlink ref="E87" r:id="rId57" display="https://www.trustedid.com/"/>
    <hyperlink ref="E88" r:id="rId58" display="http://urbanairship.com/"/>
    <hyperlink ref="E89" r:id="rId59" display="http://www.ussearch.com/"/>
    <hyperlink ref="E91" r:id="rId60" display="http://www.wolterskluwer.com/"/>
    <hyperlink ref="E92" r:id="rId61" display="http://www.explica.la/ley"/>
    <hyperlink ref="P92" r:id="rId62" display="http://www.civicstack.org/"/>
    <hyperlink ref="E93" r:id="rId63" display="http://www.psoj.org/"/>
    <hyperlink ref="AC93" r:id="rId64" display="http://www.caribank.org/news/jamaica-and-barbados-win-major-prizes-at-digital-jam-3-0"/>
    <hyperlink ref="E94" r:id="rId65" display="http://bunkerincubator.com/"/>
    <hyperlink ref="E95" r:id="rId66" display="https://www.facebook.com/AccuraAnalyticsSystems"/>
    <hyperlink ref="AC95" r:id="rId67" display="https://www.facebook.com/AccuraAnalyticsSystems/info?tab=page_info"/>
    <hyperlink ref="E96" r:id="rId68" display="http://byimplication.com"/>
    <hyperlink ref="E97" r:id="rId69" display="http://www.codeeze.net"/>
    <hyperlink ref="E98" r:id="rId70" display="http://mediawave.co.id"/>
    <hyperlink ref="E99" r:id="rId71" display="http://www.nethub.co"/>
    <hyperlink ref="E100" r:id="rId72" display="http://www.scanntech.com"/>
    <hyperlink ref="AC101" r:id="rId73" location="approach" display="http://www.ajah.ca/about-us/#approach"/>
    <hyperlink ref="E104" r:id="rId74" display="https://openspending.org/nicacontra/entries?page=3"/>
    <hyperlink ref="E106" r:id="rId75" display="http://ujima-project.org/"/>
    <hyperlink ref="C107" r:id="rId76" display="Save.kg"/>
    <hyperlink ref="E107" r:id="rId77" display="http://save.kg"/>
    <hyperlink ref="E111" r:id="rId78" display="http://www.premise.com/indiaonions.html"/>
    <hyperlink ref="E112" r:id="rId79" display="http://www.manchestereveningnews.co.uk/business/friends-bright-idea-help-fight-7201187"/>
    <hyperlink ref="E113" r:id="rId80" display="http://www.undp.org/content/undp/en/home/ourwork/environmentandenergy/successstories/reaping-the-fruits-of-technology-in-fyr-macedonia/"/>
    <hyperlink ref="E114" r:id="rId81" display="http://www.quienpagamanda.com/"/>
    <hyperlink ref="E115" r:id="rId82" display="http://www.airwoot.com/"/>
    <hyperlink ref="AC115" r:id="rId83" display="http://www.airwoot.com/tour.html"/>
    <hyperlink ref="E118" r:id="rId84" display="http://childcaredesk.com"/>
    <hyperlink ref="E119" r:id="rId85" display="http://www.conciliadorvirtual.co"/>
    <hyperlink ref="E121" r:id="rId86" display="https://itunes.apple.com/us/app/eat-shop-sleep/id465262611"/>
    <hyperlink ref="E122" r:id="rId87" display="http://www.ekutirsb.com/"/>
    <hyperlink ref="E123" r:id="rId88" display="http://www.everydayhealth.com"/>
    <hyperlink ref="E125" r:id="rId89" display="http://www.foody.vn"/>
    <hyperlink ref="E126" r:id="rId90" display="https://foursquare.com"/>
    <hyperlink ref="E128" r:id="rId91" display="http://girolabs.com"/>
    <hyperlink ref="E130" r:id="rId92" display="http://www.lastmileforBoP.com"/>
    <hyperlink ref="E131" r:id="rId93" display="http://www.lekkoo.com"/>
    <hyperlink ref="E132" r:id="rId94" display="https://itunes.apple.com/gt/app/mi-transmi-y-sitp-colombia/id557745455?mt=8"/>
    <hyperlink ref="E133" r:id="rId95" display="https://www.recipal.com/"/>
    <hyperlink ref="E135" r:id="rId96" display="http://redlaser.com"/>
    <hyperlink ref="E136" r:id="rId97" display="http://redstoneapps.com"/>
    <hyperlink ref="E137" r:id="rId98" display="http://www.spokeo.com/"/>
    <hyperlink ref="E138" r:id="rId99" display="http://www.weightwatchers.com/"/>
    <hyperlink ref="E139" r:id="rId100" display="https://www.workhands.us/"/>
    <hyperlink ref="E140" r:id="rId101" display="http://www.yelp.com/"/>
    <hyperlink ref="E141" r:id="rId102" display="https://transferwise.com"/>
    <hyperlink ref="AC141" r:id="rId103" display="https://transferwise.com/terms-of-use"/>
    <hyperlink ref="E142" r:id="rId104" display="https://consider.it/"/>
    <hyperlink ref="P142" r:id="rId105" display="http://www.civicstack.org/"/>
    <hyperlink ref="E144" r:id="rId106" display="http://segurimapas.cochavalley.com/"/>
    <hyperlink ref="E145" r:id="rId107" display="http://www.ufahamu.or.ke"/>
    <hyperlink ref="E146" r:id="rId108" display="http://www.habidatum.com"/>
    <hyperlink ref="E147" r:id="rId109" display="http://Convextra.com"/>
    <hyperlink ref="E148" r:id="rId110" display="http://www.xldata.com"/>
    <hyperlink ref="E152" r:id="rId111" display="http://www.adam.com.au/home/"/>
    <hyperlink ref="AC152" r:id="rId112" display="http://www.adam.com.au/about/"/>
    <hyperlink ref="R153" r:id="rId113" display="https://helpx.adobe.com/uk/contact/what-contact-options.html"/>
    <hyperlink ref="AC155" r:id="rId114" display="http://www.aidatechnology.com/vision.html"/>
    <hyperlink ref="AC156" r:id="rId115" display="http://www.aimia.com/en/about.html"/>
    <hyperlink ref="AC157" r:id="rId116" display="http://www.alfresco.com/company"/>
    <hyperlink ref="AC158" r:id="rId117" display="https://www.amee.com/data-sources"/>
    <hyperlink ref="E159" r:id="rId118" display="www.snapsense.co"/>
    <hyperlink ref="E161" r:id="rId119" display="http://www.poderopedia.org/"/>
    <hyperlink ref="P161" r:id="rId120" display="http://www.civicstack.org/"/>
    <hyperlink ref="E162" r:id="rId121" display="http://quientefinancia.cl/"/>
    <hyperlink ref="P162" r:id="rId122" display="http://www.civicstack.org/"/>
    <hyperlink ref="E163" r:id="rId123" display="http://sayit.mysociety.org/"/>
    <hyperlink ref="P163" r:id="rId124" display="http://www.civicstack.org/"/>
    <hyperlink ref="E164" r:id="rId125" display="http://incoma.org/"/>
    <hyperlink ref="P164" r:id="rId126" display="http://www.civicstack.org/"/>
    <hyperlink ref="E165" r:id="rId127" display="https://vote.heliosvoting.org/"/>
    <hyperlink ref="P165" r:id="rId128" display="http://www.civicstack.org/"/>
    <hyperlink ref="E166" r:id="rId129" display="http://www.openmaint.org/en"/>
    <hyperlink ref="P166" r:id="rId130" display="http://www.civicstack.org/"/>
    <hyperlink ref="E167" r:id="rId131" display="http://assembl.org/"/>
    <hyperlink ref="P167" r:id="rId132" display="http://www.civicstack.org/"/>
    <hyperlink ref="E168" r:id="rId133" display="http://www.civicstack.org/"/>
    <hyperlink ref="P168" r:id="rId134" display="http://www.civicstack.org/"/>
    <hyperlink ref="E169" r:id="rId135" display="http://www.publicdata.com/"/>
    <hyperlink ref="AC169" r:id="rId136" display="http://www.publicdata.com/about.html"/>
    <hyperlink ref="AC170" r:id="rId137" display="http://3roundstones.com/index/index.html"/>
    <hyperlink ref="E174" r:id="rId138" display="http://acxiom.com"/>
    <hyperlink ref="AC174" r:id="rId139" display="http://www.acxiom.com/"/>
    <hyperlink ref="E175" r:id="rId140" display="http://www.adobe.com/solutions/government.html"/>
    <hyperlink ref="E176" r:id="rId141" display="http://www.altova.com"/>
    <hyperlink ref="AC176" r:id="rId142" display="http://www.altova.com/company.html"/>
    <hyperlink ref="E181" r:id="rId143" display="http://www.areavibes.com/"/>
    <hyperlink ref="E182" r:id="rId144" display="http://www.ayasdi.com/"/>
    <hyperlink ref="E184" r:id="rId145" display="http://www.beinformed.com/BeInformed/website/en?init=true"/>
    <hyperlink ref="E185" r:id="rId146" display="http://www.bing.com"/>
    <hyperlink ref="E186" r:id="rId147" display="http://www.cambridgesemantics.com/home"/>
    <hyperlink ref="E187" r:id="rId148" display="http://www.canon.com"/>
    <hyperlink ref="E189" r:id="rId149" display="http://www.caspio.com/"/>
    <hyperlink ref="E190" r:id="rId150" display="http://www.cgi.com/en"/>
    <hyperlink ref="E191" r:id="rId151" display="http://civisanalytics.com/"/>
    <hyperlink ref="E192" r:id="rId152" display="www.clearstorydata.com"/>
    <hyperlink ref="E194" r:id="rId153" display="http://www.computerpackages.com/"/>
    <hyperlink ref="E195" r:id="rId154" display="http://www.connotate.com"/>
    <hyperlink ref="E197" r:id="rId155" display="http://www.datalogix.com"/>
    <hyperlink ref="E199" r:id="rId156" display="http://www.datamyne.com"/>
    <hyperlink ref="E200" r:id="rId157" display="http://www.emc.com/index.htm"/>
    <hyperlink ref="E202" r:id="rId158" display="http://www.epsilon.com"/>
    <hyperlink ref="E203" r:id="rId159" display="http://www.equilar.com/"/>
    <hyperlink ref="E207" r:id="rId160" display="http://www.geolytics.com"/>
    <hyperlink ref="E208" r:id="rId161" display="https://github.com"/>
    <hyperlink ref="E209" r:id="rId162" display="https://www.google.com/intl/en/about/"/>
    <hyperlink ref="E211" r:id="rId163" display="http://www.gramvaani.org/"/>
    <hyperlink ref="E215" r:id="rId164" display="http://incadence.com"/>
    <hyperlink ref="E216" r:id="rId165" display="http://www.informatica.com"/>
    <hyperlink ref="E221" r:id="rId166" display="http://knoema.com/"/>
    <hyperlink ref="E222" r:id="rId167" display="http://www.levelonetechnologies.com"/>
    <hyperlink ref="E225" r:id="rId168" display="http://www.marklogic.com"/>
    <hyperlink ref="E226" r:id="rId169" display="http://www.merrillcorp.com"/>
    <hyperlink ref="E227" r:id="rId170" display="http://datamarket.azure.com"/>
    <hyperlink ref="E228" r:id="rId171" display="http://www.nautilytics.com"/>
    <hyperlink ref="E231" r:id="rId172" display="http://www.optensity.com"/>
    <hyperlink ref="E232" r:id="rId173" display="http://www.orlinresearch.com"/>
    <hyperlink ref="E234" r:id="rId174" display="https://www.palantir.com"/>
    <hyperlink ref="E238" r:id="rId175" display="www.priceweave.com"/>
    <hyperlink ref="E239" r:id="rId176" display="http://www.programmableweb.com"/>
    <hyperlink ref="E240" r:id="rId177" display="http://www.quandl.com"/>
    <hyperlink ref="E242" r:id="rId178" display="http://quid.com"/>
    <hyperlink ref="E245" r:id="rId179" display="http://www.sap.com/"/>
    <hyperlink ref="E246" r:id="rId180" display="http://www.sas.com/"/>
    <hyperlink ref="E247" r:id="rId181" display="www.seabourneinc.com"/>
    <hyperlink ref="E249" r:id="rId182" display="http://smartronix.com/"/>
    <hyperlink ref="E256" r:id="rId183" display="http://www.tableausoftware.com/"/>
    <hyperlink ref="E257" r:id="rId184" display="http://www.teradata.com/"/>
    <hyperlink ref="E259" r:id="rId185" display="http://www.topcoder.com/"/>
    <hyperlink ref="E263" r:id="rId186" display="http://www.wolfram.com/"/>
    <hyperlink ref="E265" r:id="rId187" display="http://www.yahoo.com/"/>
    <hyperlink ref="E266" r:id="rId188" display="http://kathmandulivinglabs.org/"/>
    <hyperlink ref="E267" r:id="rId189" display="https://bigml.com/"/>
    <hyperlink ref="AC267" r:id="rId190" display="http://blog.bigml.com/2013/02/28/data-data-data-thousands-of-public-data-sources/"/>
    <hyperlink ref="AC268" r:id="rId191" display="http://www.jamaicaobserver.com/business/Crime-app-designers-focus-on-campus-security_17926812"/>
    <hyperlink ref="E269" r:id="rId192" display="http://www.medirevu.com/"/>
    <hyperlink ref="AC269" r:id="rId193" display="http://www.caribank.org/news/jamaica-and-barbados-win-major-prizes-at-digital-jam-3-0"/>
    <hyperlink ref="E270" r:id="rId194" display="http://gastopublicobahiense.org/"/>
    <hyperlink ref="P270" r:id="rId195" display="http://www.civicstack.org/"/>
    <hyperlink ref="E271" r:id="rId196" display="http://www.vsolvit.com"/>
    <hyperlink ref="E272" r:id="rId197" display="http://vigillo.com"/>
    <hyperlink ref="E273" r:id="rId198" display="http://www.vets-inc.com"/>
    <hyperlink ref="E274" r:id="rId199" display="http://www.ushahidi.com"/>
    <hyperlink ref="E275" r:id="rId200" display="http://urjanet.com/"/>
    <hyperlink ref="E276" r:id="rId201" display="https://uniteus.com"/>
    <hyperlink ref="E277" r:id="rId202" display="http://www.twindolphinsoftware.com"/>
    <hyperlink ref="E278" r:id="rId203" display="www.trea.com"/>
    <hyperlink ref="E279" r:id="rId204" display="http://www.altium.com/"/>
    <hyperlink ref="E281" r:id="rId205" display="http://www.ansarada.com/"/>
    <hyperlink ref="E287" r:id="rId206" display="http://www.code4kenya.org/"/>
    <hyperlink ref="E297" r:id="rId207" display="http://www.mastodonc.com/"/>
    <hyperlink ref="E302" r:id="rId208" display="www.noveda.com"/>
    <hyperlink ref="E305" r:id="rId209" display="http://www.osisoft.com"/>
    <hyperlink ref="E307" r:id="rId210" display="http://www.peoplepowerco.com/"/>
    <hyperlink ref="E310" r:id="rId211" display="http://www.scaleunlimited.com/"/>
    <hyperlink ref="E316" r:id="rId212" display="http://intelligence.towerdata.com/"/>
    <hyperlink ref="E320" r:id="rId213" display="http://opendatastories.org/2011/05/inflation-in-india/"/>
    <hyperlink ref="E321" r:id="rId214" display="http://www.inefop.org.uy"/>
    <hyperlink ref="E322" r:id="rId215" display="http://www.MejoramosJuntos.org"/>
    <hyperlink ref="E323" r:id="rId216" display="http://www.paraguay.gov.py/portal-paraguay"/>
    <hyperlink ref="E324" r:id="rId217" display="http://opemdata.caceres.es"/>
    <hyperlink ref="E325" r:id="rId218" display="http://www.datos.misiones.gov.ar/"/>
    <hyperlink ref="E326" r:id="rId219" display="http://api.bogotacomovamos.org"/>
    <hyperlink ref="E327" r:id="rId220" display="http://www.gobiernolocal.gob.ar"/>
    <hyperlink ref="E328" r:id="rId221" display="http://www.acara.edu.au/default.asp"/>
    <hyperlink ref="E329" r:id="rId222" display="http://afla.md/"/>
    <hyperlink ref="E330" r:id="rId223" display="http://www.akshara.org.in/program/karnataka-learning-partnership"/>
    <hyperlink ref="E331" r:id="rId224" display="https://www.alltuition.com"/>
    <hyperlink ref="E332" r:id="rId225" display="http://betterlesson.com"/>
    <hyperlink ref="E333" r:id="rId226" display="www.cappex.com"/>
    <hyperlink ref="E335" r:id="rId227" display="http://www.gpopai.usp.br/cuidando/"/>
    <hyperlink ref="E337" r:id="rId228" display="http://www.connectedu.com"/>
    <hyperlink ref="E340" r:id="rId229" display="http://findmyschool.co.ke/"/>
    <hyperlink ref="E341" r:id="rId230" display="http://monitoringbudget.crowdmap.com"/>
    <hyperlink ref="E344" r:id="rId231" display="http://www.fundalectura.org/?module=nosotros-info"/>
    <hyperlink ref="E346" r:id="rId232" display="http://www.theguardian.com/education/gcse-schools-guide"/>
    <hyperlink ref="E347" r:id="rId233" display="http://www.harnesstouch.com"/>
    <hyperlink ref="E348" r:id="rId234" display="http://hmo.launchrock.com/"/>
    <hyperlink ref="E349" r:id="rId235" display="http://www.mapstory.org"/>
    <hyperlink ref="E351" r:id="rId236" display="www.kidadmit.com"/>
    <hyperlink ref="E352" r:id="rId237" display="https://klp.org.in"/>
    <hyperlink ref="E353" r:id="rId238" display="http://www.thegpsa.org/sa"/>
    <hyperlink ref="E354" r:id="rId239" display="http://labs.webfoundation.org/projects/opendataforeducation/"/>
    <hyperlink ref="E356" r:id="rId240" display="http://orcamento.inesc.org.br/2013"/>
    <hyperlink ref="E357" r:id="rId241" display="www.corporate.petersons.com"/>
    <hyperlink ref="E358" r:id="rId242" display="https://www.unigo.com/from-plusu.aspx"/>
    <hyperlink ref="E359" r:id="rId243" display="http://www.possibilityu.com/"/>
    <hyperlink ref="E360" r:id="rId244" display="http://goranku.com"/>
    <hyperlink ref="E361" r:id="rId245" display="http://www.rezolvegroup.com"/>
    <hyperlink ref="C362" r:id="rId246" display="Shule.Info"/>
    <hyperlink ref="E362" r:id="rId247" display="http://www.shule.info/"/>
    <hyperlink ref="E363" r:id="rId248" display="http://www.simpletuition.com/"/>
    <hyperlink ref="E365" r:id="rId249" display="http://www.usnews.com/"/>
    <hyperlink ref="E367" r:id="rId250" display="www.unigo.com"/>
    <hyperlink ref="E369" r:id="rId251" display="http://www.mejoratuescuela.org/"/>
    <hyperlink ref="P369" r:id="rId252" display="http://www.civicstack.org/"/>
    <hyperlink ref="E370" r:id="rId253" display="http://www.hsrc.unc.edu"/>
    <hyperlink ref="E371" r:id="rId254" display="http://www.umtri.umich.edu"/>
    <hyperlink ref="E372" r:id="rId255" display="http://www.cattlab.umd.edu/"/>
    <hyperlink ref="E373" r:id="rId256" display="https://atlas.oxfamnovib.nl/"/>
    <hyperlink ref="E374" r:id="rId257" display="http://www.followthemoneyng.org/"/>
    <hyperlink ref="E375" r:id="rId258" display="http://labs.webfoundation.org/projects/jktopendatainitiative/"/>
    <hyperlink ref="E376" r:id="rId259" display="www.datoselsalvador.org"/>
    <hyperlink ref="E377" r:id="rId260" display="http://www.eduweb.co.ke/index.php"/>
    <hyperlink ref="E379" r:id="rId261" display="https://www.gov.uk/government/case-studies/open-data-free-map-of-great-britain-for-minecraft-game"/>
    <hyperlink ref="E380" r:id="rId262" display="http://protectedurbanplanet.net/"/>
    <hyperlink ref="AC380" r:id="rId263" display="http://protectedurbanplanet.net/about"/>
    <hyperlink ref="E381" r:id="rId264" display="http://www.yourbudgit.com/"/>
    <hyperlink ref="C382" r:id="rId265" display="Floussna.ma"/>
    <hyperlink ref="E382" r:id="rId266" display="http://www.floussna.ma/"/>
    <hyperlink ref="E383" r:id="rId267" display="http://www.openstreetmap.org/"/>
    <hyperlink ref="E384" r:id="rId268" display="http://www.practicalanswers.org"/>
    <hyperlink ref="E385" r:id="rId269" display="http://www.budgetbadger.ph/"/>
    <hyperlink ref="E386" r:id="rId270" display="http://www.expert-grup.org/ro/"/>
    <hyperlink ref="E387" r:id="rId271" display="http://illustreets.co.uk/"/>
    <hyperlink ref="E388" r:id="rId272" display="http://data.opennepal.net/apps"/>
    <hyperlink ref="E389" r:id="rId273" display="http://www.votebd.org/"/>
    <hyperlink ref="E390" r:id="rId274" display="http://myneta.info/"/>
    <hyperlink ref="E392" r:id="rId275" display="http://www.wattzon.com/"/>
    <hyperlink ref="E393" r:id="rId276" display="http://www.e-transactions.org/index.php"/>
    <hyperlink ref="E394" r:id="rId277" display="http://www.woodmac.com/public/home"/>
    <hyperlink ref="E395" r:id="rId278" display="http://www.agl.com.au/about-agl "/>
    <hyperlink ref="E396" r:id="rId279" display="https://alintaenergy.com.au/home"/>
    <hyperlink ref="AC396" r:id="rId280" display="https://alintaenergy.com.au/misc/search?q=open+data"/>
    <hyperlink ref="E397" r:id="rId281" display="http://www.aquicore.com/"/>
    <hyperlink ref="E398" r:id="rId282" display="http://www.agl.com.au/about-agl "/>
    <hyperlink ref="E399" r:id="rId283" display="http://www.auto-grid.com"/>
    <hyperlink ref="E400" r:id="rId284" display="https://platform.carbonculture.net/landing/"/>
    <hyperlink ref="E402" r:id="rId285" display="http://www.originenergy.com.au/"/>
    <hyperlink ref="E403" r:id="rId286" display="http://www.de.com.au/"/>
    <hyperlink ref="E404" r:id="rId287" display="https://www.energex.com.au/"/>
    <hyperlink ref="E406" r:id="rId288" display="http://www.energysolforum.com"/>
    <hyperlink ref="E407" r:id="rId289" display="http://www.energyaustralia.com.au/"/>
    <hyperlink ref="E409" r:id="rId290" display="http://www.enscoplc.com/Home/default.aspx"/>
    <hyperlink ref="E410" r:id="rId291" display="http://www.enviromission.com.au/EVM/content/home.html"/>
    <hyperlink ref="E412" r:id="rId292" display="https://www.ergon.com.au/"/>
    <hyperlink ref="E413" r:id="rId293" display="http://firstfuel.com"/>
    <hyperlink ref="E418" r:id="rId294" display="http://www.nextstepliving.com"/>
    <hyperlink ref="E419" r:id="rId295" display="https://www.noesisenergy.com/site/"/>
    <hyperlink ref="E422" r:id="rId296" display="http://planetecosystems.com"/>
    <hyperlink ref="E423" r:id="rId297" display="https://plotwatt.com"/>
    <hyperlink ref="E424" r:id="rId298" display="http://www.poweradvocate.com/index.html"/>
    <hyperlink ref="E426" r:id="rId299" display="http://www.recargo.com"/>
    <hyperlink ref="E427" r:id="rId300" display="http://www.retroficiency.com"/>
    <hyperlink ref="E429" r:id="rId301" display="http://smartusys.com/"/>
    <hyperlink ref="E431" r:id="rId302" display="http://www.solarcensus.com"/>
    <hyperlink ref="E433" r:id="rId303" display="http://www.stanwell.com/"/>
    <hyperlink ref="E434" r:id="rId304" display="http://www.sydneywater.com.au/swe/index.htm"/>
    <hyperlink ref="E435" r:id="rId305" display="http://www.tendrilinc.com/"/>
    <hyperlink ref="E437" r:id="rId306" display="http://www.usgreendata.com/"/>
    <hyperlink ref="E438" r:id="rId307" display="http://www.wattzon.com/"/>
    <hyperlink ref="E439" r:id="rId308" display="http://www.xatori.com/"/>
    <hyperlink ref="E440" r:id="rId309" display="http://www.oof-app.com"/>
    <hyperlink ref="E443" r:id="rId310" display="http://coperable.org/"/>
    <hyperlink ref="E444" r:id="rId311" display="http://www.edrnet.com"/>
    <hyperlink ref="E447" r:id="rId312" display="http://earth911.com/irecycle/"/>
    <hyperlink ref="E450" r:id="rId313" display="http://www.skymet.net/"/>
    <hyperlink ref="E452" r:id="rId314" display="www.sunrun.com"/>
    <hyperlink ref="E453" r:id="rId315" display="http://istheresewageinthechicagoriver.com/"/>
    <hyperlink ref="P453" r:id="rId316" display="http://www.civicstack.org/"/>
    <hyperlink ref="E455" r:id="rId317" display="www.earthnetworks.com"/>
    <hyperlink ref="E457" r:id="rId318" display="www.epmap.org"/>
    <hyperlink ref="E459" r:id="rId319" display="http://www.transparentworld.ru"/>
    <hyperlink ref="E461" r:id="rId320" display="pwyp-indonesia.org"/>
    <hyperlink ref="AC463" r:id="rId321" display="https://www.abundancegeneration.com/"/>
    <hyperlink ref="E464" r:id="rId322" display="http://www.ampcapital.com"/>
    <hyperlink ref="E466" r:id="rId323" display="http://www.anz.com/personal/"/>
    <hyperlink ref="E469" r:id="rId324" display="http://www.boq.com.au/"/>
    <hyperlink ref="E472" r:id="rId325" display="http://www.blackrock.com"/>
    <hyperlink ref="E473" r:id="rId326" display="http://www.capdyn.com/"/>
    <hyperlink ref="E474" r:id="rId327" display="http://www.cbussuper.com.au/"/>
    <hyperlink ref="E475" r:id="rId328" display="https://www.commbank.com.au/"/>
    <hyperlink ref="E476" r:id="rId329" display="http://www.computershare.com/us/Pages/default.aspx"/>
    <hyperlink ref="E477" r:id="rId330" display="http://www.esanda.com/personal/"/>
    <hyperlink ref="E478" r:id="rId331" display="https://www.fitchratings.com/web/en/dynamic/fitch-home.jsp"/>
    <hyperlink ref="E479" r:id="rId332" display="http://www.ezgrantfiling.com"/>
    <hyperlink ref="E480" r:id="rId333" display="http://www.iag.com.au/"/>
    <hyperlink ref="E482" r:id="rId334" display="http://www.innovestsystems.com"/>
    <hyperlink ref="E487" r:id="rId335" display="https://www.krollbondratings.com/"/>
    <hyperlink ref="E491" r:id="rId336" display="https://www.mint.com"/>
    <hyperlink ref="E493" r:id="rId337" display="http://www.nab.com.au/"/>
    <hyperlink ref="E496" r:id="rId338" display="https://www.capitaliq.com"/>
    <hyperlink ref="E498" r:id="rId339" display="http://www.standardandpoors.com/en_US/web/guest/home"/>
    <hyperlink ref="E500" r:id="rId340" display="http://www.troweprice.com"/>
    <hyperlink ref="E503" r:id="rId341" display="http://www.allianzusa.com"/>
    <hyperlink ref="E504" r:id="rId342" display="asset4.com"/>
    <hyperlink ref="E505" r:id="rId343" display="http://www.avalara.com"/>
    <hyperlink ref="E506" r:id="rId344" display="https://mandasoft.com/"/>
    <hyperlink ref="E507" r:id="rId345" display="http://www.berkshirehathaway.com"/>
    <hyperlink ref="E509" r:id="rId346" display="http://www.bloomberg.com"/>
    <hyperlink ref="E510" r:id="rId347" display="http://www.bwater.com"/>
    <hyperlink ref="E512" r:id="rId348" display="www.businessmonitor.com"/>
    <hyperlink ref="E514" r:id="rId349" display="http://www.cig.com"/>
    <hyperlink ref="E518" r:id="rId350" display="https://www.schwab.com"/>
    <hyperlink ref="E519" r:id="rId351" display="http://www.citigroup.com/citi/"/>
    <hyperlink ref="E521" r:id="rId352" display="https://www.creditkarma.com"/>
    <hyperlink ref="E523" r:id="rId353" display="http://demystdata.com"/>
    <hyperlink ref="E524" r:id="rId354" display="http://www.dowjones.com"/>
    <hyperlink ref="E526" r:id="rId355" display="http://www.equifax.com/home/en_us"/>
    <hyperlink ref="E527" r:id="rId356" display="http://www.ey.com"/>
    <hyperlink ref="E528" r:id="rId357" display="http://www.experian.com"/>
    <hyperlink ref="E530" r:id="rId358" display="http://www.factset.com"/>
    <hyperlink ref="E531" r:id="rId359" display="https://www.fidelity.com"/>
    <hyperlink ref="E532" r:id="rId360" display="https://www.fundingcircle.com"/>
    <hyperlink ref="E533" r:id="rId361" display="https://www.futureadvisor.com"/>
    <hyperlink ref="E534" r:id="rId362" display="https://getraised.com"/>
    <hyperlink ref="E537" r:id="rId363" display="http://info.iwfinancial.com"/>
    <hyperlink ref="E538" r:id="rId364" display="http://www.jpmorganchase.com/corporate/Home/home.htm"/>
    <hyperlink ref="E539" r:id="rId365" display="http://www.jcs.com.gh"/>
    <hyperlink ref="E540" r:id="rId366" location="" display="http://www.msci.com/products/esg/#"/>
    <hyperlink ref="E541" r:id="rId367" display="https://www.lenddo.com/pages/what_is_lenddo/office"/>
    <hyperlink ref="E542" r:id="rId368" display="https://www.lendingclub.com"/>
    <hyperlink ref="E544" r:id="rId369" display="http://www.marlinllc.com"/>
    <hyperlink ref="E545" r:id="rId370" display="http://www.mhfi.com"/>
    <hyperlink ref="E546" r:id="rId371" display="http://www.ml.com/index.asp?id=7695_15125"/>
    <hyperlink ref="E547" r:id="rId372" display="https://www.moodys.com"/>
    <hyperlink ref="E548" r:id="rId373" display="http://www.morganstanley.com"/>
    <hyperlink ref="E549" r:id="rId374" display="http://www.morningstar.com"/>
    <hyperlink ref="E555" r:id="rId375" display="http://www.pwc.com/us/en/index.jhtml"/>
    <hyperlink ref="E556" r:id="rId376" display="http://rankandfiled.com/"/>
    <hyperlink ref="E557" r:id="rId377" display="http://rivetsoftware.com"/>
    <hyperlink ref="E558" r:id="rId378" display="http://www.russell.com/indexes/"/>
    <hyperlink ref="E559" r:id="rId379" display="https://www.sigfig.com/"/>
    <hyperlink ref="E563" r:id="rId380" display="www.govtechfund.com"/>
    <hyperlink ref="E564" r:id="rId381" display="http://www.vanguard.com/"/>
    <hyperlink ref="E566" r:id="rId382" display="http://www.trintech.com/"/>
    <hyperlink ref="E567" r:id="rId383" display="https://www.usaa.com"/>
    <hyperlink ref="E568" r:id="rId384" display="https://www.workiva.com/"/>
    <hyperlink ref="E569" r:id="rId385" display="http://www.xignite.com/"/>
    <hyperlink ref="E570" r:id="rId386" display="https://www.kreditech.com/"/>
    <hyperlink ref="AC570" r:id="rId387" display="http://www.fiercebigdata.com/story/kreditech-group-uses-big-data-score-credit-risk-4-billion-people-worldwide/2014-12-03"/>
    <hyperlink ref="E571" r:id="rId388" display="https://nimble.com.au/"/>
    <hyperlink ref="AC571" r:id="rId389" display="https://nimble.com.au/about-us/privacy-policy"/>
    <hyperlink ref="E572" r:id="rId390" display="http://www.credifi.com/"/>
    <hyperlink ref="E573" r:id="rId391" display="www.trfund.com"/>
    <hyperlink ref="P574" r:id="rId392" display="http://www.civicstack.org/"/>
    <hyperlink ref="E575" r:id="rId393" display="https://vc4africa.biz/members/ericmutta/profile/"/>
    <hyperlink ref="E576" r:id="rId394" display="http://www.zegetech.com"/>
    <hyperlink ref="E577" r:id="rId395" display="http://www.sociohub.ru"/>
    <hyperlink ref="E584" r:id="rId396" display="http://www.ekgaon.com/"/>
    <hyperlink ref="E585" r:id="rId397" display="http://www.viterra.com.au/"/>
    <hyperlink ref="E586" r:id="rId398" display="http://www.awb.com.au/growers"/>
    <hyperlink ref="E587" r:id="rId399" display="http://www.boags.com.au/agegate"/>
    <hyperlink ref="E589" r:id="rId400" display="http://www.bulla.com.au/"/>
    <hyperlink ref="E590" r:id="rId401" display="http://ccamatil.com/Pages/default.aspx"/>
    <hyperlink ref="E605" r:id="rId402" display="http://www.geosphereservices.com"/>
    <hyperlink ref="E606" r:id="rId403" display="http://www.navcities.com"/>
    <hyperlink ref="E607" r:id="rId404" display="http://www.transparentchennai.com/"/>
    <hyperlink ref="E608" r:id="rId405" display="http://nextgis.org"/>
    <hyperlink ref="E609" r:id="rId406" display="http://abetsoft.in/gisservices.html"/>
    <hyperlink ref="AC609" r:id="rId407" display="http://abetsoft.in/gisservices.html"/>
    <hyperlink ref="E610" r:id="rId408" display="http://adeptogeoit.com/home/index.php"/>
    <hyperlink ref="E611" r:id="rId409" display="http://ayuda.datea.pe/"/>
    <hyperlink ref="P611" r:id="rId410" display="http://www.civicstack.org/"/>
    <hyperlink ref="E612" r:id="rId411" display="http://www.eventario.mx/"/>
    <hyperlink ref="P612" r:id="rId412" display="http://www.civicstack.org/"/>
    <hyperlink ref="E618" r:id="rId413" display="http://cloudmade.com"/>
    <hyperlink ref="E622" r:id="rId414" display="http://www.earth-observer.org/"/>
    <hyperlink ref="E623" r:id="rId415" display="https://play.google.com/store/apps/details?id=com.joshclemm.android.quake&amp;hl=en"/>
    <hyperlink ref="E626" r:id="rId416" display="http://www.garmin.com/en-US"/>
    <hyperlink ref="E627" r:id="rId417" display="http://geofeedia.com/"/>
    <hyperlink ref="E628" r:id="rId418" display="https://www.google.com/maps/about/explore/"/>
    <hyperlink ref="E631" r:id="rId419" display="http://indoo.rs/"/>
    <hyperlink ref="E632" r:id="rId420" display="www.intermap.com"/>
    <hyperlink ref="E633" r:id="rId421" display="http://liquidr.com"/>
    <hyperlink ref="E635" r:id="rId422" display="http://www.windowsphone.com/en-us/store/app/mango-transit/34083d75-dca6-4631-99be-4f9a3813dd73"/>
    <hyperlink ref="E638" r:id="rId423" display="http://www.maponics.com/"/>
    <hyperlink ref="E639" r:id="rId424" display="http://www.mapquest.com"/>
    <hyperlink ref="E643" r:id="rId425" display="https://www.onstar.com/web/portal/home?g=1"/>
    <hyperlink ref="E648" r:id="rId426" display="http://www.randmcnally.com/"/>
    <hyperlink ref="E652" r:id="rId427" display="http://stamen.com/"/>
    <hyperlink ref="E653" r:id="rId428" display="http://www.telenav.com/"/>
    <hyperlink ref="E658" r:id="rId429" display="http://global.mapit.mysociety.org/"/>
    <hyperlink ref="P658" r:id="rId430" display="http://www.civicstack.org/"/>
    <hyperlink ref="E660" r:id="rId431" display="http://www.accela.com"/>
    <hyperlink ref="AC660" r:id="rId432" display="http://www.accela.com/"/>
    <hyperlink ref="E661" r:id="rId433" display="http://www.aip-bg.org/en/about/"/>
    <hyperlink ref="AC661" r:id="rId434" display="http://www.aip-bg.org/en/about/"/>
    <hyperlink ref="E662" r:id="rId435" display="http://www.accountabilityindia.in/"/>
    <hyperlink ref="AC662" r:id="rId436" display="http://www.accountabilityindia.in/about-us"/>
    <hyperlink ref="E664" r:id="rId437" display="http://bizvizz.com"/>
    <hyperlink ref="E673" r:id="rId438" display="http://reboot.org/case-studies/open-data-for-public-service-delivery-nigeria/"/>
    <hyperlink ref="E676" r:id="rId439" display="http://www.glassymedia.com/"/>
    <hyperlink ref="E681" r:id="rId440" display="http://www.granicus.com"/>
    <hyperlink ref="E685" r:id="rId441" display="http://www.legistorm.com/"/>
    <hyperlink ref="E686" r:id="rId442" display="http://malawivote2014.org"/>
    <hyperlink ref="E693" r:id="rId443" display="http://openplans.org"/>
    <hyperlink ref="E695" r:id="rId444" display="http://outline.com"/>
    <hyperlink ref="E697" r:id="rId445" display="http://www.transparencyreporting.net/"/>
    <hyperlink ref="E698" r:id="rId446" display="http://www.politify.us"/>
    <hyperlink ref="E701" r:id="rId447" display="http://www.publicengines.com/"/>
    <hyperlink ref="E702" r:id="rId448" display="www.remi.com"/>
    <hyperlink ref="E705" r:id="rId449" display="http://sinergantara.or.id/"/>
    <hyperlink ref="E710" r:id="rId450" display="http://supervizor.kpk-rs.si/"/>
    <hyperlink ref="E711" r:id="rId451" display="http://www.TransparaGov.com/"/>
    <hyperlink ref="E712" r:id="rId452" display="https://www.vitalchek.com/"/>
    <hyperlink ref="E713" r:id="rId453" display="www.votizen.com"/>
    <hyperlink ref="E715" r:id="rId454" display="http://codeforeurope.net/"/>
    <hyperlink ref="P715" r:id="rId455" display="http://codeforall.org/"/>
    <hyperlink ref="E716" r:id="rId456" display="http://codefor.de/"/>
    <hyperlink ref="P716" r:id="rId457" display="http://codeforall.org/"/>
    <hyperlink ref="E717" r:id="rId458" display="http://www.codeforghana.org/"/>
    <hyperlink ref="P717" r:id="rId459" display="http://codeforall.org/"/>
    <hyperlink ref="E718" r:id="rId460" display="http://codeforireland.com/"/>
    <hyperlink ref="P718" r:id="rId461" display="http://codeforall.org/"/>
    <hyperlink ref="E719" r:id="rId462" display="http://codeforpakistan.org/"/>
    <hyperlink ref="P719" r:id="rId463" display="http://codeforall.org/"/>
    <hyperlink ref="E720" r:id="rId464" display="http://kodujdlapolski.pl/"/>
    <hyperlink ref="P720" r:id="rId465" display="http://codeforall.org/"/>
    <hyperlink ref="E721" r:id="rId466" display="http://code4sa.org/"/>
    <hyperlink ref="P721" r:id="rId467" display="http://codeforall.org/"/>
    <hyperlink ref="E722" r:id="rId468" display="http://www.codeforthecaribbean.org/"/>
    <hyperlink ref="P722" r:id="rId469" display="http://codeforall.org/"/>
    <hyperlink ref="E723" r:id="rId470" display="http://www.codefor.nl/"/>
    <hyperlink ref="P723" r:id="rId471" display="http://codeforall.org/"/>
    <hyperlink ref="E724" r:id="rId472" display="http://codeandomexico.org/"/>
    <hyperlink ref="P724" r:id="rId473" display="http://codeforall.org/"/>
    <hyperlink ref="E725" r:id="rId474" display="http://codenamu.org/"/>
    <hyperlink ref="P725" r:id="rId475" display="http://codeforall.org/"/>
    <hyperlink ref="E726" r:id="rId476" display="http://codigo.labplc.mx/"/>
    <hyperlink ref="P726" r:id="rId477" display="http://codeforall.org/"/>
    <hyperlink ref="C727" r:id="rId478" display="g0v.tw"/>
    <hyperlink ref="E727" r:id="rId479" display="http://g0v.tw/en-US/index.html"/>
    <hyperlink ref="P727" r:id="rId480" display="http://codeforall.org/"/>
    <hyperlink ref="E728" r:id="rId481" display="http://offenerhaushalt.de/"/>
    <hyperlink ref="P728" r:id="rId482" display="http://www.civicstack.org/"/>
    <hyperlink ref="E729" r:id="rId483" display="http://www.constitucion.al/"/>
    <hyperlink ref="P729" r:id="rId484" display="http://www.civicstack.org/"/>
    <hyperlink ref="E730" r:id="rId485" display="http://www.participa.br/"/>
    <hyperlink ref="P730" r:id="rId486" display="http://www.civicstack.org/"/>
    <hyperlink ref="E731" r:id="rId487" display="http://www.irekia.euskadi.eus/"/>
    <hyperlink ref="P731" r:id="rId488" display="http://www.civicstack.org/"/>
    <hyperlink ref="E732" r:id="rId489" display="https://adhocracy.de/"/>
    <hyperlink ref="P732" r:id="rId490" display="http://www.civicstack.org/"/>
    <hyperlink ref="E733" r:id="rId491" display="http://www.statedecoded.com/"/>
    <hyperlink ref="P733" r:id="rId492" display="http://www.civicstack.org/"/>
    <hyperlink ref="E734" r:id="rId493" display="http://www.lafabriquedelaloi.fr/"/>
    <hyperlink ref="P734" r:id="rId494" display="http://www.civicstack.org/"/>
    <hyperlink ref="E735" r:id="rId495" display="http://ramo23.com/"/>
    <hyperlink ref="P735" r:id="rId496" display="http://www.civicstack.org/"/>
    <hyperlink ref="E736" r:id="rId497" display="http://sigalei.com.br/"/>
    <hyperlink ref="P736" r:id="rId498" display="http://www.civicstack.org/"/>
    <hyperlink ref="E737" r:id="rId499" display="http://democracyos.org/"/>
    <hyperlink ref="P737" r:id="rId500" display="http://www.civicstack.org/"/>
    <hyperlink ref="E738" r:id="rId501" display="https://www.govtrack.us"/>
    <hyperlink ref="P738" r:id="rId502" display="http://www.civicstack.org/"/>
    <hyperlink ref="E739" r:id="rId503" display="http://www.dipudatos.info/"/>
    <hyperlink ref="P739" r:id="rId504" display="http://www.civicstack.org/"/>
    <hyperlink ref="E740" r:id="rId505" display="http://gabinetedigital.rs.gov.br/"/>
    <hyperlink ref="P740" r:id="rId506" display="http://www.civicstack.org/"/>
    <hyperlink ref="E741" r:id="rId507" display="http://hayacuerdo.ciudadanointeligente.org/"/>
    <hyperlink ref="P741" r:id="rId508" display="http://www.civicstack.org/"/>
    <hyperlink ref="E742" r:id="rId509" display="www.sunlightfoundation.org"/>
    <hyperlink ref="E743" r:id="rId510" display="http://www.codeforaustralia.org/"/>
    <hyperlink ref="P743" r:id="rId511" display="http://codeforall.org/"/>
    <hyperlink ref="E744" r:id="rId512" display="http://code4japan.org/"/>
    <hyperlink ref="P744" r:id="rId513" display="http://codeforall.org/"/>
    <hyperlink ref="E745" r:id="rId514" display="http://openbudgetoakland.org/"/>
    <hyperlink ref="P745" r:id="rId515" display="http://www.civicstack.org/"/>
    <hyperlink ref="E746" r:id="rId516" display="http://everypolitician.org/"/>
    <hyperlink ref="P746" r:id="rId517" display="http://www.civicstack.org/"/>
    <hyperlink ref="E747" r:id="rId518" display="https://betrireykjavik.is/"/>
    <hyperlink ref="P747" r:id="rId519" display="http://www.civicstack.org/"/>
    <hyperlink ref="E748" r:id="rId520" display="http://billwatcher.sinarproject.org/"/>
    <hyperlink ref="P748" r:id="rId521" display="http://www.civicstack.org/"/>
    <hyperlink ref="E749" r:id="rId522" display="http://www.theyworkforyou.com/"/>
    <hyperlink ref="P749" r:id="rId523" display="http://www.civicstack.org/"/>
    <hyperlink ref="E750" r:id="rId524" display="https://www.writetothem.com/"/>
    <hyperlink ref="P750" r:id="rId525" display="http://www.civicstack.org/"/>
    <hyperlink ref="E751" r:id="rId526" display="http://congresoabierto.cl/"/>
    <hyperlink ref="P751" r:id="rId527" display="http://www.civicstack.org/"/>
    <hyperlink ref="E752" r:id="rId528" display="http://deldichoalhecho.cl/"/>
    <hyperlink ref="P752" r:id="rId529" display="http://www.civicstack.org/"/>
    <hyperlink ref="E753" r:id="rId530" display="http://www.pixelhumain.com/"/>
    <hyperlink ref="P753" r:id="rId531" display="http://www.civicstack.org/"/>
    <hyperlink ref="E754" r:id="rId532" display="http://www.junar.com"/>
    <hyperlink ref="E755" r:id="rId533" display="http://www.opi.la"/>
    <hyperlink ref="E757" r:id="rId534" display="http://www.osdd.net"/>
    <hyperlink ref="E758" r:id="rId535" display="http://www.tipsdokter.com"/>
    <hyperlink ref="C759" r:id="rId536" display="Bien.io"/>
    <hyperlink ref="E759" r:id="rId537" display="http://bien.io"/>
    <hyperlink ref="E760" r:id="rId538" display="https://clinicalstudydatarequest.com/"/>
    <hyperlink ref="E761" r:id="rId539" display="http://internewskenya.org/dataportal/"/>
    <hyperlink ref="E762" r:id="rId540" display="http://mpr.code4sa.org/"/>
    <hyperlink ref="E763" r:id="rId541" display="http://mutualistas.datauy.org/"/>
    <hyperlink ref="E764" r:id="rId542" display="http://www.makingallvoicescount.org/project/bahawalpur-service-delivery-unit-bsdu/"/>
    <hyperlink ref="E767" r:id="rId543" display="http://www.adinstruments.com/"/>
    <hyperlink ref="E770" r:id="rId544" display="http://www.aimes.uk/"/>
    <hyperlink ref="AC771" r:id="rId545" display="http://www.amida-tech.com/what.html"/>
    <hyperlink ref="E776" r:id="rId546" display="http://www.cerner.com"/>
    <hyperlink ref="E782" r:id="rId547" display="http://dhilcare.com/"/>
    <hyperlink ref="E784" r:id="rId548" display="https://www.evaidya.com/index.html"/>
    <hyperlink ref="E785" r:id="rId549" display="http://www.evidera.com"/>
    <hyperlink ref="E788" r:id="rId550" display="https://www.genospace.com"/>
    <hyperlink ref="E790" r:id="rId551" display="http://www.healthline.com"/>
    <hyperlink ref="E795" r:id="rId552" display="http://www.imshealth.com/portal/site/imshealth"/>
    <hyperlink ref="E796" r:id="rId553" display="http://www.inovalon.com/pages/default.aspx"/>
    <hyperlink ref="E800" r:id="rId554" display="https://healthy.kaiserpermanente.org/html/kaiser/index.shtml"/>
    <hyperlink ref="E802" r:id="rId555" display="http://kyruus.com"/>
    <hyperlink ref="E804" r:id="rId556" display="http://mhealthcoach.com"/>
    <hyperlink ref="E805" r:id="rId557" display="http://www.optuminsight.com"/>
    <hyperlink ref="E808" r:id="rId558" display="http://www.practicefusion.com"/>
    <hyperlink ref="E809" r:id="rId559" display="http://www.predilytics.com"/>
    <hyperlink ref="E811" r:id="rId560" display="http://propellerhealth.com"/>
    <hyperlink ref="E814" r:id="rId561" display="http://www.spesohealth.com/"/>
    <hyperlink ref="E817" r:id="rId562" display="http://www.citeline.com/products/trialtrove/"/>
    <hyperlink ref="E819" r:id="rId563" display="http://www.vitals.com/"/>
    <hyperlink ref="E820" r:id="rId564" display="http://www.webmd.com/"/>
    <hyperlink ref="E822" r:id="rId565" display="http://www.zocdoc.com/"/>
    <hyperlink ref="E823" r:id="rId566" display="http://www.uhgl-gh.com"/>
    <hyperlink ref="E825" r:id="rId567" display="http://www.trueproperty.ph"/>
    <hyperlink ref="E826" r:id="rId568" display="http://www.urbanindo.com/"/>
    <hyperlink ref="E827" r:id="rId569" display="www.atsiteinc.com"/>
    <hyperlink ref="E828" r:id="rId570" display="http://www.buildfax.com/"/>
    <hyperlink ref="E829" r:id="rId571" display="http://www.buildingeye.com"/>
    <hyperlink ref="E836" r:id="rId572" display="https://www.honestbuildings.com"/>
    <hyperlink ref="E840" r:id="rId573" display="http://www.realtor.com/"/>
    <hyperlink ref="E842" r:id="rId574" display="http://streeteasy.com/"/>
    <hyperlink ref="E845" r:id="rId575" display="http://www.zillow.com/"/>
    <hyperlink ref="E846" r:id="rId576" display="http://www.zonability.com/"/>
    <hyperlink ref="E848" r:id="rId577" display="http://secondcityzoning.org/"/>
    <hyperlink ref="P848" r:id="rId578" display="http://www.civicstack.org/"/>
    <hyperlink ref="E858" r:id="rId579" display="http://www.loopnet.com"/>
    <hyperlink ref="E865" r:id="rId580" display="http://www.mobilecontent.com.gh"/>
    <hyperlink ref="E866" r:id="rId581" display="http://www.rlgglobal.com"/>
    <hyperlink ref="E867" r:id="rId582" display="http://www.aspectfoundry.com"/>
    <hyperlink ref="E868" r:id="rId583" display="http://www.biznex.co"/>
    <hyperlink ref="E869" r:id="rId584" display="http://my-eventos.com/"/>
    <hyperlink ref="E870" r:id="rId585" display="http://www.aami.com.au/"/>
    <hyperlink ref="E871" r:id="rId586" display="http://www.allstate.com"/>
    <hyperlink ref="E872" r:id="rId587" display="http://www.axa.com/en/"/>
    <hyperlink ref="E876" r:id="rId588" display="http://www.chubb.com"/>
    <hyperlink ref="E880" r:id="rId589" display="http://www.farmers.com"/>
    <hyperlink ref="E886" r:id="rId590" display="http://www.aon.com/impactforecasting/impact-forecasting.jsp"/>
    <hyperlink ref="E887" r:id="rId591" display="http://www.libertymutual.com"/>
    <hyperlink ref="E889" r:id="rId592" display="https://www.metlife.com"/>
    <hyperlink ref="E890" r:id="rId593" display="http://www.nationwide.com"/>
    <hyperlink ref="E894" r:id="rId594" display="http://www.progressive.com"/>
    <hyperlink ref="E901" r:id="rId595" display="http://www.statefarm.com/"/>
    <hyperlink ref="E902" r:id="rId596" display="www.vimo.com"/>
    <hyperlink ref="E903" r:id="rId597" display="http://www.zurichna.com/"/>
    <hyperlink ref="E905" r:id="rId598" display="http://www.digsolab.ru"/>
    <hyperlink ref="E906" r:id="rId599" display="http://gblab.ru"/>
    <hyperlink ref="E907" r:id="rId600" display="http://www.b-techs.org"/>
    <hyperlink ref="E908" r:id="rId601" display="http://www.b3gtech.com"/>
    <hyperlink ref="E909" r:id="rId602" display="http://www.caciopee.biz"/>
    <hyperlink ref="E910" r:id="rId603" display="http://www.cst.ma"/>
    <hyperlink ref="E911" r:id="rId604" display="http://www.matekap.com"/>
    <hyperlink ref="E912" r:id="rId605" display="http://www.korwe.com"/>
    <hyperlink ref="E913" r:id="rId606" display="http://elearn-africa.org"/>
    <hyperlink ref="E914" r:id="rId607" display="http://et-app.ru"/>
    <hyperlink ref="E915" r:id="rId608" display="http://cgnetswara.org/"/>
    <hyperlink ref="E917" r:id="rId609" display="http://www.landportal.info"/>
    <hyperlink ref="E918" r:id="rId610" display="http://www.rostnadzor.ru/"/>
    <hyperlink ref="E919" r:id="rId611" display="http://rospravosudie.com"/>
    <hyperlink ref="E921" r:id="rId612" display="www.congresotransparente.org"/>
    <hyperlink ref="E922" r:id="rId613" display="http://www.afrochiconline.com"/>
    <hyperlink ref="C923" r:id="rId614" display="Alarm.com"/>
    <hyperlink ref="E923" r:id="rId615" display="www.alarm.com"/>
    <hyperlink ref="E924" r:id="rId616" display="http://www.angusrobertson.com.au/"/>
    <hyperlink ref="E925" r:id="rId617" display="https://www.appliancesonline.com.au"/>
    <hyperlink ref="C944" r:id="rId618" display="LoseIt.com"/>
    <hyperlink ref="E944" r:id="rId619" display="http://loseit.com"/>
    <hyperlink ref="E955" r:id="rId620" display="http://labs.webfoundation.org/projects/opendatafortransparency/"/>
    <hyperlink ref="E956" r:id="rId621" display="http://mapit.sinarproject.org"/>
    <hyperlink ref="E957" r:id="rId622" display="http://www.empowerconsultancy.com/"/>
    <hyperlink ref="E958" r:id="rId623" display="http://www.egssindia.com/"/>
    <hyperlink ref="E959" r:id="rId624" display="http://www.excelgeomatics.com/"/>
    <hyperlink ref="E960" r:id="rId625" display="http://www.aceradio.com.au/ "/>
    <hyperlink ref="E967" r:id="rId626" display="http://www.katadata.co.id"/>
    <hyperlink ref="E976" r:id="rId627" display="http://www.africanlaughter.com"/>
    <hyperlink ref="E977" r:id="rId628" display="http://www.foodtechconnect.com"/>
    <hyperlink ref="E978" r:id="rId629" display="http://www.oeco.org.br/amazonia"/>
    <hyperlink ref="E980" r:id="rId630" display="http://thomsonreuters.com/"/>
    <hyperlink ref="E981" r:id="rId631" display="http://www.newsware.com"/>
    <hyperlink ref="E982" r:id="rId632" display="www.ubimo.com"/>
    <hyperlink ref="AC982" r:id="rId633" display="https://www.ourcrowd.com/ubimo"/>
    <hyperlink ref="E983" r:id="rId634" display="https://factly.in/"/>
    <hyperlink ref="E984" r:id="rId635" display="http://jamaica-gleaner.com"/>
    <hyperlink ref="AC984" r:id="rId636" display="http://www.caribank.org/news/jamaica-and-barbados-win-major-prizes-at-digital-jam-3-0"/>
    <hyperlink ref="E986" r:id="rId637" display="https://www.textizen.com/"/>
    <hyperlink ref="P986" r:id="rId638" display="http://www.civicstack.org/"/>
    <hyperlink ref="E988" r:id="rId639" display="http://www.24x7welllogdigitizingservices.in/"/>
    <hyperlink ref="E989" r:id="rId640" display="http://abctechnolab.com/"/>
    <hyperlink ref="AC989" r:id="rId641" display="http://abctechnolab.com/readmore/"/>
    <hyperlink ref="E990" r:id="rId642" display="http://www.adanimining.com/"/>
    <hyperlink ref="E991" r:id="rId643" display="http://australia.angloamerican.com/"/>
    <hyperlink ref="E1004" r:id="rId644" display="http://www.yancoal.com.au/"/>
    <hyperlink ref="E1005" r:id="rId645" display="http://www.boloid.com"/>
    <hyperlink ref="E1006" r:id="rId646" display="http://www.etranzactgh.com"/>
    <hyperlink ref="E1007" r:id="rId647" display="http://www.confiscatibene.it/"/>
    <hyperlink ref="E1008" r:id="rId648" display="http://concursos.buenosaires.gob.ar/2013/"/>
    <hyperlink ref="E1009" r:id="rId649" display="http://www.datoseguro.gob.ec"/>
    <hyperlink ref="E1010" r:id="rId650" display="http://www.misiones.gov.ar/index.php"/>
    <hyperlink ref="E1011" r:id="rId651" display="http://landquest.internewskenya.org"/>
    <hyperlink ref="E1012" r:id="rId652" display="http://www.naijaconnectstore.com.ng"/>
    <hyperlink ref="E1014" r:id="rId653" display="http://www.mamnadzor.ru"/>
    <hyperlink ref="E1016" r:id="rId654" display="http://barriosactivos.com/"/>
    <hyperlink ref="P1016" r:id="rId655" display="http://www.civicstack.org/"/>
    <hyperlink ref="E1017" r:id="rId656" display="http://www.code4kenya.org/"/>
    <hyperlink ref="P1017" r:id="rId657" display="http://codeforall.org/"/>
    <hyperlink ref="E1018" r:id="rId658" display="https://spotfire.cloud.tibco.com/public/ViewAnalysis.aspx?file=/users/dmosenkis/Public/SyriaTracker5&amp;waid=ba6def77cf63b5f4f04d4-08053427bfdfc5"/>
    <hyperlink ref="E1019" r:id="rId659" location="!4bells-homecopy/colq" display="http://www.caravanstudios.org/#!4bells-homecopy/colq"/>
    <hyperlink ref="E1020" r:id="rId660" display="https://buildingeye.com/"/>
    <hyperlink ref="E1021" r:id="rId661" display="www.sozialhelden.de"/>
    <hyperlink ref="AC1021" r:id="rId662" display="http://brokenlifts.org/about"/>
    <hyperlink ref="E1024" r:id="rId663" display="https://sinar-malaysia.popit.mysociety.org/"/>
    <hyperlink ref="E1030" r:id="rId664" display="http://papers.ssrn.com/sol3/papers.cfm?abstract_id=2531701"/>
    <hyperlink ref="E1035" r:id="rId665" display="http://www.poderopedia.org/"/>
    <hyperlink ref="E1037" r:id="rId666" display="http://marsgroupkenya.org"/>
    <hyperlink ref="E1042" r:id="rId667" display="http://www.openpolis.it/"/>
    <hyperlink ref="E1043" r:id="rId668" display="http://arcipelagoareac.it&#10;"/>
    <hyperlink ref="E1044" r:id="rId669" display="http://www.pricecheck.co.za/"/>
    <hyperlink ref="E1045" r:id="rId670" display="http://www.gemproject.org/"/>
    <hyperlink ref="E1046" r:id="rId671" display="http://www.korbitec.com"/>
    <hyperlink ref="AC1049" r:id="rId672" display="http://www.abtmexico.net/"/>
    <hyperlink ref="E1053" r:id="rId673" display="http://www.africaresearch.co.za"/>
    <hyperlink ref="AC1055" r:id="rId674" display="http://www.amai.org/quienes_somos/quienes.php"/>
    <hyperlink ref="E1062" r:id="rId675" display="http://www.boozallen.com"/>
    <hyperlink ref="E1063" r:id="rId676" display="http://www.bcg.com"/>
    <hyperlink ref="E1067" r:id="rId677" display="www.opensecrets.org"/>
    <hyperlink ref="E1069" r:id="rId678" display="http://crai.com/"/>
    <hyperlink ref="E1073" r:id="rId679" display="http://dsnetwork.ru"/>
    <hyperlink ref="E1074" r:id="rId680" display="http://datauy.org"/>
    <hyperlink ref="E1076" r:id="rId681" display="http://www.deloitte.com"/>
    <hyperlink ref="E1083" r:id="rId682" display="http://www.forrester.com"/>
    <hyperlink ref="E1086" r:id="rId683" display="http://www.gallup.com"/>
    <hyperlink ref="E1088" r:id="rId684" display="www.geoscape.com"/>
    <hyperlink ref="E1089" r:id="rId685" display="http://www.ifactorconsulting.com"/>
    <hyperlink ref="E1090" r:id="rId686" display="http://www.impaqint.com"/>
    <hyperlink ref="E1095" r:id="rId687" display="http://www.knowledgeagency.com/"/>
    <hyperlink ref="E1099" r:id="rId688" display="http://www.mckinsey.com"/>
    <hyperlink ref="E1103" r:id="rId689" display="http://www.nera.com/"/>
    <hyperlink ref="E1104" r:id="rId690" display="http://www.nielsen.com/us/en.html"/>
    <hyperlink ref="E1106" r:id="rId691" display="http://www.oliverwyman.com/index.html"/>
    <hyperlink ref="E1107" r:id="rId692" display="http://www.oxfordresearchacademy.com"/>
    <hyperlink ref="E1109" r:id="rId693" display="http://www.poderopedia.org"/>
    <hyperlink ref="E1110" r:id="rId694" display="http://www.politweet.org"/>
    <hyperlink ref="E1112" r:id="rId695" display="http://www.rand.org"/>
    <hyperlink ref="E1118" r:id="rId696" display="http://www.advisory.com/"/>
    <hyperlink ref="E1119" r:id="rId697" display="http://www.bridgespan.org/"/>
    <hyperlink ref="E1121" r:id="rId698" display="http://www.tmsresearch.co.za"/>
    <hyperlink ref="E1122" r:id="rId699" display="http://www.villageswithoutborders.com/"/>
    <hyperlink ref="E1123" r:id="rId700" display="http://www.trb.org"/>
    <hyperlink ref="E1124" r:id="rId701" display="www.patentboard.com&#10;"/>
    <hyperlink ref="E1125" r:id="rId702" display="http://services.military.gwu.edu"/>
    <hyperlink ref="E1126" r:id="rId703" display="www.buckresearch.com/"/>
    <hyperlink ref="E1127" r:id="rId704" display="www.atlanticcouncil.org"/>
    <hyperlink ref="E1128" r:id="rId705" display="www.tti.tamu.edu"/>
    <hyperlink ref="E1132" r:id="rId706" display="http://www.aureus-sciences.com"/>
    <hyperlink ref="E1133" r:id="rId707" display="http://accelrys.com"/>
    <hyperlink ref="E1134" r:id="rId708" display="http://www.castlebiosciences.com"/>
    <hyperlink ref="E1135" r:id="rId709" display="http://www.ceibasolutions.com"/>
    <hyperlink ref="E1136" r:id="rId710" display="http://www.certara.com"/>
    <hyperlink ref="E1137" r:id="rId711" display="https://www.cas.org"/>
    <hyperlink ref="E1139" r:id="rId712" display="http://www.goldenhelix.com/"/>
    <hyperlink ref="E1142" r:id="rId713" display="http://www.innocentive.com"/>
    <hyperlink ref="E1143" r:id="rId714" display="https://openinnovation.lilly.com/dd/"/>
    <hyperlink ref="E1146" r:id="rId715" display="http://www.personalis.com"/>
    <hyperlink ref="E1147" r:id="rId716" display="http://www.reedelsevier.com/Pages/Home.aspx"/>
    <hyperlink ref="E1150" r:id="rId717" display="http://www.sophicalliance.com"/>
    <hyperlink ref="E1151" r:id="rId718" display="http://crimebot.net/"/>
    <hyperlink ref="E1152" r:id="rId719" display="http://www.northstar.ws/"/>
    <hyperlink ref="E1153" r:id="rId720" display="http://spotcrime.com/"/>
    <hyperlink ref="E1155" r:id="rId721" display="http://wemakeitsafer.com/"/>
    <hyperlink ref="E1156" r:id="rId722" display="http://capsure.opencityapps.org/ "/>
    <hyperlink ref="P1156" r:id="rId723" display="http://www.civicstack.org/"/>
    <hyperlink ref="E1157" r:id="rId724" display="http://www.crimeinchicago.org/ "/>
    <hyperlink ref="P1157" r:id="rId725" display="http://www.civicstack.org/"/>
    <hyperlink ref="E1158" r:id="rId726" display="http://cuantasmas.lapublica.org.bo/ "/>
    <hyperlink ref="P1158" r:id="rId727" display="http://www.civicstack.org/"/>
    <hyperlink ref="E1159" r:id="rId728" display="www.teamrubiconusa.org"/>
    <hyperlink ref="E1160" r:id="rId729" display="http://www.allphones.com.au/"/>
    <hyperlink ref="E1162" r:id="rId730" display="http://www.engin.com.au/"/>
    <hyperlink ref="E1163" r:id="rId731" display="http://www.iinet.net.au/home/"/>
    <hyperlink ref="E1164" r:id="rId732" display="http://www.internode.on.net/"/>
    <hyperlink ref="E1165" r:id="rId733" display="http://netboxblue.com/"/>
    <hyperlink ref="E1166" r:id="rId734" display="http://www.optus.com.au/"/>
    <hyperlink ref="E1167" r:id="rId735" display="http://www.peoplestelecom.net/"/>
    <hyperlink ref="E1168" r:id="rId736" display="http://www.pipenetworks.com/"/>
    <hyperlink ref="E1174" r:id="rId737" display="http://www.volunteercornwall.org.uk/bude-cleaner-seas-project/"/>
    <hyperlink ref="E1175" r:id="rId738" display="http://www.allied.com"/>
    <hyperlink ref="E1176" r:id="rId739" display="http://www.redball.com"/>
    <hyperlink ref="E1177" r:id="rId740" display="http://www.arpin.com"/>
    <hyperlink ref="E1178" r:id="rId741" display="http://home.downloadarrive.com"/>
    <hyperlink ref="E1180" r:id="rId742" display="https://www.anl.com.au/"/>
    <hyperlink ref="E1181" r:id="rId743" display="http://autochilango.com/"/>
    <hyperlink ref="E1182" r:id="rId744" display="http://www.bekins.com"/>
    <hyperlink ref="E1184" r:id="rId745" display="http://www.carfax.com"/>
    <hyperlink ref="E1186" r:id="rId746" display="ifai.codeandomexico.org"/>
    <hyperlink ref="E1187" r:id="rId747" display="http://www.deluxe-coachlines.com/"/>
    <hyperlink ref="E1188" r:id="rId748" display="http://bumultimedia.com/dromos/"/>
    <hyperlink ref="E1189" r:id="rId749" display="http://letsembark.com"/>
    <hyperlink ref="E1190" r:id="rId750" display="https://www.fireflyexpress.com.au/"/>
    <hyperlink ref="E1191" r:id="rId751" display="http://www.flightaware.com/"/>
    <hyperlink ref="AC1191" r:id="rId752" location="howlive" display="http://flightaware.com/about/faq#howlive"/>
    <hyperlink ref="E1193" r:id="rId753" display="http://www.flightview.com/"/>
    <hyperlink ref="E1194" r:id="rId754" display="https://www.freightlink.net/"/>
    <hyperlink ref="E1195" r:id="rId755" display="http://www.graebelmoving.com"/>
    <hyperlink ref="E1196" r:id="rId756" display="http://www.greatsouthernrail.com.au/"/>
    <hyperlink ref="E1197" r:id="rId757" display="http://www.greyhound.com.au/service-info/freight"/>
    <hyperlink ref="E1199" r:id="rId758" display="https://www.hopstop.com/"/>
    <hyperlink ref="E1200" r:id="rId759" display="http://cdkn.org/2013/04/climate-change-and-transport-sector-in-colombia-interview-to-michael-sanovis/"/>
    <hyperlink ref="E1201" r:id="rId760" display="http://www.inrixtraffic.com"/>
    <hyperlink ref="E1204" r:id="rId761" display="http://www.lewatmana.com"/>
    <hyperlink ref="AC1204" r:id="rId762" display="https://www.techinasia.com/lewatmana-helps-indonesian-commuters-dodge-traffic-live-cctv-feeds-travel-season-2/"/>
    <hyperlink ref="E1205" r:id="rId763" display="http://www.linfox.com//"/>
    <hyperlink ref="E1206" r:id="rId764" display="http://www.ma3route.com"/>
    <hyperlink ref="E1209" r:id="rId765" display="http://www.mozio.com/"/>
    <hyperlink ref="E1210" r:id="rId766" display="http://www.murrays.com.au/default.aspx"/>
    <hyperlink ref="E1211" r:id="rId767" display="http://www.nationalvanlines.com"/>
    <hyperlink ref="E1212" r:id="rId768" display="http://www.nextbus.com"/>
    <hyperlink ref="E1213" r:id="rId769" display="http://northamericanvanlines.com"/>
    <hyperlink ref="E1215" r:id="rId770" display="http://asciano.com.au/pacific-national"/>
    <hyperlink ref="E1217" r:id="rId771" display="http://GoodRoads.ru"/>
    <hyperlink ref="E1218" r:id="rId772" display="http://philippine-transit.hackathome.com/"/>
    <hyperlink ref="E1219" r:id="rId773" display="http://www.pinoytravel.com.ph"/>
    <hyperlink ref="E1221" r:id="rId774" location="home" display="http://www.prossess.com/#home"/>
    <hyperlink ref="C1228" r:id="rId775" display="SpotHero.com"/>
    <hyperlink ref="E1228" r:id="rId776" display="http://spothero.com/"/>
    <hyperlink ref="E1230" r:id="rId777" display="http://www.stevensworldwide.com/"/>
    <hyperlink ref="E1231" r:id="rId778" display="http://www.suddath.com/"/>
    <hyperlink ref="E1239" r:id="rId779" display="http://transportapi.com/"/>
    <hyperlink ref="E1240" r:id="rId780" display="http://www.truecar.com/"/>
    <hyperlink ref="E1241" r:id="rId781" display="https://www.tsaboin.com/"/>
    <hyperlink ref="E1242" r:id="rId782" display="https://www.uber.com/"/>
    <hyperlink ref="E1243" r:id="rId783" display="http://www.unitedmayflower.com/"/>
    <hyperlink ref="E1247" r:id="rId784" display="http://www.wheatonworldwide.com/"/>
    <hyperlink ref="E1248" r:id="rId785" display="http://wikiroutes.info/"/>
    <hyperlink ref="E1249" r:id="rId786" display="http://streetmix.net"/>
    <hyperlink ref="P1249" r:id="rId787" display="http://www.civicstack.org/"/>
    <hyperlink ref="E1250" r:id="rId788" display="http://www.wanderu.com"/>
    <hyperlink ref="E1251" r:id="rId789" display="http://www.vhb.com"/>
    <hyperlink ref="E1252" r:id="rId790" display="www.transitlabs.com"/>
    <hyperlink ref="C1253" r:id="rId791" display="Transfix.io"/>
    <hyperlink ref="E1253" r:id="rId792" display="www.transfix.io&#10;"/>
    <hyperlink ref="E1254" r:id="rId793" display="www.transafe-inc.com"/>
    <hyperlink ref="E1255" r:id="rId794" display="www.targetfmi.com"/>
    <hyperlink ref="E1256" r:id="rId795" display="http://synacor.co.ke/"/>
    <hyperlink ref="E1258" r:id="rId796" display="http://www.sarvajal.com"/>
    <hyperlink ref="E1262" r:id="rId797" display="https://www.caminosdelavilla.org/ "/>
    <hyperlink ref="P1262" r:id="rId798" display="http://www.civicstack.org/"/>
    <hyperlink ref="E1263" r:id="rId799" display="http://www.daraja.org/our-work/rtwp"/>
    <hyperlink ref="E1264" r:id="rId800" display="http://www.accuweather.com"/>
    <hyperlink ref="AC1264" r:id="rId801" display="http://www.accuweather.com/en/about"/>
    <hyperlink ref="E1266" r:id="rId802" display="forecast.io"/>
    <hyperlink ref="AB1266" r:id="rId803" display="http://forecast.io/raw/"/>
    <hyperlink ref="E1268" r:id="rId804" display="http://www.weather.com/"/>
    <hyperlink ref="E1269" r:id="rId805" display="http://www.wdtinc.com/"/>
    <hyperlink ref="E1270" r:id="rId806" display="http://www.wunderground.com/"/>
    <hyperlink ref="E1271" r:id="rId807" display="http://www.amigooptima.com/"/>
    <hyperlink ref="AC1271" r:id="rId808" display="http://www.amigooptima.com/about-us.php"/>
    <hyperlink ref="E1274" r:id="rId809" display="http://www.appface.in/"/>
    <hyperlink ref="E1280" r:id="rId810" display="https://www.zauba.com/company/AROGYA-MOBILE-HEALTH-PRIVATE-LIMITED/U85100DL2012PTC239654"/>
    <hyperlink ref="E1281" r:id="rId811" display="http://arrown.com/"/>
    <hyperlink ref="E1282" r:id="rId812" display="http://www.artinfosystems.com/industries.html"/>
    <hyperlink ref="E1285" r:id="rId813" display="http://astrainfosystems.com/services/GIS_services.htm"/>
    <hyperlink ref="E1286" r:id="rId814" display="http://www.atginformatics.com/GeospatialService.aspx"/>
    <hyperlink ref="E1288" r:id="rId815" display="http://www.attanocorp.com/"/>
    <hyperlink ref="E1290" r:id="rId816" display="http://www.avineonindia.com/what-we-do"/>
    <hyperlink ref="E1299" r:id="rId817" display="https://play.google.com/store/apps/details?id=com.appkiddo.smartfarmer"/>
    <hyperlink ref="E1302" r:id="rId818" display="http://www.bioexplore.co.in/index.php/en/"/>
    <hyperlink ref="E1304" r:id="rId819" display="http://www.birdseyetech.com/index.html"/>
    <hyperlink ref="C1316" r:id="rId820" display="Busroutes.in"/>
    <hyperlink ref="E1316" r:id="rId821" display="http://busroutes.in/chennai/"/>
    <hyperlink ref="E1317" r:id="rId822" display="http://www.cdac.in/"/>
    <hyperlink ref="T1322" r:id="rId823" display="http://www.campsallowen.co.uk/contact-us"/>
    <hyperlink ref="E1329" r:id="rId824" display="http://cdf.ifmr.ac.in/?cdf-site=india-pollution-map"/>
    <hyperlink ref="E1331" r:id="rId825" display="http://cgnetswara.org/"/>
    <hyperlink ref="E1336" r:id="rId826" display="https://itunes.apple.com/us/app/city-san-francisco-recreation/id549416838?ls=1&amp;mt=8"/>
    <hyperlink ref="T1338" r:id="rId827" display="http://www.cogentdataanalytics.com/contact.php "/>
    <hyperlink ref="E1341" r:id="rId828" display="http://compusense.in/"/>
    <hyperlink ref="E1342" r:id="rId829" display="http://www.connecteddevelopment.org/"/>
    <hyperlink ref="E1344" r:id="rId830" display="http://www.csridentity.com/"/>
    <hyperlink ref="E1346" r:id="rId831" display="http://www.osdd.net/"/>
    <hyperlink ref="T1355" r:id="rId832" display="http://www.cyscom.com/Contact/Default.aspx"/>
    <hyperlink ref="AC1368" r:id="rId833" location="!/data" display="http://devinit.org/#!/data"/>
    <hyperlink ref="E1370" r:id="rId834" location="" display="http://www.digicollectgis.com/#"/>
    <hyperlink ref="E1375" r:id="rId835" display="http://www.digitalgreen.org/"/>
    <hyperlink ref="E1377" r:id="rId836" display="http://www.dimagi.com/"/>
    <hyperlink ref="E1382" r:id="rId837" display="http://www.donteat.at/"/>
    <hyperlink ref="E1384" r:id="rId838" display="http://www.dsmsoft.com/geospatial.html"/>
    <hyperlink ref="E1387" r:id="rId839" display="http://www.ecocapita.in/gis.php"/>
    <hyperlink ref="E1389" r:id="rId840" display="https://www.evaidya.com/index.html"/>
    <hyperlink ref="E1391" r:id="rId841" display="http://www.ekgaon.com/"/>
    <hyperlink ref="E1394" r:id="rId842" display="http://www.emoksha.org/about.html"/>
    <hyperlink ref="E1395" r:id="rId843" display="http://www.empowerconsultancy.com/"/>
    <hyperlink ref="E1398" r:id="rId844" display="http://www.egssindia.com/"/>
    <hyperlink ref="E1406" r:id="rId845" display="http://www.excelgeomatics.com/"/>
    <hyperlink ref="E1408" r:id="rId846" display="http://www.experttechnologies.com/index.html"/>
    <hyperlink ref="E1420" r:id="rId847" display="http://www.brettonwoodsproject.org/2014/04/follow-the-money/"/>
    <hyperlink ref="E1424" r:id="rId848" display="http://www.frontalrain.com/"/>
    <hyperlink ref="T1426" r:id="rId849" display="http://www.fullcirclearts.co.uk/about/contact-us/"/>
    <hyperlink ref="E1433" r:id="rId850" display="http://www.genuineenterprice.com/"/>
    <hyperlink ref="E1435" r:id="rId851" display="http://www.geoadithya.com/"/>
    <hyperlink ref="E1437" r:id="rId852" display="http://www.geoconcept.in/emergency-and-safety"/>
    <hyperlink ref="E1438" r:id="rId853" display="http://www.geoicon.com/"/>
    <hyperlink ref="E1439" r:id="rId854" display="http://www.geokno.com/"/>
    <hyperlink ref="E1441" r:id="rId855" display="http://www.geoshott.com/"/>
    <hyperlink ref="E1442" r:id="rId856" display="http://www.geospoc.com/index.html"/>
    <hyperlink ref="E1443" r:id="rId857" display="http://www.geovista.co.in/services.html"/>
    <hyperlink ref="E1446" r:id="rId858" display="http://www.giscindia.com/"/>
    <hyperlink ref="E1456" r:id="rId859" display="http://www.harnesstouch.com/Implementation.htm"/>
    <hyperlink ref="E1459" r:id="rId860" display="http://healthifyme.com/"/>
    <hyperlink ref="C1464" r:id="rId861" display="Housing.com"/>
    <hyperlink ref="E1464" r:id="rId862" display="http://housing.com/careers"/>
    <hyperlink ref="T1470" r:id="rId863" display="http://www.linkedin.com/profile/view?id=92030208&amp;authType=NAME_SEARCH&amp;authToken=9oWv&amp;locale=en_US&amp;srchid=769280191394608484821&amp;srchindex=1&amp;srchtotal=1&amp;trk=vsrp_people_res_name&amp;trkInfo=VSRPsearchId%3A769280191394608484821%2CVSRPtargetId%3A92030208%2CVSRPcmpt%3Aprimary,"/>
    <hyperlink ref="E1471" r:id="rId864" display="http://www.igroovetec.com/"/>
    <hyperlink ref="E1475" r:id="rId865" display="http://www.indiawaterportal.org/data"/>
    <hyperlink ref="E1479" r:id="rId866" display="http://www.innovaccer.com/"/>
    <hyperlink ref="E1480" r:id="rId867" display="http://www.innovaccer.com/"/>
    <hyperlink ref="E1481" r:id="rId868" display="http://www.instahealthsolutions.com/index.html"/>
    <hyperlink ref="E1485" r:id="rId869" display="http://www.interpretomics.co/background"/>
    <hyperlink ref="E1487" r:id="rId870" display="http://www.intraspatial.com/"/>
    <hyperlink ref="E1490" r:id="rId871" display="http://ixorabiosciences.com/index.html"/>
    <hyperlink ref="E1491" r:id="rId872" display="http://www.janaagraha.org/content/program/ijanaagraha"/>
    <hyperlink ref="E1493" r:id="rId873" display="http://jetexit.com/GIS.html"/>
    <hyperlink ref="E1496" r:id="rId874" display="http://www.junar.com/"/>
    <hyperlink ref="E1499" r:id="rId875" display="http://www.kcubeconsulting.com/"/>
    <hyperlink ref="E1502" r:id="rId876" display="http://www.kissankerala.net/mobile/index.jsp"/>
    <hyperlink ref="E1511" r:id="rId877" display="http://laxmimayee.com/gis/"/>
    <hyperlink ref="E1512" r:id="rId878" display="http://www.layerinformatics.com/"/>
    <hyperlink ref="E1515" r:id="rId879" display="http://www.lend-a-hand-india.org/project-disha.php"/>
    <hyperlink ref="E1516" r:id="rId880" display="http://www.letsindia.in/"/>
    <hyperlink ref="E1520" r:id="rId881" display="http://lifecode.in/services/"/>
    <hyperlink ref="E1529" r:id="rId882" display="http://www.northstar.ws/"/>
    <hyperlink ref="E1532" r:id="rId883" display="http://www.mapmygenome.in/"/>
    <hyperlink ref="E1533" r:id="rId884" display="http://www.mappls.com/"/>
    <hyperlink ref="E1535" r:id="rId885" display="http://mapunity.in/"/>
    <hyperlink ref="E1538" r:id="rId886" display="http://www.matrix-geo.com/"/>
    <hyperlink ref="E1543" r:id="rId887" display="http://www.metaome.com/about.html"/>
    <hyperlink ref="AC1545" r:id="rId888" display="http://www.nesta.org.uk/blog/skills-route-shows-way-next-generation-education-open-data-apps"/>
    <hyperlink ref="E1546" r:id="rId889" display="http://www.minglebox.com/"/>
    <hyperlink ref="E1547" r:id="rId890" display="http://www.mixmarket.org/mfi/country/India"/>
    <hyperlink ref="E1549" r:id="rId891" display="http://mobilizinghealth.org/MobilizingHealthSummary.pdf"/>
    <hyperlink ref="E1557" r:id="rId892" display="http://www.multimindcreations.com/about.php"/>
    <hyperlink ref="E1564" r:id="rId893" display="http://naksha-solutions.com/"/>
    <hyperlink ref="E1566" r:id="rId894" display="http://www.neosphere-ambiance.com/services/gis-remote.html"/>
    <hyperlink ref="E1572" r:id="rId895" display="http://nextdrop.org/"/>
    <hyperlink ref="E1581" r:id="rId896" display="http://sumall.org"/>
    <hyperlink ref="E1583" r:id="rId897" display="http://www.ocimumbio.com/"/>
    <hyperlink ref="E1598" r:id="rId898" display="http://www.openpgx.org/about-us"/>
    <hyperlink ref="E1600" r:id="rId899" display="http://lsi.iiit.ac.in/drupal-7.1/node/47"/>
    <hyperlink ref="E1616" r:id="rId900" display="http://www.pamtech.biz/home.aspx"/>
    <hyperlink ref="E1629" r:id="rId901" location="about" display="http://www.sarvajal.com/#about"/>
    <hyperlink ref="E1633" r:id="rId902" display="http://www.podiuminfotech.com/"/>
    <hyperlink ref="C1636" r:id="rId903" display="Praja.in"/>
    <hyperlink ref="E1636" r:id="rId904" display="http://praja.in/en"/>
    <hyperlink ref="E1637" r:id="rId905" display="http://www.pramuka.in/"/>
    <hyperlink ref="E1646" r:id="rId906" display="http://www.qmed.org.in/"/>
    <hyperlink ref="C1651" r:id="rId907" display="Railyatri.in"/>
    <hyperlink ref="E1651" r:id="rId908" display="http://railyatri.in/"/>
    <hyperlink ref="E1652" r:id="rId909" display="http://www.greeno.in/index.html"/>
    <hyperlink ref="E1654" r:id="rId910" location="!range/c1ht6" display="http://www.caravanstudios.org/#!range/c1ht6"/>
    <hyperlink ref="AC1657" r:id="rId911" display="https://www.ratesetter.com/home/legal"/>
    <hyperlink ref="E1660" r:id="rId912" display="http://www.rednetworks.in/gis.html"/>
    <hyperlink ref="E1662" r:id="rId913" display="http://www.redan.in/gis.html"/>
    <hyperlink ref="E1664" r:id="rId914" display="http://www.rsgisrs.com/"/>
    <hyperlink ref="E1673" r:id="rId915" location="!safenight/cfvg" display="http://www.caravanstudios.org/#!safenight/cfvg"/>
    <hyperlink ref="E1674" r:id="rId916" display="http://www.tekmindz.com/"/>
    <hyperlink ref="E1677" r:id="rId917" display="http://www.satpalda.com/"/>
    <hyperlink ref="E1678" r:id="rId918" display="http://www.scanpointgeomatics.com/"/>
    <hyperlink ref="E1683" r:id="rId919" display="http://www.secon.in/"/>
    <hyperlink ref="E1694" r:id="rId920" display="http://socialblood.org/about"/>
    <hyperlink ref="E1702" r:id="rId921" display="http://www.spageo.co.in/"/>
    <hyperlink ref="E1703" r:id="rId922" display="http://www.spatialdecisions.com/about_sd/about_sd.htm"/>
    <hyperlink ref="E1704" r:id="rId923" display="http://www.spatialideas.com/"/>
    <hyperlink ref="E1706" r:id="rId924" display="https://spendnetwork.com/"/>
    <hyperlink ref="E1711" r:id="rId925" display="http://www.stellapps.com/"/>
    <hyperlink ref="E1719" r:id="rId926" display="http://www.crownagents.com/what-we-do/public-financial-management/e-procurement"/>
    <hyperlink ref="E1720" r:id="rId927" display="http://surgerica.com/about_us.php"/>
    <hyperlink ref="E1721" r:id="rId928" display="www.swasthyaslate.org"/>
    <hyperlink ref="C1729" r:id="rId929" display="TaxiforSure.com"/>
    <hyperlink ref="E1729" r:id="rId930" display="http://www.taxiforsure.com/"/>
    <hyperlink ref="E1732" r:id="rId931" display="http://lurnq.com/"/>
    <hyperlink ref="E1735" r:id="rId932" display="http://territorialprescience.co.in/"/>
    <hyperlink ref="E1758" r:id="rId933" display="http://theovel.com/"/>
    <hyperlink ref="E1772" r:id="rId934" display="http://www.transparentchennai.com/about/"/>
    <hyperlink ref="E1776" r:id="rId935" display="http://tsttechnologies.com/ServicesnProducts.aspx"/>
    <hyperlink ref="E1780" r:id="rId936" display="http://www.uneecops.com/gis_services.html"/>
    <hyperlink ref="E1781" r:id="rId937" display="http://www.universalgeoinformatics.com/"/>
    <hyperlink ref="E1782" r:id="rId938" display="http://www.upbeattech.com/"/>
    <hyperlink ref="E1783" r:id="rId939" display="http://www.variacsystems.com/gisgeospatial.html"/>
    <hyperlink ref="E1784" r:id="rId940" display="http://vectorhead.co.in/index.html"/>
    <hyperlink ref="E1786" r:id="rId941" display="http://www.vidyuth.org/"/>
    <hyperlink ref="E1790" r:id="rId942" display="http://www.voiceofbigdata.com/index.html"/>
    <hyperlink ref="E1793" r:id="rId943" display="http://wapmerr.in/"/>
    <hyperlink ref="E1796" r:id="rId944" display="http://www.weavertec.com/"/>
    <hyperlink ref="E1797" r:id="rId945" display="https://www.erpnext.com/"/>
    <hyperlink ref="E1803" r:id="rId946" display="http://worldhealthpartners.org/?p=1"/>
    <hyperlink ref="E1805" r:id="rId947" display="http://www.wtiatl.com/index.html"/>
    <hyperlink ref="E1806" r:id="rId948" display="http://www.xcelrisgenomics.com/"/>
    <hyperlink ref="E1811" r:id="rId949" display="http://www.yourbus.in/index.html"/>
    <hyperlink ref="E1814" r:id="rId950" display="http://www.zoominsoftech.com/"/>
    <hyperlink ref="E1817" r:id="rId951" display="http://lavacunacontralacorrupcion.blogspot.mx/2014_05_01_archive.html"/>
    <hyperlink ref="E1818" r:id="rId952" display="https://www.youtube.com/watch?v=XmSh2LfbNRM"/>
    <hyperlink ref="E1820" r:id="rId953" display="http://lavacunacontralacorrupcion.blogspot.mx/2014_02_01_archive.html"/>
    <hyperlink ref="E1823" r:id="rId954" display="http://www.boulevard4.com/"/>
    <hyperlink ref="AB1823" r:id="rId955" display="http://www.buenosaires.gob.ar/aplicacionesmoviles/calles-historicas"/>
    <hyperlink ref="E1824" r:id="rId956" display="http://www.entrenaya.com/"/>
    <hyperlink ref="AB1824" r:id="rId957" display="http://www.buenosaires.gob.ar/aplicacionesmoviles/entrenaya"/>
    <hyperlink ref="E1825" r:id="rId958" display="http://www.puntoapartes.com.ar/"/>
    <hyperlink ref="AB1825" r:id="rId959" display="http://www.buenosaires.gob.ar/aplicacionesmoviles/donde"/>
    <hyperlink ref="E1826" r:id="rId960" display="http://paisanoscreando.com/"/>
    <hyperlink ref="AB1826" r:id="rId961" display="http://www.buenosaires.gob.ar/aplicacionesmoviles/me-voy-en-bici"/>
    <hyperlink ref="E1827" r:id="rId962" display="http://cruzroja.org.ar/"/>
    <hyperlink ref="AB1827" r:id="rId963" display="http://www.buenosaires.gob.ar/aplicacionesmoviles/cruz-roja-argentina"/>
    <hyperlink ref="E1828" r:id="rId964" display="https://acadeu.com/"/>
    <hyperlink ref="AB1828" r:id="rId965" display="http://www.buenosaires.gob.ar/aplicacionesmoviles/acadeu"/>
    <hyperlink ref="E1829" r:id="rId966" display="http://mushapps.com/"/>
    <hyperlink ref="AB1829" r:id="rId967" display="http://www.buenosaires.gob.ar/aplicacionesmoviles/biciplus"/>
    <hyperlink ref="E1830" r:id="rId968" display="http://www.huesped.org.ar/"/>
    <hyperlink ref="AB1830" r:id="rId969" display="http://www.buenosaires.gob.ar/aplicacionesmoviles/donde-0"/>
    <hyperlink ref="E1831" r:id="rId970" display="https://www.facebook.com/labgcba"/>
    <hyperlink ref="AB1832" r:id="rId971" display="http://blog.properati.com.ar/el-platano-de-la-discordia/"/>
    <hyperlink ref="E1833" r:id="rId972" display="http://www.lanacion.com.ar/"/>
    <hyperlink ref="AB1833" r:id="rId973" display="http://www.lanacion.com.ar/1760016-reclamos-barrios-buenos-aires-2014"/>
    <hyperlink ref="E1834" r:id="rId974" display="http://dk.okfn.org"/>
    <hyperlink ref="E1835" r:id="rId975" display="https://developer.dansksupermarked.dk/v1/overview/"/>
    <hyperlink ref="E1836" r:id="rId976" display="http://organicity.projects.cavi.au.dk/"/>
    <hyperlink ref="T1836" r:id="rId977" display="http://organicity.projects.cavi.au.dk/organicity"/>
    <hyperlink ref="E1837" r:id="rId978" display="http://kl7.dk/en"/>
    <hyperlink ref="E1838" r:id="rId979" display="http://sundhedsinnovationsjaelland.dk/projekter/open-data"/>
    <hyperlink ref="E1839" r:id="rId980" display="http://xpleo.dk/"/>
    <hyperlink ref="T1839" r:id="rId981" display="http://xpleo.dk/contact"/>
    <hyperlink ref="E1840" r:id="rId982" display="http://www.dst.dk/da/Statistik/statistikbanken/api.aspx"/>
    <hyperlink ref="C1841" r:id="rId983" display="OpenData.se                 "/>
    <hyperlink ref="E1841" r:id="rId984" display="http://www.opendata.se/"/>
    <hyperlink ref="C1842" r:id="rId985" display="Openaid.se"/>
    <hyperlink ref="E1842" r:id="rId986" display="http://www.openaid.se/"/>
    <hyperlink ref="E1843" r:id="rId987" display="http://www.scb.se/en_/About-us/Open-data-API/"/>
    <hyperlink ref="E1844" r:id="rId988" display="http://se.okfn.org/"/>
    <hyperlink ref="E1845" r:id="rId989" display="http://www.opennordics.org/"/>
    <hyperlink ref="E1846" r:id="rId990" display="http://www.vinnova.se/sv/Var-verksamhet/Strategiskt-viktiga-kunskapsomraden/Tjanster-och-IKT/Oppen-innovation/Oppna-data/"/>
    <hyperlink ref="E1847" r:id="rId991" display="http://www.opennorth.se/"/>
    <hyperlink ref="T1847" r:id="rId992" display="http://www.opennorth.se/?page_id=11"/>
    <hyperlink ref="C1848" r:id="rId993" display="data.norge.no"/>
    <hyperlink ref="E1848" r:id="rId994" display="http://data.norge.no/"/>
    <hyperlink ref="E1849" r:id="rId995" display="http://www.septima.dk/"/>
    <hyperlink ref="E1850" r:id="rId996" display="http://www.geomatic.dk/"/>
    <hyperlink ref="E1851" r:id="rId997" display="http://beta.findtoilet.dk/"/>
    <hyperlink ref="E1852" r:id="rId998" display="http://dopter.se/"/>
    <hyperlink ref="E1853" r:id="rId999" display="https://theodi.org/nodes/gothenburg"/>
    <hyperlink ref="E1854" r:id="rId1000" display="http://metasolutions.se/"/>
    <hyperlink ref="E1855" r:id="rId1001" display="http://www.codeforafrica.org/"/>
    <hyperlink ref="P1855" r:id="rId1002" display="http://codeforall.org/"/>
    <hyperlink ref="P1856" r:id="rId1003" display="http://codeforall.org/"/>
    <hyperlink ref="P1857" r:id="rId1004" display="http://codeforall.org/"/>
    <hyperlink ref="P1858" r:id="rId1005" display="http://codeforall.org/"/>
    <hyperlink ref="E1859" r:id="rId1006" display="http://openbrazil.org/"/>
    <hyperlink ref="P1859" r:id="rId1007" display="http://codeforall.org/"/>
    <hyperlink ref="P1860" r:id="rId1008" display="http://www.civicstack.org/"/>
    <hyperlink ref="E1861" r:id="rId1009" display="http://www.avoinministerio.fi/"/>
    <hyperlink ref="P1861" r:id="rId1010" display="http://www.civicstack.org/"/>
    <hyperlink ref="E1862" r:id="rId1011" display="http://www.cnt.org/"/>
    <hyperlink ref="P1862" r:id="rId1012" display="http://www.civicstack.org/"/>
    <hyperlink ref="P1863" r:id="rId1013" display="http://www.civicstack.org/"/>
    <hyperlink ref="E1864" r:id="rId1014" display="http://codefor.de/"/>
    <hyperlink ref="E1865" r:id="rId1015" display="https://www.loomio.org/"/>
    <hyperlink ref="P1865" r:id="rId1016" display="http://www.civicstack.org/"/>
    <hyperlink ref="E1866" r:id="rId1017" display="https://x.piratar.is"/>
    <hyperlink ref="P1866" r:id="rId1018" display="http://www.civicstack.org/"/>
    <hyperlink ref="P1867" r:id="rId1019" display="datos.gob.es"/>
    <hyperlink ref="P1868" r:id="rId1020" display="datos.gob.es"/>
    <hyperlink ref="P1869" r:id="rId1021" display="datos.gob.es"/>
    <hyperlink ref="P1870" r:id="rId1022" display="datos.gob.es"/>
    <hyperlink ref="P1871" r:id="rId1023" display="datos.gob.es"/>
    <hyperlink ref="P1872" r:id="rId1024" display="datos.gob.es"/>
    <hyperlink ref="P1873" r:id="rId1025" display="datos.gob.es"/>
    <hyperlink ref="P1874" r:id="rId1026" display="datos.gob.es"/>
    <hyperlink ref="P1875" r:id="rId1027" display="datos.gob.es"/>
    <hyperlink ref="P1876" r:id="rId1028" display="datos.gob.es"/>
    <hyperlink ref="P1877" r:id="rId1029" display="datos.gob.es"/>
    <hyperlink ref="P1878" r:id="rId1030" display="datos.gob.es"/>
    <hyperlink ref="P1879" r:id="rId1031" display="datos.gob.es"/>
    <hyperlink ref="P1880" r:id="rId1032" display="datos.gob.es"/>
    <hyperlink ref="P1881" r:id="rId1033" display="datos.gob.es"/>
    <hyperlink ref="P1882" r:id="rId1034" display="datos.gob.es"/>
    <hyperlink ref="P1883" r:id="rId1035" display="datos.gob.es"/>
    <hyperlink ref="P1884" r:id="rId1036" display="datos.gob.es"/>
    <hyperlink ref="P1885" r:id="rId1037" display="datos.gob.es"/>
    <hyperlink ref="P1886" r:id="rId1038" display="datos.gob.es"/>
    <hyperlink ref="P1887" r:id="rId1039" display="datos.gob.es"/>
    <hyperlink ref="P1888" r:id="rId1040" display="datos.gob.es"/>
    <hyperlink ref="P1889" r:id="rId1041" display="datos.gob.es"/>
    <hyperlink ref="P1890" r:id="rId1042" display="datos.gob.es"/>
    <hyperlink ref="P1891" r:id="rId1043" display="datos.gob.es"/>
    <hyperlink ref="P1892" r:id="rId1044" display="datos.gob.es"/>
    <hyperlink ref="P1893" r:id="rId1045" display="datos.gob.es"/>
    <hyperlink ref="P1894" r:id="rId1046" display="datos.gob.es"/>
    <hyperlink ref="P1895" r:id="rId1047" display="datos.gob.es"/>
    <hyperlink ref="P1896" r:id="rId1048" display="datos.gob.es"/>
    <hyperlink ref="P1897" r:id="rId1049" display="datos.gob.es"/>
    <hyperlink ref="P1898" r:id="rId1050" display="datos.gob.es"/>
    <hyperlink ref="P1899" r:id="rId1051" display="datos.gob.es"/>
    <hyperlink ref="P1900" r:id="rId1052" display="datos.gob.es"/>
    <hyperlink ref="P1901" r:id="rId1053" display="datos.gob.es"/>
    <hyperlink ref="P1902" r:id="rId1054" display="datos.gob.es"/>
    <hyperlink ref="P1903" r:id="rId1055" display="datos.gob.es"/>
    <hyperlink ref="P1904" r:id="rId1056" display="datos.gob.es"/>
    <hyperlink ref="P1905" r:id="rId1057" display="datos.gob.es"/>
    <hyperlink ref="P1906" r:id="rId1058" display="datos.gob.es"/>
    <hyperlink ref="P1907" r:id="rId1059" display="datos.gob.es"/>
    <hyperlink ref="P1908" r:id="rId1060" display="datos.gob.es"/>
    <hyperlink ref="P1909" r:id="rId1061" display="datos.gob.es"/>
    <hyperlink ref="P1910" r:id="rId1062" display="datos.gob.es"/>
    <hyperlink ref="P1911" r:id="rId1063" display="datos.gob.es"/>
    <hyperlink ref="P1912" r:id="rId1064" display="datos.gob.es"/>
    <hyperlink ref="P1913" r:id="rId1065" display="datos.gob.es"/>
    <hyperlink ref="P1914" r:id="rId1066" display="datos.gob.es"/>
    <hyperlink ref="P1915" r:id="rId1067" display="datos.gob.es"/>
    <hyperlink ref="P1916" r:id="rId1068" display="datos.gob.es"/>
    <hyperlink ref="P1917" r:id="rId1069" display="datos.gob.es"/>
    <hyperlink ref="P1918" r:id="rId1070" display="datos.gob.es"/>
    <hyperlink ref="P1919" r:id="rId1071" display="datos.gob.es"/>
    <hyperlink ref="P1920" r:id="rId1072" display="datos.gob.es"/>
    <hyperlink ref="P1921" r:id="rId1073" display="datos.gob.es"/>
    <hyperlink ref="P1922" r:id="rId1074" display="datos.gob.es"/>
    <hyperlink ref="P1923" r:id="rId1075" display="datos.gob.es"/>
    <hyperlink ref="P1924" r:id="rId1076" display="datos.gob.es"/>
    <hyperlink ref="P1925" r:id="rId1077" display="datos.gob.es"/>
    <hyperlink ref="P1926" r:id="rId1078" display="datos.gob.es"/>
    <hyperlink ref="P1927" r:id="rId1079" display="datos.gob.es"/>
    <hyperlink ref="P1928" r:id="rId1080" display="datos.gob.es"/>
    <hyperlink ref="P1929" r:id="rId1081" display="datos.gob.es"/>
    <hyperlink ref="P1930" r:id="rId1082" display="datos.gob.es"/>
    <hyperlink ref="P1931" r:id="rId1083" display="datos.gob.es"/>
    <hyperlink ref="P1932" r:id="rId1084" display="datos.gob.es"/>
    <hyperlink ref="P1933" r:id="rId1085" display="datos.gob.es"/>
    <hyperlink ref="P1934" r:id="rId1086" display="datos.gob.es"/>
    <hyperlink ref="P1935" r:id="rId1087" display="datos.gob.es"/>
    <hyperlink ref="P1936" r:id="rId1088" display="datos.gob.es"/>
    <hyperlink ref="P1937" r:id="rId1089" display="datos.gob.es"/>
    <hyperlink ref="P1938" r:id="rId1090" display="datos.gob.es"/>
    <hyperlink ref="P1939" r:id="rId1091" display="datos.gob.es"/>
    <hyperlink ref="P1940" r:id="rId1092" display="datos.gob.es"/>
    <hyperlink ref="P1941" r:id="rId1093" display="datos.gob.es"/>
    <hyperlink ref="P1942" r:id="rId1094" display="datos.gob.es"/>
    <hyperlink ref="P1943" r:id="rId1095" display="datos.gob.es"/>
    <hyperlink ref="P1944" r:id="rId1096" display="datos.gob.es"/>
    <hyperlink ref="P1945" r:id="rId1097" display="datos.gob.es"/>
    <hyperlink ref="P1946" r:id="rId1098" display="datos.gob.es"/>
    <hyperlink ref="P1947" r:id="rId1099" display="datos.gob.es"/>
    <hyperlink ref="P1948" r:id="rId1100" display="datos.gob.es"/>
    <hyperlink ref="P1949" r:id="rId1101" display="datos.gob.es"/>
    <hyperlink ref="P1950" r:id="rId1102" display="datos.gob.es"/>
    <hyperlink ref="P1951" r:id="rId1103" display="datos.gob.es"/>
    <hyperlink ref="P1952" r:id="rId1104" display="datos.gob.es"/>
    <hyperlink ref="P1953" r:id="rId1105" display="datos.gob.es"/>
    <hyperlink ref="P1954" r:id="rId1106" display="datos.gob.es"/>
    <hyperlink ref="P1955" r:id="rId1107" display="datos.gob.es"/>
    <hyperlink ref="P1956" r:id="rId1108" display="datos.gob.es"/>
    <hyperlink ref="P1957" r:id="rId1109" display="datos.gob.es"/>
    <hyperlink ref="P1958" r:id="rId1110" display="datos.gob.es"/>
    <hyperlink ref="P1959" r:id="rId1111" display="datos.gob.es"/>
    <hyperlink ref="P1960" r:id="rId1112" display="datos.gob.es"/>
    <hyperlink ref="P1961" r:id="rId1113" display="datos.gob.es"/>
    <hyperlink ref="P1962" r:id="rId1114" display="datos.gob.es"/>
    <hyperlink ref="P1963" r:id="rId1115" display="datos.gob.es"/>
    <hyperlink ref="P1964" r:id="rId1116" display="datos.gob.es"/>
    <hyperlink ref="P1965" r:id="rId1117" display="datos.gob.es"/>
    <hyperlink ref="P1966" r:id="rId1118" display="datos.gob.es"/>
    <hyperlink ref="P1967" r:id="rId1119" display="datos.gob.es"/>
    <hyperlink ref="P1968" r:id="rId1120" display="datos.gob.es"/>
    <hyperlink ref="P1969" r:id="rId1121" display="datos.gob.es"/>
    <hyperlink ref="P1970" r:id="rId1122" display="datos.gob.es"/>
    <hyperlink ref="P1971" r:id="rId1123" display="datos.gob.es"/>
    <hyperlink ref="P1972" r:id="rId1124" display="datos.gob.es"/>
    <hyperlink ref="P1973" r:id="rId1125" display="datos.gob.es"/>
    <hyperlink ref="P1974" r:id="rId1126" display="datos.gob.es"/>
    <hyperlink ref="P1975" r:id="rId1127" display="datos.gob.es"/>
    <hyperlink ref="P1976" r:id="rId1128" display="datos.gob.es"/>
    <hyperlink ref="P1977" r:id="rId1129" display="datos.gob.es"/>
    <hyperlink ref="P1978" r:id="rId1130" display="datos.gob.es"/>
    <hyperlink ref="P1979" r:id="rId1131" display="datos.gob.es"/>
    <hyperlink ref="P1980" r:id="rId1132" display="datos.gob.es"/>
    <hyperlink ref="P1981" r:id="rId1133" display="datos.gob.es"/>
    <hyperlink ref="P1982" r:id="rId1134" display="datos.gob.es"/>
    <hyperlink ref="P1983" r:id="rId1135" display="datos.gob.es"/>
    <hyperlink ref="P1984" r:id="rId1136" display="datos.gob.es"/>
    <hyperlink ref="P1985" r:id="rId1137" display="datos.gob.es"/>
    <hyperlink ref="P1986" r:id="rId1138" display="datos.gob.es"/>
    <hyperlink ref="P1987" r:id="rId1139" display="datos.gob.es"/>
    <hyperlink ref="P1988" r:id="rId1140" display="datos.gob.es"/>
    <hyperlink ref="P1989" r:id="rId1141" display="datos.gob.es"/>
    <hyperlink ref="P1990" r:id="rId1142" display="datos.gob.es"/>
    <hyperlink ref="P1991" r:id="rId1143" display="datos.gob.es"/>
    <hyperlink ref="P1992" r:id="rId1144" display="datos.gob.es"/>
    <hyperlink ref="P1993" r:id="rId1145" display="datos.gob.es"/>
    <hyperlink ref="P1994" r:id="rId1146" display="datos.gob.es"/>
    <hyperlink ref="P1995" r:id="rId1147" display="datos.gob.es"/>
    <hyperlink ref="P1996" r:id="rId1148" display="datos.gob.es"/>
    <hyperlink ref="P1997" r:id="rId1149" display="datos.gob.es"/>
    <hyperlink ref="P1998" r:id="rId1150" display="datos.gob.es"/>
    <hyperlink ref="P1999" r:id="rId1151" display="datos.gob.es"/>
    <hyperlink ref="P2000" r:id="rId1152" display="datos.gob.es"/>
    <hyperlink ref="P2001" r:id="rId1153" display="datos.gob.es"/>
    <hyperlink ref="P2002" r:id="rId1154" display="datos.gob.es"/>
    <hyperlink ref="P2003" r:id="rId1155" display="datos.gob.es"/>
    <hyperlink ref="P2004" r:id="rId1156" display="datos.gob.es"/>
    <hyperlink ref="P2005" r:id="rId1157" display="datos.gob.es"/>
    <hyperlink ref="P2006" r:id="rId1158" display="datos.gob.es"/>
    <hyperlink ref="P2007" r:id="rId1159" display="datos.gob.es"/>
    <hyperlink ref="P2008" r:id="rId1160" display="datos.gob.es"/>
    <hyperlink ref="P2009" r:id="rId1161" display="datos.gob.es"/>
    <hyperlink ref="P2010" r:id="rId1162" display="datos.gob.es"/>
    <hyperlink ref="P2011" r:id="rId1163" display="datos.gob.es"/>
    <hyperlink ref="P2012" r:id="rId1164" display="datos.gob.es"/>
    <hyperlink ref="P2013" r:id="rId1165" display="datos.gob.es"/>
    <hyperlink ref="P2014" r:id="rId1166" display="datos.gob.es"/>
    <hyperlink ref="P2015" r:id="rId1167" display="datos.gob.es"/>
    <hyperlink ref="P2016" r:id="rId1168" display="datos.gob.es"/>
    <hyperlink ref="P2017" r:id="rId1169" display="datos.gob.es"/>
    <hyperlink ref="P2018" r:id="rId1170" display="datos.gob.es"/>
    <hyperlink ref="P2019" r:id="rId1171" display="datos.gob.es"/>
    <hyperlink ref="P2020" r:id="rId1172" display="datos.gob.es"/>
    <hyperlink ref="P2021" r:id="rId1173" display="datos.gob.es"/>
    <hyperlink ref="P2022" r:id="rId1174" display="datos.gob.es"/>
    <hyperlink ref="P2023" r:id="rId1175" display="datos.gob.es"/>
    <hyperlink ref="P2024" r:id="rId1176" display="datos.gob.es"/>
    <hyperlink ref="P2025" r:id="rId1177" display="datos.gob.es"/>
    <hyperlink ref="P2026" r:id="rId1178" display="datos.gob.es"/>
    <hyperlink ref="P2027" r:id="rId1179" display="datos.gob.es"/>
    <hyperlink ref="P2028" r:id="rId1180" display="datos.gob.es"/>
    <hyperlink ref="P2029" r:id="rId1181" display="datos.gob.es"/>
    <hyperlink ref="P2030" r:id="rId1182" display="datos.gob.es"/>
    <hyperlink ref="P2031" r:id="rId1183" display="datos.gob.es"/>
    <hyperlink ref="P2032" r:id="rId1184" display="datos.gob.es"/>
    <hyperlink ref="P2033" r:id="rId1185" display="datos.gob.es"/>
    <hyperlink ref="P2034" r:id="rId1186" display="datos.gob.es"/>
    <hyperlink ref="P2035" r:id="rId1187" display="datos.gob.es"/>
    <hyperlink ref="P2036" r:id="rId1188" display="datos.gob.es"/>
    <hyperlink ref="P2037" r:id="rId1189" display="datos.gob.es"/>
    <hyperlink ref="P2038" r:id="rId1190" display="datos.gob.es"/>
    <hyperlink ref="P2039" r:id="rId1191" display="datos.gob.es"/>
    <hyperlink ref="P2040" r:id="rId1192" display="datos.gob.es"/>
    <hyperlink ref="P2041" r:id="rId1193" display="datos.gob.es"/>
    <hyperlink ref="P2042" r:id="rId1194" display="datos.gob.es"/>
    <hyperlink ref="P2043" r:id="rId1195" display="datos.gob.es"/>
    <hyperlink ref="P2044" r:id="rId1196" display="datos.gob.es"/>
    <hyperlink ref="P2045" r:id="rId1197" display="datos.gob.es"/>
    <hyperlink ref="P2046" r:id="rId1198" display="datos.gob.es"/>
    <hyperlink ref="P2047" r:id="rId1199" display="datos.gob.es"/>
    <hyperlink ref="P2048" r:id="rId1200" display="datos.gob.es"/>
    <hyperlink ref="P2049" r:id="rId1201" display="datos.gob.es"/>
    <hyperlink ref="P2050" r:id="rId1202" display="datos.gob.es"/>
    <hyperlink ref="P2051" r:id="rId1203" display="datos.gob.es"/>
    <hyperlink ref="P2052" r:id="rId1204" display="datos.gob.es"/>
    <hyperlink ref="P2053" r:id="rId1205" display="datos.gob.es"/>
    <hyperlink ref="P2054" r:id="rId1206" display="datos.gob.es"/>
    <hyperlink ref="P2055" r:id="rId1207" display="datos.gob.es"/>
    <hyperlink ref="P2056" r:id="rId1208" display="datos.gob.es"/>
    <hyperlink ref="P2057" r:id="rId1209" display="datos.gob.es"/>
    <hyperlink ref="P2058" r:id="rId1210" display="datos.gob.es"/>
    <hyperlink ref="P2059" r:id="rId1211" display="datos.gob.es"/>
    <hyperlink ref="P2060" r:id="rId1212" display="datos.gob.es"/>
    <hyperlink ref="P2061" r:id="rId1213" display="datos.gob.es"/>
    <hyperlink ref="P2062" r:id="rId1214" display="datos.gob.es"/>
    <hyperlink ref="P2063" r:id="rId1215" display="datos.gob.es"/>
    <hyperlink ref="P2064" r:id="rId1216" display="datos.gob.es"/>
    <hyperlink ref="P2065" r:id="rId1217" display="datos.gob.es"/>
    <hyperlink ref="P2066" r:id="rId1218" display="datos.gob.es"/>
    <hyperlink ref="P2067" r:id="rId1219" display="datos.gob.es"/>
    <hyperlink ref="P2068" r:id="rId1220" display="datos.gob.es"/>
    <hyperlink ref="P2069" r:id="rId1221" display="datos.gob.es"/>
    <hyperlink ref="P2070" r:id="rId1222" display="datos.gob.es"/>
    <hyperlink ref="P2071" r:id="rId1223" display="datos.gob.es"/>
    <hyperlink ref="P2072" r:id="rId1224" display="datos.gob.es"/>
    <hyperlink ref="P2073" r:id="rId1225" display="datos.gob.es"/>
    <hyperlink ref="P2074" r:id="rId1226" display="datos.gob.es"/>
    <hyperlink ref="P2075" r:id="rId1227" display="datos.gob.es"/>
    <hyperlink ref="P2076" r:id="rId1228" display="datos.gob.es"/>
    <hyperlink ref="P2077" r:id="rId1229" display="datos.gob.es"/>
    <hyperlink ref="P2078" r:id="rId1230" display="datos.gob.es"/>
    <hyperlink ref="P2079" r:id="rId1231" display="datos.gob.es"/>
    <hyperlink ref="P2080" r:id="rId1232" display="datos.gob.es"/>
    <hyperlink ref="P2081" r:id="rId1233" display="datos.gob.es"/>
    <hyperlink ref="P2082" r:id="rId1234" display="datos.gob.es"/>
    <hyperlink ref="P2083" r:id="rId1235" display="datos.gob.es"/>
    <hyperlink ref="P2084" r:id="rId1236" display="datos.gob.es"/>
    <hyperlink ref="P2085" r:id="rId1237" display="datos.gob.es"/>
    <hyperlink ref="P2086" r:id="rId1238" display="datos.gob.es"/>
    <hyperlink ref="P2087" r:id="rId1239" display="datos.gob.es"/>
    <hyperlink ref="P2088" r:id="rId1240" display="datos.gob.es"/>
    <hyperlink ref="P2089" r:id="rId1241" display="datos.gob.es"/>
    <hyperlink ref="P2090" r:id="rId1242" display="datos.gob.es"/>
    <hyperlink ref="P2091" r:id="rId1243" display="datos.gob.es"/>
    <hyperlink ref="P2092" r:id="rId1244" display="datos.gob.es"/>
    <hyperlink ref="P2093" r:id="rId1245" display="datos.gob.es"/>
    <hyperlink ref="P2094" r:id="rId1246" display="datos.gob.es"/>
    <hyperlink ref="P2095" r:id="rId1247" display="datos.gob.es"/>
    <hyperlink ref="P2096" r:id="rId1248" display="datos.gob.es"/>
    <hyperlink ref="P2097" r:id="rId1249" display="datos.gob.es"/>
    <hyperlink ref="P2098" r:id="rId1250" display="datos.gob.es"/>
    <hyperlink ref="P2099" r:id="rId1251" display="datos.gob.es"/>
    <hyperlink ref="P2100" r:id="rId1252" display="datos.gob.es"/>
    <hyperlink ref="P2101" r:id="rId1253" display="datos.gob.es"/>
    <hyperlink ref="P2102" r:id="rId1254" display="datos.gob.es"/>
    <hyperlink ref="P2103" r:id="rId1255" display="datos.gob.es"/>
    <hyperlink ref="P2104" r:id="rId1256" display="datos.gob.es"/>
    <hyperlink ref="P2105" r:id="rId1257" display="datos.gob.es"/>
    <hyperlink ref="P2106" r:id="rId1258" display="datos.gob.es"/>
    <hyperlink ref="P2107" r:id="rId1259" display="datos.gob.es"/>
    <hyperlink ref="P2108" r:id="rId1260" display="datos.gob.es"/>
    <hyperlink ref="P2109" r:id="rId1261" display="datos.gob.es"/>
    <hyperlink ref="P2110" r:id="rId1262" display="datos.gob.es"/>
    <hyperlink ref="P2111" r:id="rId1263" display="datos.gob.es"/>
    <hyperlink ref="P2112" r:id="rId1264" display="datos.gob.es"/>
    <hyperlink ref="P2113" r:id="rId1265" display="datos.gob.es"/>
    <hyperlink ref="P2114" r:id="rId1266" display="datos.gob.es"/>
    <hyperlink ref="P2115" r:id="rId1267" display="datos.gob.es"/>
    <hyperlink ref="P2116" r:id="rId1268" display="datos.gob.es"/>
    <hyperlink ref="P2117" r:id="rId1269" display="datos.gob.es"/>
    <hyperlink ref="P2118" r:id="rId1270" display="datos.gob.es"/>
    <hyperlink ref="P2119" r:id="rId1271" display="datos.gob.es"/>
    <hyperlink ref="P2120" r:id="rId1272" display="datos.gob.es"/>
    <hyperlink ref="P2121" r:id="rId1273" display="datos.gob.es"/>
    <hyperlink ref="P2122" r:id="rId1274" display="datos.gob.es"/>
    <hyperlink ref="P2123" r:id="rId1275" display="datos.gob.es"/>
    <hyperlink ref="P2124" r:id="rId1276" display="datos.gob.es"/>
    <hyperlink ref="P2125" r:id="rId1277" display="datos.gob.es"/>
    <hyperlink ref="P2126" r:id="rId1278" display="datos.gob.es"/>
    <hyperlink ref="P2127" r:id="rId1279" display="datos.gob.es"/>
    <hyperlink ref="P2128" r:id="rId1280" display="datos.gob.es"/>
    <hyperlink ref="P2129" r:id="rId1281" display="datos.gob.es"/>
    <hyperlink ref="P2130" r:id="rId1282" display="datos.gob.es"/>
    <hyperlink ref="P2131" r:id="rId1283" display="datos.gob.es"/>
    <hyperlink ref="P2132" r:id="rId1284" display="datos.gob.es"/>
    <hyperlink ref="P2133" r:id="rId1285" display="datos.gob.es"/>
    <hyperlink ref="P2134" r:id="rId1286" display="datos.gob.es"/>
    <hyperlink ref="P2135" r:id="rId1287" display="datos.gob.es"/>
    <hyperlink ref="P2136" r:id="rId1288" display="datos.gob.es"/>
    <hyperlink ref="P2137" r:id="rId1289" display="datos.gob.es"/>
    <hyperlink ref="P2138" r:id="rId1290" display="datos.gob.es"/>
    <hyperlink ref="P2139" r:id="rId1291" display="datos.gob.es"/>
    <hyperlink ref="P2140" r:id="rId1292" display="datos.gob.es"/>
    <hyperlink ref="P2141" r:id="rId1293" display="datos.gob.es"/>
    <hyperlink ref="P2142" r:id="rId1294" display="datos.gob.es"/>
    <hyperlink ref="P2143" r:id="rId1295" display="datos.gob.es"/>
    <hyperlink ref="P2144" r:id="rId1296" display="datos.gob.es"/>
    <hyperlink ref="P2145" r:id="rId1297" display="datos.gob.es"/>
    <hyperlink ref="P2146" r:id="rId1298" display="datos.gob.es"/>
    <hyperlink ref="P2147" r:id="rId1299" display="datos.gob.es"/>
    <hyperlink ref="P2148" r:id="rId1300" display="datos.gob.es"/>
    <hyperlink ref="P2149" r:id="rId1301" display="datos.gob.es"/>
    <hyperlink ref="P2150" r:id="rId1302" display="datos.gob.es"/>
    <hyperlink ref="P2151" r:id="rId1303" display="datos.gob.es"/>
    <hyperlink ref="P2152" r:id="rId1304" display="datos.gob.es"/>
    <hyperlink ref="P2153" r:id="rId1305" display="datos.gob.es"/>
    <hyperlink ref="P2154" r:id="rId1306" display="datos.gob.es"/>
    <hyperlink ref="P2155" r:id="rId1307" display="datos.gob.es"/>
    <hyperlink ref="P2156" r:id="rId1308" display="datos.gob.es"/>
    <hyperlink ref="P2157" r:id="rId1309" display="datos.gob.es"/>
    <hyperlink ref="P2158" r:id="rId1310" display="datos.gob.es"/>
    <hyperlink ref="P2159" r:id="rId1311" display="datos.gob.es"/>
    <hyperlink ref="P2160" r:id="rId1312" display="datos.gob.es"/>
    <hyperlink ref="P2161" r:id="rId1313" display="datos.gob.es"/>
    <hyperlink ref="P2162" r:id="rId1314" display="datos.gob.es"/>
    <hyperlink ref="P2163" r:id="rId1315" display="datos.gob.es"/>
    <hyperlink ref="P2164" r:id="rId1316" display="datos.gob.es"/>
    <hyperlink ref="P2165" r:id="rId1317" display="datos.gob.es"/>
    <hyperlink ref="P2166" r:id="rId1318" display="datos.gob.es"/>
    <hyperlink ref="P2167" r:id="rId1319" display="datos.gob.es"/>
    <hyperlink ref="P2168" r:id="rId1320" display="datos.gob.es"/>
    <hyperlink ref="P2169" r:id="rId1321" display="datos.gob.es"/>
    <hyperlink ref="P2170" r:id="rId1322" display="datos.gob.es"/>
    <hyperlink ref="P2171" r:id="rId1323" display="datos.gob.es"/>
    <hyperlink ref="P2172" r:id="rId1324" display="datos.gob.es"/>
    <hyperlink ref="P2173" r:id="rId1325" display="datos.gob.es"/>
    <hyperlink ref="P2174" r:id="rId1326" display="datos.gob.es"/>
    <hyperlink ref="P2175" r:id="rId1327" display="datos.gob.es"/>
    <hyperlink ref="P2176" r:id="rId1328" display="datos.gob.es"/>
    <hyperlink ref="P2177" r:id="rId1329" display="datos.gob.es"/>
    <hyperlink ref="P2178" r:id="rId1330" display="datos.gob.es"/>
    <hyperlink ref="P2179" r:id="rId1331" display="datos.gob.es"/>
    <hyperlink ref="P2180" r:id="rId1332" display="datos.gob.es"/>
    <hyperlink ref="P2181" r:id="rId1333" display="datos.gob.es"/>
    <hyperlink ref="P2182" r:id="rId1334" display="datos.gob.es"/>
    <hyperlink ref="P2183" r:id="rId1335" display="datos.gob.es"/>
    <hyperlink ref="P2184" r:id="rId1336" display="datos.gob.es"/>
    <hyperlink ref="P2185" r:id="rId1337" display="datos.gob.es"/>
    <hyperlink ref="P2186" r:id="rId1338" display="datos.gob.es"/>
    <hyperlink ref="P2187" r:id="rId1339" display="datos.gob.es"/>
    <hyperlink ref="P2188" r:id="rId1340" display="datos.gob.es"/>
    <hyperlink ref="P2189" r:id="rId1341" display="datos.gob.es"/>
    <hyperlink ref="P2190" r:id="rId1342" display="datos.gob.es"/>
    <hyperlink ref="P2191" r:id="rId1343" display="datos.gob.es"/>
    <hyperlink ref="P2192" r:id="rId1344" display="datos.gob.es"/>
    <hyperlink ref="P2193" r:id="rId1345" display="datos.gob.es"/>
    <hyperlink ref="P2194" r:id="rId1346" display="datos.gob.es"/>
    <hyperlink ref="P2195" r:id="rId1347" display="datos.gob.es"/>
    <hyperlink ref="P2196" r:id="rId1348" display="datos.gob.es"/>
    <hyperlink ref="P2197" r:id="rId1349" display="datos.gob.es"/>
    <hyperlink ref="P2198" r:id="rId1350" display="datos.gob.es"/>
    <hyperlink ref="P2199" r:id="rId1351" display="datos.gob.es"/>
    <hyperlink ref="P2200" r:id="rId1352" display="datos.gob.es"/>
    <hyperlink ref="P2201" r:id="rId1353" display="datos.gob.es"/>
    <hyperlink ref="P2202" r:id="rId1354" display="datos.gob.es"/>
    <hyperlink ref="P2203" r:id="rId1355" display="datos.gob.es"/>
    <hyperlink ref="P2204" r:id="rId1356" display="datos.gob.es"/>
    <hyperlink ref="P2205" r:id="rId1357" display="datos.gob.es"/>
    <hyperlink ref="P2206" r:id="rId1358" display="datos.gob.es"/>
    <hyperlink ref="P2207" r:id="rId1359" display="datos.gob.es"/>
    <hyperlink ref="P2208" r:id="rId1360" display="datos.gob.es"/>
    <hyperlink ref="P2209" r:id="rId1361" display="datos.gob.es"/>
    <hyperlink ref="P2210" r:id="rId1362" display="datos.gob.es"/>
    <hyperlink ref="P2211" r:id="rId1363" display="datos.gob.es"/>
    <hyperlink ref="P2212" r:id="rId1364" display="datos.gob.es"/>
    <hyperlink ref="P2213" r:id="rId1365" display="datos.gob.es"/>
    <hyperlink ref="P2214" r:id="rId1366" display="datos.gob.es"/>
    <hyperlink ref="P2215" r:id="rId1367" display="datos.gob.es"/>
    <hyperlink ref="P2216" r:id="rId1368" display="datos.gob.es"/>
    <hyperlink ref="P2217" r:id="rId1369" display="datos.gob.es"/>
    <hyperlink ref="P2218" r:id="rId1370" display="datos.gob.es"/>
    <hyperlink ref="P2219" r:id="rId1371" display="datos.gob.es"/>
    <hyperlink ref="P2220" r:id="rId1372" display="datos.gob.es"/>
    <hyperlink ref="P2221" r:id="rId1373" display="datos.gob.es"/>
    <hyperlink ref="P2222" r:id="rId1374" display="datos.gob.es"/>
    <hyperlink ref="P2223" r:id="rId1375" display="datos.gob.es"/>
    <hyperlink ref="P2224" r:id="rId1376" display="datos.gob.es"/>
    <hyperlink ref="P2225" r:id="rId1377" display="datos.gob.es"/>
    <hyperlink ref="P2226" r:id="rId1378" display="datos.gob.es"/>
    <hyperlink ref="P2227" r:id="rId1379" display="datos.gob.es"/>
    <hyperlink ref="P2228" r:id="rId1380" display="datos.gob.es"/>
    <hyperlink ref="P2229" r:id="rId1381" display="datos.gob.es"/>
    <hyperlink ref="P2230" r:id="rId1382" display="datos.gob.es"/>
    <hyperlink ref="P2231" r:id="rId1383" display="datos.gob.es"/>
    <hyperlink ref="P2232" r:id="rId1384" display="datos.gob.es"/>
    <hyperlink ref="P2233" r:id="rId1385" display="datos.gob.es"/>
    <hyperlink ref="P2234" r:id="rId1386" display="datos.gob.es"/>
    <hyperlink ref="P2235" r:id="rId1387" display="datos.gob.es"/>
    <hyperlink ref="P2236" r:id="rId1388" display="datos.gob.es"/>
    <hyperlink ref="P2237" r:id="rId1389" display="datos.gob.es"/>
    <hyperlink ref="P2238" r:id="rId1390" display="datos.gob.es"/>
    <hyperlink ref="P2239" r:id="rId1391" display="datos.gob.es"/>
    <hyperlink ref="P2240" r:id="rId1392" display="datos.gob.es"/>
    <hyperlink ref="P2241" r:id="rId1393" display="datos.gob.es"/>
    <hyperlink ref="P2242" r:id="rId1394" display="datos.gob.es"/>
    <hyperlink ref="P2243" r:id="rId1395" display="datos.gob.es"/>
    <hyperlink ref="P2244" r:id="rId1396" display="datos.gob.es"/>
    <hyperlink ref="P2245" r:id="rId1397" display="datos.gob.es"/>
    <hyperlink ref="P2246" r:id="rId1398" display="datos.gob.es"/>
    <hyperlink ref="P2247" r:id="rId1399" display="datos.gob.es"/>
    <hyperlink ref="P2248" r:id="rId1400" display="datos.gob.es"/>
    <hyperlink ref="P2249" r:id="rId1401" display="datos.gob.es"/>
    <hyperlink ref="P2250" r:id="rId1402" display="datos.gob.es"/>
    <hyperlink ref="P2251" r:id="rId1403" display="datos.gob.es"/>
    <hyperlink ref="P2252" r:id="rId1404" display="datos.gob.es"/>
    <hyperlink ref="P2253" r:id="rId1405" display="datos.gob.es"/>
    <hyperlink ref="P2254" r:id="rId1406" display="datos.gob.es"/>
    <hyperlink ref="P2255" r:id="rId1407" display="datos.gob.es"/>
    <hyperlink ref="P2256" r:id="rId1408" display="datos.gob.es"/>
    <hyperlink ref="P2257" r:id="rId1409" display="datos.gob.es"/>
    <hyperlink ref="P2258" r:id="rId1410" display="datos.gob.es"/>
    <hyperlink ref="P2259" r:id="rId1411" display="datos.gob.es"/>
    <hyperlink ref="P2260" r:id="rId1412" display="datos.gob.es"/>
    <hyperlink ref="P2261" r:id="rId1413" display="datos.gob.es"/>
    <hyperlink ref="P2262" r:id="rId1414" display="datos.gob.es"/>
    <hyperlink ref="P2263" r:id="rId1415" display="datos.gob.es"/>
    <hyperlink ref="P2264" r:id="rId1416" display="datos.gob.es"/>
    <hyperlink ref="P2265" r:id="rId1417" display="datos.gob.es"/>
    <hyperlink ref="P2266" r:id="rId1418" display="datos.gob.es"/>
    <hyperlink ref="P2267" r:id="rId1419" display="datos.gob.es"/>
    <hyperlink ref="P2268" r:id="rId1420" display="datos.gob.es"/>
    <hyperlink ref="P2269" r:id="rId1421" display="datos.gob.es"/>
    <hyperlink ref="P2270" r:id="rId1422" display="datos.gob.es"/>
    <hyperlink ref="P2271" r:id="rId1423" display="datos.gob.es"/>
    <hyperlink ref="P2272" r:id="rId1424" display="datos.gob.es"/>
    <hyperlink ref="P2273" r:id="rId1425" display="datos.gob.es"/>
    <hyperlink ref="P2274" r:id="rId1426" display="datos.gob.es"/>
    <hyperlink ref="P2275" r:id="rId1427" display="datos.gob.es"/>
    <hyperlink ref="P2276" r:id="rId1428" display="datos.gob.es"/>
    <hyperlink ref="P2277" r:id="rId1429" display="datos.gob.es"/>
    <hyperlink ref="P2278" r:id="rId1430" display="datos.gob.es"/>
    <hyperlink ref="P2279" r:id="rId1431" display="datos.gob.es"/>
    <hyperlink ref="E2280" r:id="rId1432" display="http://www.vasmajetek.cz/"/>
    <hyperlink ref="E2281" r:id="rId1433" display="http://www.opendata.cz/en/node/23"/>
    <hyperlink ref="AB2281" r:id="rId1434" display="http://www.opendata.cz/en/node/23"/>
    <hyperlink ref="E2282" r:id="rId1435" display="http://chequeado.com/acerca-de-la-fundacion/"/>
    <hyperlink ref="E2283" r:id="rId1436" display="www.fugro.com"/>
    <hyperlink ref="E2284" r:id="rId1437" display="https://www.stedin.net"/>
    <hyperlink ref="E2285" r:id="rId1438" display="http://www.communityenergymanager.org/"/>
    <hyperlink ref="AC2285" r:id="rId1439" display="http://www.epsiplatform.eu/content/community-energy-manager-save-communities-thousands-pounds-through-open-data-0"/>
    <hyperlink ref="E2286" r:id="rId1440" display="https://www.achmea.nl"/>
    <hyperlink ref="E2287" r:id="rId1441" display="http://blindsquare.com/"/>
    <hyperlink ref="AC2287" r:id="rId1442" display="http://www.epsiplatform.eu/content/how-data-driven-app-blind-visually-impaired-grew-international-business-0"/>
    <hyperlink ref="E2288" r:id="rId1443" display="www.philips.nl"/>
    <hyperlink ref="E2289" r:id="rId1444" display="https://www.akzonobel.com/"/>
    <hyperlink ref="E2290" r:id="rId1445" display="http://www.cargill.com/"/>
    <hyperlink ref="E2291" r:id="rId1446" display="http://www.theheinekencompany.com/"/>
    <hyperlink ref="E2292" r:id="rId1447" display="www.frieslandcampina.com"/>
    <hyperlink ref="E2293" r:id="rId1448" display="http://www.bingthomarchitects.com/"/>
    <hyperlink ref="AC2293" r:id="rId1449" display="http://www.bcbusiness.ca/your-business/the-difference-data-makes"/>
    <hyperlink ref="E2294" r:id="rId1450" display="https://www.digitalglobe.com/"/>
    <hyperlink ref="AC2294" r:id="rId1451" display="http://www.tomnod.com/campaign/nepal_earthquake_2015/map/3gox33y7"/>
    <hyperlink ref="E2295" r:id="rId1452" display="www.sonagroup.com"/>
    <hyperlink ref="E2297" r:id="rId1453" display="https://recollect.net"/>
    <hyperlink ref="AC2297" r:id="rId1454" display="http://www.bcbusiness.ca/your-business/the-difference-data-makes"/>
    <hyperlink ref="E2299" r:id="rId1455" display="http://www.rodekruis.nl/"/>
    <hyperlink ref="E2301" r:id="rId1456" display="http://delhaizegroup.com"/>
    <hyperlink ref="E2302" r:id="rId1457" display="http://www.itoworld.com/"/>
    <hyperlink ref="AC2303" r:id="rId1458" display="https://www.wildvandespits.nl/"/>
    <hyperlink ref="AC2304" r:id="rId1459" display="http://moetikrennen.nl/"/>
    <hyperlink ref="E2305" r:id="rId1460" display="http://www.factcheck.org/"/>
    <hyperlink ref="E2306" r:id="rId1461" display="http://www.politifact.com/"/>
    <hyperlink ref="E2307" r:id="rId1462" display="http://blogs.channel4.com/factcheck/"/>
    <hyperlink ref="E2308" r:id="rId1463" display="http://www.lemonde.fr/les-decodeurs/"/>
    <hyperlink ref="E2309" r:id="rId1464" display="http://lasillavacia.com/hilos-tematicos/detector-de-mentiras"/>
    <hyperlink ref="E2310" r:id="rId1465" display="http://apublica.org/truco/"/>
    <hyperlink ref="E2311" r:id="rId1466" display="http://oglobo.globo.com/blogs/preto-no-branco/"/>
    <hyperlink ref="E2312" r:id="rId1467" display="http://uycheck.com/noticias/"/>
    <hyperlink ref="E2313" r:id="rId1468" display="http://www.elfaro.net/es/201501/politigrafo/"/>
    <hyperlink ref="E2314" r:id="rId1469" display="http://www.animalpolitico.com/elsabueso/el-sabueso/"/>
    <hyperlink ref="E2315" r:id="rId1470" display="www.sddc.army.mil"/>
    <hyperlink ref="C2407" r:id="rId1471" display="IP.com"/>
    <hyperlink ref="E2416" r:id="rId1472" display="http://www.bkfs.com/Pages/default.aspx"/>
    <hyperlink ref="AC2416" r:id="rId1473" display="http://www.bloomberg.com/news/articles/2015-05-11/thomas-h-lee-backed-mortgage-venture-seeks-425-million-in-ipo"/>
    <hyperlink ref="E2417" r:id="rId1474" display="http://www.cubic.com/"/>
    <hyperlink ref="E2418" r:id="rId1475" display="http://www.evodevo.it/en/"/>
    <hyperlink ref="AC2418" r:id="rId1476" display="http://www.evodevo.it/en/about-us/our-company.html"/>
    <hyperlink ref="E2419" r:id="rId1477" display="http://twaweza.org/"/>
    <hyperlink ref="AC2419" r:id="rId1478" display="http://education.okfn.org/open-education-tanzania/"/>
    <hyperlink ref="E2420" r:id="rId1479" display="http://illustreets.co.uk"/>
    <hyperlink ref="AC2420" r:id="rId1480" display="http://illustreets.co.uk/contact-illustreets/"/>
    <hyperlink ref="E2421" r:id="rId1481" display="http://www.upreach.org.uk/"/>
    <hyperlink ref="AC2421" r:id="rId1482" display="http://www.nesta.org.uk/blog/skills-route-shows-way-next-generation-education-open-data-apps"/>
    <hyperlink ref="E2422" r:id="rId1483" display="http://futureeverything.org/"/>
    <hyperlink ref="AC2422" r:id="rId1484" display="http://www.citysdk.eu/partners/"/>
    <hyperlink ref="E2423" r:id="rId1485" display="https://www.sanoma.com"/>
    <hyperlink ref="AC2423" r:id="rId1486" display="http://www.citysdk.eu/partners/"/>
    <hyperlink ref="E2424" r:id="rId1487" display="http://www.lynxlab.com/"/>
    <hyperlink ref="AC2424" r:id="rId1488" display="http://www.citysdk.eu/partners/"/>
    <hyperlink ref="E2425" r:id="rId1489" display="www.isasensing.com"/>
    <hyperlink ref="AC2425" r:id="rId1490" display="http://www.citysdk.eu/partners/"/>
    <hyperlink ref="E2426" r:id="rId1491" display="www.gnosis.com.gr"/>
    <hyperlink ref="AC2426" r:id="rId1492" display="http://www.citysdk.eu/partners/"/>
    <hyperlink ref="E2427" r:id="rId1493" display="www.alfamicro.pt/"/>
    <hyperlink ref="AC2427" r:id="rId1494" display="http://www.citysdk.eu/partner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AG41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cols>
    <col collapsed="false" hidden="false" max="5" min="1" style="0" width="14.4285714285714"/>
    <col collapsed="false" hidden="false" max="6" min="6" style="0" width="83.4234693877551"/>
    <col collapsed="false" hidden="false" max="1025" min="7" style="0" width="14.4285714285714"/>
  </cols>
  <sheetData>
    <row r="1" customFormat="false" ht="20.25" hidden="false" customHeight="true" outlineLevel="0" collapsed="false">
      <c r="A1" s="1" t="s">
        <v>0</v>
      </c>
      <c r="B1" s="2" t="s">
        <v>1</v>
      </c>
      <c r="C1" s="3" t="s">
        <v>2</v>
      </c>
      <c r="D1" s="4" t="s">
        <v>3</v>
      </c>
      <c r="E1" s="5" t="s">
        <v>4</v>
      </c>
      <c r="F1" s="6" t="s">
        <v>5</v>
      </c>
      <c r="G1" s="6" t="s">
        <v>6</v>
      </c>
      <c r="H1" s="6" t="s">
        <v>7</v>
      </c>
      <c r="I1" s="6" t="s">
        <v>8</v>
      </c>
      <c r="J1" s="6" t="s">
        <v>9</v>
      </c>
      <c r="K1" s="7" t="s">
        <v>8223</v>
      </c>
      <c r="L1" s="7" t="s">
        <v>11</v>
      </c>
      <c r="M1" s="8" t="s">
        <v>12</v>
      </c>
      <c r="N1" s="7" t="s">
        <v>13</v>
      </c>
      <c r="O1" s="7" t="s">
        <v>14</v>
      </c>
      <c r="P1" s="6" t="s">
        <v>8224</v>
      </c>
      <c r="Q1" s="1" t="s">
        <v>16</v>
      </c>
      <c r="R1" s="1" t="s">
        <v>17</v>
      </c>
      <c r="S1" s="1" t="s">
        <v>18</v>
      </c>
      <c r="T1" s="1" t="s">
        <v>19</v>
      </c>
      <c r="U1" s="1" t="s">
        <v>20</v>
      </c>
      <c r="V1" s="9" t="s">
        <v>21</v>
      </c>
      <c r="W1" s="1" t="s">
        <v>22</v>
      </c>
      <c r="X1" s="1" t="s">
        <v>23</v>
      </c>
      <c r="Y1" s="1" t="s">
        <v>24</v>
      </c>
      <c r="Z1" s="1" t="s">
        <v>25</v>
      </c>
      <c r="AA1" s="10" t="s">
        <v>26</v>
      </c>
      <c r="AB1" s="11" t="s">
        <v>8225</v>
      </c>
      <c r="AC1" s="11" t="s">
        <v>28</v>
      </c>
      <c r="AD1" s="11" t="s">
        <v>29</v>
      </c>
      <c r="AE1" s="11" t="s">
        <v>30</v>
      </c>
      <c r="AF1" s="1"/>
      <c r="AG1" s="1"/>
    </row>
    <row r="2" customFormat="false" ht="15.75" hidden="false" customHeight="false" outlineLevel="0" collapsed="false">
      <c r="A2" s="12" t="str">
        <f aca="false">IF((AA2&gt;=4), "Y", "N")</f>
        <v>Y</v>
      </c>
      <c r="B2" s="74" t="s">
        <v>8226</v>
      </c>
      <c r="C2" s="26" t="s">
        <v>7514</v>
      </c>
      <c r="D2" s="24"/>
      <c r="E2" s="25" t="s">
        <v>8227</v>
      </c>
      <c r="F2" s="17" t="s">
        <v>8228</v>
      </c>
      <c r="G2" s="17" t="s">
        <v>8229</v>
      </c>
      <c r="H2" s="17"/>
      <c r="I2" s="26" t="s">
        <v>209</v>
      </c>
      <c r="J2" s="32" t="s">
        <v>8230</v>
      </c>
      <c r="K2" s="17"/>
      <c r="L2" s="17"/>
      <c r="M2" s="17"/>
      <c r="N2" s="17"/>
      <c r="O2" s="17"/>
      <c r="P2" s="59" t="s">
        <v>7515</v>
      </c>
      <c r="Q2" s="12"/>
      <c r="R2" s="12"/>
      <c r="S2" s="12"/>
      <c r="T2" s="12"/>
      <c r="U2" s="12"/>
      <c r="V2" s="12"/>
      <c r="Z2" s="12"/>
      <c r="AA2" s="12" t="n">
        <v>5</v>
      </c>
      <c r="AB2" s="12"/>
      <c r="AC2" s="12"/>
      <c r="AD2" s="12"/>
      <c r="AE2" s="12"/>
    </row>
    <row r="3" customFormat="false" ht="15.75" hidden="false" customHeight="false" outlineLevel="0" collapsed="false">
      <c r="A3" s="12" t="str">
        <f aca="false">IF((AA3&gt;=4), "Y", "N")</f>
        <v>Y</v>
      </c>
      <c r="B3" s="74"/>
      <c r="C3" s="26" t="s">
        <v>7516</v>
      </c>
      <c r="D3" s="24"/>
      <c r="E3" s="17"/>
      <c r="F3" s="17"/>
      <c r="G3" s="17"/>
      <c r="H3" s="17"/>
      <c r="I3" s="26" t="s">
        <v>209</v>
      </c>
      <c r="J3" s="32"/>
      <c r="K3" s="17"/>
      <c r="L3" s="17"/>
      <c r="M3" s="17"/>
      <c r="N3" s="17"/>
      <c r="O3" s="17"/>
      <c r="P3" s="59" t="s">
        <v>7515</v>
      </c>
      <c r="Q3" s="12"/>
      <c r="R3" s="12"/>
      <c r="S3" s="12"/>
      <c r="T3" s="12"/>
      <c r="U3" s="12"/>
      <c r="V3" s="12"/>
      <c r="Z3" s="12"/>
      <c r="AA3" s="12" t="n">
        <v>5</v>
      </c>
      <c r="AB3" s="12"/>
      <c r="AC3" s="12"/>
      <c r="AD3" s="12"/>
      <c r="AE3" s="12"/>
    </row>
    <row r="4" customFormat="false" ht="15.75" hidden="false" customHeight="false" outlineLevel="0" collapsed="false">
      <c r="A4" s="12" t="str">
        <f aca="false">IF((AA4&gt;=4), "Y", "N")</f>
        <v>Y</v>
      </c>
      <c r="B4" s="74" t="s">
        <v>8226</v>
      </c>
      <c r="C4" s="26" t="s">
        <v>7517</v>
      </c>
      <c r="D4" s="24"/>
      <c r="E4" s="25" t="s">
        <v>8231</v>
      </c>
      <c r="F4" s="17" t="s">
        <v>8232</v>
      </c>
      <c r="G4" s="17" t="s">
        <v>8233</v>
      </c>
      <c r="H4" s="17"/>
      <c r="I4" s="26" t="s">
        <v>209</v>
      </c>
      <c r="J4" s="32" t="s">
        <v>8234</v>
      </c>
      <c r="K4" s="17"/>
      <c r="L4" s="17"/>
      <c r="M4" s="17"/>
      <c r="N4" s="17"/>
      <c r="O4" s="17"/>
      <c r="P4" s="59" t="s">
        <v>7515</v>
      </c>
      <c r="Q4" s="12"/>
      <c r="R4" s="12"/>
      <c r="S4" s="12"/>
      <c r="T4" s="12"/>
      <c r="U4" s="12"/>
      <c r="V4" s="12"/>
      <c r="Z4" s="12"/>
      <c r="AA4" s="12" t="n">
        <v>5</v>
      </c>
      <c r="AB4" s="12"/>
      <c r="AC4" s="12"/>
      <c r="AD4" s="12"/>
      <c r="AE4" s="12"/>
    </row>
    <row r="5" customFormat="false" ht="15.75" hidden="false" customHeight="false" outlineLevel="0" collapsed="false">
      <c r="A5" s="12" t="str">
        <f aca="false">IF((AA5&gt;=4), "Y", "N")</f>
        <v>Y</v>
      </c>
      <c r="B5" s="74" t="s">
        <v>8226</v>
      </c>
      <c r="C5" s="26" t="s">
        <v>7518</v>
      </c>
      <c r="D5" s="24"/>
      <c r="E5" s="25" t="s">
        <v>8235</v>
      </c>
      <c r="F5" s="17" t="s">
        <v>8236</v>
      </c>
      <c r="G5" s="17" t="s">
        <v>8237</v>
      </c>
      <c r="H5" s="17"/>
      <c r="I5" s="26" t="s">
        <v>209</v>
      </c>
      <c r="J5" s="32" t="s">
        <v>8234</v>
      </c>
      <c r="K5" s="17"/>
      <c r="L5" s="17"/>
      <c r="M5" s="17"/>
      <c r="N5" s="17"/>
      <c r="O5" s="17"/>
      <c r="P5" s="59" t="s">
        <v>7515</v>
      </c>
      <c r="Q5" s="12"/>
      <c r="R5" s="12"/>
      <c r="S5" s="12"/>
      <c r="T5" s="12"/>
      <c r="U5" s="12"/>
      <c r="V5" s="12"/>
      <c r="Z5" s="12"/>
      <c r="AA5" s="12" t="n">
        <v>5</v>
      </c>
      <c r="AB5" s="12"/>
      <c r="AC5" s="12"/>
      <c r="AD5" s="12"/>
      <c r="AE5" s="12"/>
    </row>
    <row r="6" customFormat="false" ht="15.75" hidden="false" customHeight="false" outlineLevel="0" collapsed="false">
      <c r="A6" s="12" t="str">
        <f aca="false">IF((AA6&gt;=4), "Y", "N")</f>
        <v>Y</v>
      </c>
      <c r="B6" s="74" t="s">
        <v>8226</v>
      </c>
      <c r="C6" s="26" t="s">
        <v>7519</v>
      </c>
      <c r="D6" s="24"/>
      <c r="E6" s="25" t="s">
        <v>8238</v>
      </c>
      <c r="F6" s="17" t="s">
        <v>8239</v>
      </c>
      <c r="G6" s="17" t="s">
        <v>8240</v>
      </c>
      <c r="H6" s="17"/>
      <c r="I6" s="26" t="s">
        <v>209</v>
      </c>
      <c r="J6" s="32" t="s">
        <v>8234</v>
      </c>
      <c r="K6" s="17"/>
      <c r="L6" s="17"/>
      <c r="M6" s="17"/>
      <c r="N6" s="17"/>
      <c r="O6" s="17"/>
      <c r="P6" s="59" t="s">
        <v>7515</v>
      </c>
      <c r="Q6" s="12"/>
      <c r="R6" s="12"/>
      <c r="S6" s="12"/>
      <c r="T6" s="12"/>
      <c r="U6" s="12"/>
      <c r="V6" s="12"/>
      <c r="Z6" s="12"/>
      <c r="AA6" s="12" t="n">
        <v>5</v>
      </c>
      <c r="AB6" s="12"/>
      <c r="AC6" s="12"/>
      <c r="AD6" s="12"/>
      <c r="AE6" s="12"/>
    </row>
    <row r="7" customFormat="false" ht="15.75" hidden="false" customHeight="false" outlineLevel="0" collapsed="false">
      <c r="A7" s="12" t="str">
        <f aca="false">IF((AA7&gt;=4), "Y", "N")</f>
        <v>Y</v>
      </c>
      <c r="B7" s="74"/>
      <c r="C7" s="26" t="s">
        <v>7520</v>
      </c>
      <c r="D7" s="24"/>
      <c r="E7" s="17"/>
      <c r="F7" s="17"/>
      <c r="G7" s="17"/>
      <c r="H7" s="17"/>
      <c r="I7" s="26" t="s">
        <v>209</v>
      </c>
      <c r="J7" s="32"/>
      <c r="K7" s="17"/>
      <c r="L7" s="17"/>
      <c r="M7" s="17"/>
      <c r="N7" s="17"/>
      <c r="O7" s="17"/>
      <c r="P7" s="59" t="s">
        <v>7515</v>
      </c>
      <c r="Q7" s="12"/>
      <c r="R7" s="12"/>
      <c r="S7" s="12"/>
      <c r="T7" s="12"/>
      <c r="U7" s="12"/>
      <c r="V7" s="12"/>
      <c r="Z7" s="12"/>
      <c r="AA7" s="12" t="n">
        <v>5</v>
      </c>
      <c r="AB7" s="12"/>
      <c r="AC7" s="12"/>
      <c r="AD7" s="12"/>
      <c r="AE7" s="12"/>
    </row>
    <row r="8" customFormat="false" ht="15.75" hidden="false" customHeight="false" outlineLevel="0" collapsed="false">
      <c r="A8" s="12" t="str">
        <f aca="false">IF((AA8&gt;=4), "Y", "N")</f>
        <v>Y</v>
      </c>
      <c r="B8" s="74" t="s">
        <v>8226</v>
      </c>
      <c r="C8" s="26" t="s">
        <v>7521</v>
      </c>
      <c r="D8" s="24"/>
      <c r="E8" s="25" t="s">
        <v>8241</v>
      </c>
      <c r="F8" s="17" t="s">
        <v>8242</v>
      </c>
      <c r="G8" s="17" t="s">
        <v>8243</v>
      </c>
      <c r="H8" s="17"/>
      <c r="I8" s="26" t="s">
        <v>209</v>
      </c>
      <c r="J8" s="32" t="s">
        <v>8234</v>
      </c>
      <c r="K8" s="17" t="n">
        <v>2012</v>
      </c>
      <c r="L8" s="17"/>
      <c r="M8" s="17"/>
      <c r="N8" s="17"/>
      <c r="O8" s="17"/>
      <c r="P8" s="59" t="s">
        <v>7515</v>
      </c>
      <c r="Q8" s="12"/>
      <c r="R8" s="12"/>
      <c r="S8" s="12"/>
      <c r="T8" s="12"/>
      <c r="U8" s="12"/>
      <c r="V8" s="12"/>
      <c r="Z8" s="12"/>
      <c r="AA8" s="12" t="n">
        <v>5</v>
      </c>
      <c r="AB8" s="12"/>
      <c r="AC8" s="12"/>
      <c r="AD8" s="12"/>
      <c r="AE8" s="12"/>
    </row>
    <row r="9" customFormat="false" ht="15.75" hidden="false" customHeight="false" outlineLevel="0" collapsed="false">
      <c r="A9" s="12" t="str">
        <f aca="false">IF((AA9&gt;=4), "Y", "N")</f>
        <v>Y</v>
      </c>
      <c r="B9" s="74" t="s">
        <v>8226</v>
      </c>
      <c r="C9" s="26" t="s">
        <v>7522</v>
      </c>
      <c r="D9" s="24"/>
      <c r="E9" s="25" t="s">
        <v>8244</v>
      </c>
      <c r="F9" s="17" t="s">
        <v>8245</v>
      </c>
      <c r="G9" s="17" t="s">
        <v>8246</v>
      </c>
      <c r="H9" s="17"/>
      <c r="I9" s="26" t="s">
        <v>209</v>
      </c>
      <c r="J9" s="32" t="s">
        <v>8234</v>
      </c>
      <c r="K9" s="17"/>
      <c r="L9" s="17"/>
      <c r="M9" s="17"/>
      <c r="N9" s="17"/>
      <c r="O9" s="17"/>
      <c r="P9" s="59" t="s">
        <v>7515</v>
      </c>
      <c r="Q9" s="12"/>
      <c r="R9" s="12"/>
      <c r="S9" s="12"/>
      <c r="T9" s="12"/>
      <c r="U9" s="12"/>
      <c r="V9" s="12"/>
      <c r="Z9" s="12"/>
      <c r="AA9" s="12" t="n">
        <v>5</v>
      </c>
      <c r="AB9" s="12"/>
      <c r="AC9" s="12"/>
      <c r="AD9" s="12"/>
      <c r="AE9" s="12"/>
    </row>
    <row r="10" customFormat="false" ht="15.75" hidden="false" customHeight="false" outlineLevel="0" collapsed="false">
      <c r="A10" s="12" t="str">
        <f aca="false">IF((AA10&gt;=4), "Y", "N")</f>
        <v>Y</v>
      </c>
      <c r="B10" s="74" t="s">
        <v>8226</v>
      </c>
      <c r="C10" s="26" t="s">
        <v>7523</v>
      </c>
      <c r="D10" s="24"/>
      <c r="E10" s="25" t="s">
        <v>8247</v>
      </c>
      <c r="F10" s="17" t="s">
        <v>8248</v>
      </c>
      <c r="G10" s="17"/>
      <c r="H10" s="17"/>
      <c r="I10" s="26" t="s">
        <v>209</v>
      </c>
      <c r="J10" s="32"/>
      <c r="K10" s="17"/>
      <c r="L10" s="17"/>
      <c r="M10" s="17"/>
      <c r="N10" s="17"/>
      <c r="O10" s="17"/>
      <c r="P10" s="59" t="s">
        <v>7515</v>
      </c>
      <c r="Q10" s="12"/>
      <c r="R10" s="12"/>
      <c r="S10" s="12"/>
      <c r="T10" s="12"/>
      <c r="U10" s="12"/>
      <c r="V10" s="12"/>
      <c r="Z10" s="12"/>
      <c r="AA10" s="12" t="n">
        <v>5</v>
      </c>
      <c r="AB10" s="12"/>
      <c r="AC10" s="12"/>
      <c r="AD10" s="12"/>
      <c r="AE10" s="12"/>
    </row>
    <row r="11" customFormat="false" ht="15.75" hidden="false" customHeight="false" outlineLevel="0" collapsed="false">
      <c r="A11" s="12" t="str">
        <f aca="false">IF((AA11&gt;=4), "Y", "N")</f>
        <v>Y</v>
      </c>
      <c r="B11" s="74" t="s">
        <v>8226</v>
      </c>
      <c r="C11" s="26" t="s">
        <v>7524</v>
      </c>
      <c r="D11" s="24"/>
      <c r="E11" s="25" t="s">
        <v>8249</v>
      </c>
      <c r="F11" s="17" t="s">
        <v>8250</v>
      </c>
      <c r="G11" s="17" t="s">
        <v>8240</v>
      </c>
      <c r="H11" s="17"/>
      <c r="I11" s="26" t="s">
        <v>209</v>
      </c>
      <c r="J11" s="32" t="s">
        <v>8234</v>
      </c>
      <c r="K11" s="17"/>
      <c r="L11" s="17"/>
      <c r="M11" s="17"/>
      <c r="N11" s="17"/>
      <c r="O11" s="17"/>
      <c r="P11" s="59" t="s">
        <v>7515</v>
      </c>
      <c r="Q11" s="12"/>
      <c r="R11" s="12"/>
      <c r="S11" s="12"/>
      <c r="T11" s="12"/>
      <c r="U11" s="12"/>
      <c r="V11" s="12"/>
      <c r="Z11" s="12"/>
      <c r="AA11" s="12" t="n">
        <v>5</v>
      </c>
      <c r="AB11" s="12"/>
      <c r="AC11" s="12"/>
      <c r="AD11" s="12"/>
      <c r="AE11" s="12"/>
    </row>
    <row r="12" customFormat="false" ht="15.75" hidden="false" customHeight="false" outlineLevel="0" collapsed="false">
      <c r="A12" s="12" t="str">
        <f aca="false">IF((AA12&gt;=4), "Y", "N")</f>
        <v>Y</v>
      </c>
      <c r="B12" s="74" t="s">
        <v>8226</v>
      </c>
      <c r="C12" s="26" t="s">
        <v>7525</v>
      </c>
      <c r="D12" s="24"/>
      <c r="E12" s="25" t="s">
        <v>8251</v>
      </c>
      <c r="F12" s="17" t="s">
        <v>8252</v>
      </c>
      <c r="G12" s="17" t="s">
        <v>8253</v>
      </c>
      <c r="H12" s="17"/>
      <c r="I12" s="26" t="s">
        <v>209</v>
      </c>
      <c r="J12" s="32" t="s">
        <v>8234</v>
      </c>
      <c r="K12" s="17"/>
      <c r="L12" s="17"/>
      <c r="M12" s="17"/>
      <c r="N12" s="17"/>
      <c r="O12" s="17"/>
      <c r="P12" s="59" t="s">
        <v>7515</v>
      </c>
      <c r="Q12" s="12"/>
      <c r="R12" s="12"/>
      <c r="S12" s="12"/>
      <c r="T12" s="12"/>
      <c r="U12" s="12"/>
      <c r="V12" s="12"/>
      <c r="Z12" s="12"/>
      <c r="AA12" s="12" t="n">
        <v>5</v>
      </c>
      <c r="AB12" s="12"/>
      <c r="AC12" s="12"/>
      <c r="AD12" s="12"/>
      <c r="AE12" s="12"/>
    </row>
    <row r="13" customFormat="false" ht="15.75" hidden="false" customHeight="false" outlineLevel="0" collapsed="false">
      <c r="A13" s="12" t="str">
        <f aca="false">IF((AA13&gt;=4), "Y", "N")</f>
        <v>Y</v>
      </c>
      <c r="B13" s="74"/>
      <c r="C13" s="26" t="s">
        <v>7526</v>
      </c>
      <c r="D13" s="24"/>
      <c r="E13" s="17"/>
      <c r="F13" s="17"/>
      <c r="G13" s="17"/>
      <c r="H13" s="17"/>
      <c r="I13" s="26" t="s">
        <v>209</v>
      </c>
      <c r="J13" s="32"/>
      <c r="K13" s="17"/>
      <c r="L13" s="17"/>
      <c r="M13" s="17"/>
      <c r="N13" s="17"/>
      <c r="O13" s="17"/>
      <c r="P13" s="59" t="s">
        <v>7515</v>
      </c>
      <c r="Q13" s="12"/>
      <c r="R13" s="12"/>
      <c r="S13" s="12"/>
      <c r="T13" s="12"/>
      <c r="U13" s="12"/>
      <c r="V13" s="12"/>
      <c r="Z13" s="12"/>
      <c r="AA13" s="12" t="n">
        <v>5</v>
      </c>
      <c r="AB13" s="12"/>
      <c r="AC13" s="12"/>
      <c r="AD13" s="12"/>
      <c r="AE13" s="12"/>
    </row>
    <row r="14" customFormat="false" ht="15.75" hidden="false" customHeight="false" outlineLevel="0" collapsed="false">
      <c r="A14" s="12" t="str">
        <f aca="false">IF((AA14&gt;=4), "Y", "N")</f>
        <v>Y</v>
      </c>
      <c r="B14" s="74" t="s">
        <v>8226</v>
      </c>
      <c r="C14" s="26" t="s">
        <v>7527</v>
      </c>
      <c r="D14" s="24"/>
      <c r="E14" s="25" t="s">
        <v>8254</v>
      </c>
      <c r="F14" s="17" t="s">
        <v>8255</v>
      </c>
      <c r="G14" s="17" t="s">
        <v>8256</v>
      </c>
      <c r="H14" s="17"/>
      <c r="I14" s="26" t="s">
        <v>209</v>
      </c>
      <c r="J14" s="32" t="s">
        <v>8234</v>
      </c>
      <c r="K14" s="17"/>
      <c r="L14" s="17"/>
      <c r="M14" s="17"/>
      <c r="N14" s="17"/>
      <c r="O14" s="17"/>
      <c r="P14" s="59" t="s">
        <v>7515</v>
      </c>
      <c r="Q14" s="12"/>
      <c r="R14" s="12"/>
      <c r="S14" s="12"/>
      <c r="T14" s="12"/>
      <c r="U14" s="12"/>
      <c r="V14" s="12"/>
      <c r="Z14" s="12"/>
      <c r="AA14" s="12" t="n">
        <v>5</v>
      </c>
      <c r="AB14" s="12"/>
      <c r="AC14" s="12"/>
      <c r="AD14" s="12"/>
      <c r="AE14" s="12"/>
    </row>
    <row r="15" customFormat="false" ht="15.75" hidden="false" customHeight="false" outlineLevel="0" collapsed="false">
      <c r="A15" s="12" t="str">
        <f aca="false">IF((AA15&gt;=4), "Y", "N")</f>
        <v>Y</v>
      </c>
      <c r="B15" s="74" t="s">
        <v>8226</v>
      </c>
      <c r="C15" s="26" t="s">
        <v>7528</v>
      </c>
      <c r="D15" s="24"/>
      <c r="E15" s="25" t="s">
        <v>8257</v>
      </c>
      <c r="F15" s="17" t="s">
        <v>8258</v>
      </c>
      <c r="G15" s="17" t="s">
        <v>8240</v>
      </c>
      <c r="H15" s="17"/>
      <c r="I15" s="26" t="s">
        <v>209</v>
      </c>
      <c r="J15" s="36" t="s">
        <v>8259</v>
      </c>
      <c r="K15" s="17" t="n">
        <v>2009</v>
      </c>
      <c r="L15" s="17"/>
      <c r="M15" s="17"/>
      <c r="N15" s="17"/>
      <c r="O15" s="17"/>
      <c r="P15" s="59" t="s">
        <v>7515</v>
      </c>
      <c r="Q15" s="12"/>
      <c r="R15" s="12"/>
      <c r="S15" s="12"/>
      <c r="T15" s="12"/>
      <c r="U15" s="12"/>
      <c r="V15" s="12"/>
      <c r="Z15" s="12"/>
      <c r="AA15" s="12" t="n">
        <v>5</v>
      </c>
      <c r="AB15" s="12"/>
      <c r="AC15" s="12"/>
      <c r="AD15" s="12"/>
      <c r="AE15" s="12"/>
    </row>
    <row r="16" customFormat="false" ht="15.75" hidden="false" customHeight="false" outlineLevel="0" collapsed="false">
      <c r="A16" s="12" t="str">
        <f aca="false">IF((AA16&gt;=4), "Y", "N")</f>
        <v>Y</v>
      </c>
      <c r="B16" s="74" t="s">
        <v>8226</v>
      </c>
      <c r="C16" s="26" t="s">
        <v>7529</v>
      </c>
      <c r="D16" s="24"/>
      <c r="E16" s="25" t="s">
        <v>8260</v>
      </c>
      <c r="F16" s="128" t="s">
        <v>8261</v>
      </c>
      <c r="G16" s="17" t="s">
        <v>8262</v>
      </c>
      <c r="H16" s="17"/>
      <c r="I16" s="26" t="s">
        <v>209</v>
      </c>
      <c r="J16" s="32" t="s">
        <v>8263</v>
      </c>
      <c r="K16" s="17"/>
      <c r="L16" s="17"/>
      <c r="M16" s="17"/>
      <c r="N16" s="17"/>
      <c r="O16" s="17"/>
      <c r="P16" s="59" t="s">
        <v>7515</v>
      </c>
      <c r="Q16" s="12"/>
      <c r="R16" s="12"/>
      <c r="S16" s="12"/>
      <c r="T16" s="12"/>
      <c r="U16" s="12"/>
      <c r="V16" s="12"/>
      <c r="Z16" s="12"/>
      <c r="AA16" s="12" t="n">
        <v>5</v>
      </c>
      <c r="AB16" s="12"/>
      <c r="AC16" s="12"/>
      <c r="AD16" s="12"/>
      <c r="AE16" s="12"/>
    </row>
    <row r="17" customFormat="false" ht="15.75" hidden="false" customHeight="false" outlineLevel="0" collapsed="false">
      <c r="A17" s="12" t="str">
        <f aca="false">IF((AA17&gt;=4), "Y", "N")</f>
        <v>Y</v>
      </c>
      <c r="B17" s="74"/>
      <c r="C17" s="26" t="s">
        <v>7530</v>
      </c>
      <c r="D17" s="24"/>
      <c r="E17" s="17"/>
      <c r="F17" s="17"/>
      <c r="G17" s="17"/>
      <c r="H17" s="17"/>
      <c r="I17" s="26" t="s">
        <v>209</v>
      </c>
      <c r="J17" s="32"/>
      <c r="K17" s="17"/>
      <c r="L17" s="17"/>
      <c r="M17" s="17"/>
      <c r="N17" s="17"/>
      <c r="O17" s="17"/>
      <c r="P17" s="59" t="s">
        <v>7515</v>
      </c>
      <c r="Q17" s="12"/>
      <c r="R17" s="12"/>
      <c r="S17" s="12"/>
      <c r="T17" s="12"/>
      <c r="U17" s="12"/>
      <c r="V17" s="12"/>
      <c r="Z17" s="12"/>
      <c r="AA17" s="12" t="n">
        <v>5</v>
      </c>
      <c r="AB17" s="12"/>
      <c r="AC17" s="12"/>
      <c r="AD17" s="12"/>
      <c r="AE17" s="12"/>
    </row>
    <row r="18" customFormat="false" ht="15.75" hidden="false" customHeight="false" outlineLevel="0" collapsed="false">
      <c r="A18" s="12" t="str">
        <f aca="false">IF((AA18&gt;=4), "Y", "N")</f>
        <v>Y</v>
      </c>
      <c r="B18" s="74" t="s">
        <v>8226</v>
      </c>
      <c r="C18" s="26" t="s">
        <v>7531</v>
      </c>
      <c r="D18" s="24"/>
      <c r="E18" s="25" t="s">
        <v>8264</v>
      </c>
      <c r="F18" s="17" t="s">
        <v>8265</v>
      </c>
      <c r="G18" s="17" t="s">
        <v>8240</v>
      </c>
      <c r="H18" s="17"/>
      <c r="I18" s="26" t="s">
        <v>209</v>
      </c>
      <c r="J18" s="32" t="s">
        <v>8266</v>
      </c>
      <c r="K18" s="17"/>
      <c r="L18" s="17"/>
      <c r="M18" s="17"/>
      <c r="N18" s="17"/>
      <c r="O18" s="17"/>
      <c r="P18" s="59" t="s">
        <v>7515</v>
      </c>
      <c r="Q18" s="12"/>
      <c r="R18" s="12"/>
      <c r="S18" s="12"/>
      <c r="T18" s="12"/>
      <c r="U18" s="12"/>
      <c r="V18" s="12"/>
      <c r="Z18" s="12"/>
      <c r="AA18" s="12" t="n">
        <v>5</v>
      </c>
      <c r="AB18" s="12"/>
      <c r="AC18" s="12"/>
      <c r="AD18" s="12"/>
      <c r="AE18" s="12"/>
    </row>
    <row r="19" customFormat="false" ht="15.75" hidden="false" customHeight="false" outlineLevel="0" collapsed="false">
      <c r="A19" s="12" t="str">
        <f aca="false">IF((AA19&gt;=4), "Y", "N")</f>
        <v>Y</v>
      </c>
      <c r="B19" s="74" t="s">
        <v>8226</v>
      </c>
      <c r="C19" s="26" t="s">
        <v>7532</v>
      </c>
      <c r="D19" s="24"/>
      <c r="E19" s="25" t="s">
        <v>8267</v>
      </c>
      <c r="F19" s="17" t="s">
        <v>8268</v>
      </c>
      <c r="G19" s="17" t="s">
        <v>8269</v>
      </c>
      <c r="H19" s="17"/>
      <c r="I19" s="26" t="s">
        <v>209</v>
      </c>
      <c r="J19" s="32" t="s">
        <v>8266</v>
      </c>
      <c r="K19" s="17" t="n">
        <v>2009</v>
      </c>
      <c r="L19" s="17"/>
      <c r="M19" s="17"/>
      <c r="N19" s="17"/>
      <c r="O19" s="17"/>
      <c r="P19" s="59" t="s">
        <v>7515</v>
      </c>
      <c r="Q19" s="12"/>
      <c r="R19" s="12"/>
      <c r="S19" s="12"/>
      <c r="T19" s="12"/>
      <c r="U19" s="12"/>
      <c r="V19" s="12"/>
      <c r="Z19" s="12"/>
      <c r="AA19" s="12" t="n">
        <v>5</v>
      </c>
      <c r="AB19" s="12"/>
      <c r="AC19" s="12"/>
      <c r="AD19" s="12"/>
      <c r="AE19" s="12"/>
    </row>
    <row r="20" customFormat="false" ht="15.75" hidden="false" customHeight="false" outlineLevel="0" collapsed="false">
      <c r="A20" s="12" t="str">
        <f aca="false">IF((AA20&gt;=4), "Y", "N")</f>
        <v>Y</v>
      </c>
      <c r="B20" s="74" t="s">
        <v>8226</v>
      </c>
      <c r="C20" s="26" t="s">
        <v>7533</v>
      </c>
      <c r="D20" s="24"/>
      <c r="E20" s="25" t="s">
        <v>8270</v>
      </c>
      <c r="F20" s="17" t="s">
        <v>8271</v>
      </c>
      <c r="G20" s="17" t="s">
        <v>8240</v>
      </c>
      <c r="H20" s="17"/>
      <c r="I20" s="26" t="s">
        <v>209</v>
      </c>
      <c r="J20" s="32" t="s">
        <v>8272</v>
      </c>
      <c r="K20" s="17"/>
      <c r="L20" s="17"/>
      <c r="M20" s="17"/>
      <c r="N20" s="17"/>
      <c r="O20" s="17"/>
      <c r="P20" s="59" t="s">
        <v>7515</v>
      </c>
      <c r="Q20" s="12"/>
      <c r="R20" s="12"/>
      <c r="S20" s="12"/>
      <c r="T20" s="12"/>
      <c r="U20" s="12"/>
      <c r="V20" s="12"/>
      <c r="Z20" s="12"/>
      <c r="AA20" s="12" t="n">
        <v>5</v>
      </c>
      <c r="AB20" s="12"/>
      <c r="AC20" s="12"/>
      <c r="AD20" s="12"/>
      <c r="AE20" s="12"/>
    </row>
    <row r="21" customFormat="false" ht="15.75" hidden="false" customHeight="false" outlineLevel="0" collapsed="false">
      <c r="A21" s="12" t="str">
        <f aca="false">IF((AA21&gt;=4), "Y", "N")</f>
        <v>Y</v>
      </c>
      <c r="B21" s="74" t="s">
        <v>8226</v>
      </c>
      <c r="C21" s="26" t="s">
        <v>7534</v>
      </c>
      <c r="D21" s="24"/>
      <c r="E21" s="25" t="s">
        <v>8273</v>
      </c>
      <c r="F21" s="17" t="s">
        <v>8274</v>
      </c>
      <c r="G21" s="17" t="s">
        <v>8240</v>
      </c>
      <c r="H21" s="17"/>
      <c r="I21" s="26" t="s">
        <v>209</v>
      </c>
      <c r="J21" s="32" t="s">
        <v>8272</v>
      </c>
      <c r="K21" s="17"/>
      <c r="L21" s="17"/>
      <c r="M21" s="17"/>
      <c r="N21" s="17"/>
      <c r="O21" s="17"/>
      <c r="P21" s="59" t="s">
        <v>7515</v>
      </c>
      <c r="Q21" s="12"/>
      <c r="R21" s="12"/>
      <c r="S21" s="12"/>
      <c r="T21" s="12"/>
      <c r="U21" s="12"/>
      <c r="V21" s="12"/>
      <c r="Z21" s="12"/>
      <c r="AA21" s="12" t="n">
        <v>5</v>
      </c>
      <c r="AB21" s="12"/>
      <c r="AC21" s="12"/>
      <c r="AD21" s="12"/>
      <c r="AE21" s="12"/>
    </row>
    <row r="22" customFormat="false" ht="15.75" hidden="false" customHeight="false" outlineLevel="0" collapsed="false">
      <c r="A22" s="12" t="str">
        <f aca="false">IF((AA22&gt;=4), "Y", "N")</f>
        <v>Y</v>
      </c>
      <c r="B22" s="74" t="s">
        <v>8226</v>
      </c>
      <c r="C22" s="26" t="s">
        <v>7535</v>
      </c>
      <c r="D22" s="24"/>
      <c r="E22" s="25" t="s">
        <v>8275</v>
      </c>
      <c r="F22" s="17" t="s">
        <v>8276</v>
      </c>
      <c r="G22" s="17" t="s">
        <v>183</v>
      </c>
      <c r="H22" s="17"/>
      <c r="I22" s="26" t="s">
        <v>209</v>
      </c>
      <c r="J22" s="32" t="s">
        <v>8277</v>
      </c>
      <c r="K22" s="17"/>
      <c r="L22" s="17"/>
      <c r="M22" s="17"/>
      <c r="N22" s="17"/>
      <c r="O22" s="17"/>
      <c r="P22" s="59" t="s">
        <v>7515</v>
      </c>
      <c r="Q22" s="12"/>
      <c r="R22" s="12"/>
      <c r="S22" s="12"/>
      <c r="T22" s="12"/>
      <c r="U22" s="12"/>
      <c r="V22" s="12"/>
      <c r="Z22" s="12"/>
      <c r="AA22" s="12" t="n">
        <v>5</v>
      </c>
      <c r="AB22" s="12"/>
      <c r="AC22" s="12"/>
      <c r="AD22" s="12"/>
      <c r="AE22" s="12"/>
    </row>
    <row r="23" customFormat="false" ht="15.75" hidden="false" customHeight="false" outlineLevel="0" collapsed="false">
      <c r="A23" s="12" t="str">
        <f aca="false">IF((AA23&gt;=4), "Y", "N")</f>
        <v>Y</v>
      </c>
      <c r="B23" s="74" t="s">
        <v>8226</v>
      </c>
      <c r="C23" s="26" t="s">
        <v>7536</v>
      </c>
      <c r="D23" s="24"/>
      <c r="E23" s="17"/>
      <c r="F23" s="17" t="s">
        <v>8278</v>
      </c>
      <c r="G23" s="17"/>
      <c r="H23" s="17"/>
      <c r="I23" s="26" t="s">
        <v>209</v>
      </c>
      <c r="J23" s="32"/>
      <c r="K23" s="17"/>
      <c r="L23" s="17"/>
      <c r="M23" s="17"/>
      <c r="N23" s="17"/>
      <c r="O23" s="17"/>
      <c r="P23" s="59" t="s">
        <v>7515</v>
      </c>
      <c r="Q23" s="12"/>
      <c r="R23" s="12"/>
      <c r="S23" s="12"/>
      <c r="T23" s="12"/>
      <c r="U23" s="12"/>
      <c r="V23" s="12"/>
      <c r="Z23" s="12"/>
      <c r="AA23" s="12" t="n">
        <v>5</v>
      </c>
      <c r="AB23" s="12"/>
      <c r="AC23" s="12"/>
      <c r="AD23" s="12"/>
      <c r="AE23" s="12"/>
    </row>
    <row r="24" customFormat="false" ht="15.75" hidden="false" customHeight="false" outlineLevel="0" collapsed="false">
      <c r="A24" s="12" t="str">
        <f aca="false">IF((AA24&gt;=4), "Y", "N")</f>
        <v>Y</v>
      </c>
      <c r="B24" s="74" t="s">
        <v>8226</v>
      </c>
      <c r="C24" s="26" t="s">
        <v>7537</v>
      </c>
      <c r="D24" s="24"/>
      <c r="E24" s="17"/>
      <c r="F24" s="17" t="s">
        <v>8278</v>
      </c>
      <c r="G24" s="17"/>
      <c r="H24" s="17"/>
      <c r="I24" s="26" t="s">
        <v>209</v>
      </c>
      <c r="J24" s="32"/>
      <c r="K24" s="17"/>
      <c r="L24" s="17"/>
      <c r="M24" s="17"/>
      <c r="N24" s="17"/>
      <c r="O24" s="17"/>
      <c r="P24" s="59" t="s">
        <v>7515</v>
      </c>
      <c r="Q24" s="12"/>
      <c r="R24" s="12"/>
      <c r="S24" s="12"/>
      <c r="T24" s="12"/>
      <c r="U24" s="12"/>
      <c r="V24" s="12"/>
      <c r="Z24" s="12"/>
      <c r="AA24" s="12" t="n">
        <v>5</v>
      </c>
      <c r="AB24" s="12"/>
      <c r="AC24" s="12"/>
      <c r="AD24" s="12"/>
      <c r="AE24" s="12"/>
    </row>
    <row r="25" customFormat="false" ht="15.75" hidden="false" customHeight="false" outlineLevel="0" collapsed="false">
      <c r="A25" s="12" t="str">
        <f aca="false">IF((AA25&gt;=4), "Y", "N")</f>
        <v>Y</v>
      </c>
      <c r="B25" s="74"/>
      <c r="C25" s="26" t="s">
        <v>7538</v>
      </c>
      <c r="D25" s="24"/>
      <c r="E25" s="17"/>
      <c r="F25" s="17"/>
      <c r="G25" s="17"/>
      <c r="H25" s="17"/>
      <c r="I25" s="26" t="s">
        <v>209</v>
      </c>
      <c r="J25" s="32"/>
      <c r="K25" s="17"/>
      <c r="L25" s="17"/>
      <c r="M25" s="17"/>
      <c r="N25" s="17"/>
      <c r="O25" s="17"/>
      <c r="P25" s="59" t="s">
        <v>7515</v>
      </c>
      <c r="Q25" s="12"/>
      <c r="R25" s="12"/>
      <c r="S25" s="12"/>
      <c r="T25" s="12"/>
      <c r="U25" s="12"/>
      <c r="V25" s="12"/>
      <c r="Z25" s="12"/>
      <c r="AA25" s="12" t="n">
        <v>5</v>
      </c>
      <c r="AB25" s="12"/>
      <c r="AC25" s="12"/>
      <c r="AD25" s="12"/>
      <c r="AE25" s="12"/>
    </row>
    <row r="26" customFormat="false" ht="15.75" hidden="false" customHeight="false" outlineLevel="0" collapsed="false">
      <c r="A26" s="12" t="str">
        <f aca="false">IF((AA26&gt;=4), "Y", "N")</f>
        <v>Y</v>
      </c>
      <c r="B26" s="74" t="s">
        <v>8226</v>
      </c>
      <c r="C26" s="26" t="s">
        <v>7539</v>
      </c>
      <c r="D26" s="24"/>
      <c r="E26" s="25" t="s">
        <v>8279</v>
      </c>
      <c r="F26" s="17" t="s">
        <v>8280</v>
      </c>
      <c r="G26" s="17" t="s">
        <v>8281</v>
      </c>
      <c r="H26" s="17"/>
      <c r="I26" s="26" t="s">
        <v>209</v>
      </c>
      <c r="J26" s="32" t="s">
        <v>8234</v>
      </c>
      <c r="K26" s="17"/>
      <c r="L26" s="17"/>
      <c r="M26" s="17"/>
      <c r="N26" s="17"/>
      <c r="O26" s="17"/>
      <c r="P26" s="59" t="s">
        <v>7515</v>
      </c>
      <c r="Q26" s="12"/>
      <c r="R26" s="12"/>
      <c r="S26" s="12"/>
      <c r="T26" s="12"/>
      <c r="U26" s="12"/>
      <c r="V26" s="12"/>
      <c r="Z26" s="12"/>
      <c r="AA26" s="12" t="n">
        <v>5</v>
      </c>
      <c r="AB26" s="12"/>
      <c r="AC26" s="12"/>
      <c r="AD26" s="12"/>
      <c r="AE26" s="12"/>
    </row>
    <row r="27" customFormat="false" ht="15.75" hidden="false" customHeight="false" outlineLevel="0" collapsed="false">
      <c r="A27" s="12" t="str">
        <f aca="false">IF((AA27&gt;=4), "Y", "N")</f>
        <v>Y</v>
      </c>
      <c r="B27" s="74" t="s">
        <v>8226</v>
      </c>
      <c r="C27" s="26" t="s">
        <v>7540</v>
      </c>
      <c r="D27" s="24"/>
      <c r="E27" s="25" t="s">
        <v>8282</v>
      </c>
      <c r="F27" s="17" t="s">
        <v>8283</v>
      </c>
      <c r="G27" s="17" t="s">
        <v>8240</v>
      </c>
      <c r="H27" s="17"/>
      <c r="I27" s="26" t="s">
        <v>209</v>
      </c>
      <c r="J27" s="32" t="s">
        <v>8234</v>
      </c>
      <c r="K27" s="17"/>
      <c r="L27" s="17"/>
      <c r="M27" s="17"/>
      <c r="N27" s="17"/>
      <c r="O27" s="17"/>
      <c r="P27" s="59" t="s">
        <v>7515</v>
      </c>
      <c r="Q27" s="12"/>
      <c r="R27" s="12"/>
      <c r="S27" s="12"/>
      <c r="T27" s="12"/>
      <c r="U27" s="12"/>
      <c r="V27" s="12"/>
      <c r="Z27" s="12"/>
      <c r="AA27" s="12" t="n">
        <v>5</v>
      </c>
      <c r="AB27" s="12"/>
      <c r="AC27" s="12"/>
      <c r="AD27" s="12"/>
      <c r="AE27" s="12"/>
    </row>
    <row r="28" customFormat="false" ht="15.75" hidden="false" customHeight="false" outlineLevel="0" collapsed="false">
      <c r="A28" s="12" t="str">
        <f aca="false">IF((AA28&gt;=4), "Y", "N")</f>
        <v>Y</v>
      </c>
      <c r="B28" s="74" t="s">
        <v>8226</v>
      </c>
      <c r="C28" s="26" t="s">
        <v>7541</v>
      </c>
      <c r="D28" s="24"/>
      <c r="E28" s="17"/>
      <c r="F28" s="17"/>
      <c r="G28" s="17"/>
      <c r="H28" s="17"/>
      <c r="I28" s="26" t="s">
        <v>209</v>
      </c>
      <c r="J28" s="32"/>
      <c r="K28" s="17"/>
      <c r="L28" s="17"/>
      <c r="M28" s="17"/>
      <c r="N28" s="17"/>
      <c r="O28" s="17"/>
      <c r="P28" s="59" t="s">
        <v>7515</v>
      </c>
      <c r="Q28" s="12"/>
      <c r="R28" s="12"/>
      <c r="S28" s="12"/>
      <c r="T28" s="12"/>
      <c r="U28" s="12"/>
      <c r="V28" s="12"/>
      <c r="Z28" s="12"/>
      <c r="AA28" s="12" t="n">
        <v>5</v>
      </c>
      <c r="AB28" s="12"/>
      <c r="AC28" s="12"/>
      <c r="AD28" s="12"/>
      <c r="AE28" s="12"/>
    </row>
    <row r="29" customFormat="false" ht="15.75" hidden="false" customHeight="false" outlineLevel="0" collapsed="false">
      <c r="A29" s="12" t="str">
        <f aca="false">IF((AA29&gt;=4), "Y", "N")</f>
        <v>Y</v>
      </c>
      <c r="B29" s="74" t="s">
        <v>8226</v>
      </c>
      <c r="C29" s="26" t="s">
        <v>7542</v>
      </c>
      <c r="D29" s="24"/>
      <c r="E29" s="25" t="s">
        <v>8284</v>
      </c>
      <c r="F29" s="17" t="s">
        <v>8285</v>
      </c>
      <c r="G29" s="17" t="s">
        <v>8286</v>
      </c>
      <c r="H29" s="17"/>
      <c r="I29" s="26" t="s">
        <v>209</v>
      </c>
      <c r="J29" s="32" t="s">
        <v>8234</v>
      </c>
      <c r="K29" s="17"/>
      <c r="L29" s="17"/>
      <c r="M29" s="17"/>
      <c r="N29" s="17"/>
      <c r="O29" s="17"/>
      <c r="P29" s="59" t="s">
        <v>7515</v>
      </c>
      <c r="Q29" s="12"/>
      <c r="R29" s="12"/>
      <c r="S29" s="12"/>
      <c r="T29" s="12"/>
      <c r="U29" s="12"/>
      <c r="V29" s="12"/>
      <c r="Z29" s="12"/>
      <c r="AA29" s="12" t="n">
        <v>5</v>
      </c>
      <c r="AB29" s="12"/>
      <c r="AC29" s="12"/>
      <c r="AD29" s="12"/>
      <c r="AE29" s="12"/>
    </row>
    <row r="30" customFormat="false" ht="15.75" hidden="false" customHeight="false" outlineLevel="0" collapsed="false">
      <c r="A30" s="12" t="str">
        <f aca="false">IF((AA30&gt;=4), "Y", "N")</f>
        <v>Y</v>
      </c>
      <c r="B30" s="74" t="s">
        <v>8226</v>
      </c>
      <c r="C30" s="26" t="s">
        <v>7543</v>
      </c>
      <c r="D30" s="24"/>
      <c r="E30" s="25" t="s">
        <v>8287</v>
      </c>
      <c r="F30" s="17" t="s">
        <v>8288</v>
      </c>
      <c r="G30" s="17" t="s">
        <v>8240</v>
      </c>
      <c r="H30" s="17"/>
      <c r="I30" s="26" t="s">
        <v>209</v>
      </c>
      <c r="J30" s="32" t="s">
        <v>8289</v>
      </c>
      <c r="K30" s="17"/>
      <c r="L30" s="17"/>
      <c r="M30" s="17"/>
      <c r="N30" s="17"/>
      <c r="O30" s="17"/>
      <c r="P30" s="59" t="s">
        <v>7515</v>
      </c>
      <c r="Q30" s="12"/>
      <c r="R30" s="12"/>
      <c r="S30" s="12"/>
      <c r="T30" s="12"/>
      <c r="U30" s="12"/>
      <c r="V30" s="12"/>
      <c r="Z30" s="12"/>
      <c r="AA30" s="12" t="n">
        <v>5</v>
      </c>
      <c r="AB30" s="12"/>
      <c r="AC30" s="12"/>
      <c r="AD30" s="12"/>
      <c r="AE30" s="12"/>
    </row>
    <row r="31" customFormat="false" ht="15.75" hidden="false" customHeight="false" outlineLevel="0" collapsed="false">
      <c r="A31" s="12" t="str">
        <f aca="false">IF((AA31&gt;=4), "Y", "N")</f>
        <v>Y</v>
      </c>
      <c r="B31" s="74" t="s">
        <v>8226</v>
      </c>
      <c r="C31" s="26" t="s">
        <v>7544</v>
      </c>
      <c r="D31" s="24"/>
      <c r="E31" s="25" t="s">
        <v>8290</v>
      </c>
      <c r="F31" s="17" t="s">
        <v>8291</v>
      </c>
      <c r="G31" s="17" t="s">
        <v>8240</v>
      </c>
      <c r="H31" s="17"/>
      <c r="I31" s="26" t="s">
        <v>209</v>
      </c>
      <c r="J31" s="32" t="s">
        <v>8289</v>
      </c>
      <c r="K31" s="17" t="n">
        <v>2002</v>
      </c>
      <c r="L31" s="17"/>
      <c r="M31" s="17"/>
      <c r="N31" s="17"/>
      <c r="O31" s="17"/>
      <c r="P31" s="59" t="s">
        <v>7515</v>
      </c>
      <c r="Q31" s="12"/>
      <c r="R31" s="12"/>
      <c r="S31" s="12"/>
      <c r="T31" s="12"/>
      <c r="U31" s="12"/>
      <c r="V31" s="12"/>
      <c r="Z31" s="12"/>
      <c r="AA31" s="12" t="n">
        <v>5</v>
      </c>
      <c r="AB31" s="12"/>
      <c r="AC31" s="12"/>
      <c r="AD31" s="12"/>
      <c r="AE31" s="12"/>
    </row>
    <row r="32" customFormat="false" ht="15.75" hidden="false" customHeight="false" outlineLevel="0" collapsed="false">
      <c r="A32" s="12" t="str">
        <f aca="false">IF((AA32&gt;=4), "Y", "N")</f>
        <v>Y</v>
      </c>
      <c r="B32" s="74" t="s">
        <v>8226</v>
      </c>
      <c r="C32" s="26" t="s">
        <v>7545</v>
      </c>
      <c r="D32" s="24"/>
      <c r="E32" s="25" t="s">
        <v>8292</v>
      </c>
      <c r="F32" s="17" t="s">
        <v>8293</v>
      </c>
      <c r="G32" s="17" t="s">
        <v>8233</v>
      </c>
      <c r="H32" s="17"/>
      <c r="I32" s="26" t="s">
        <v>209</v>
      </c>
      <c r="J32" s="32" t="s">
        <v>8234</v>
      </c>
      <c r="K32" s="17" t="n">
        <v>1990</v>
      </c>
      <c r="L32" s="17"/>
      <c r="M32" s="17"/>
      <c r="N32" s="17"/>
      <c r="O32" s="17"/>
      <c r="P32" s="59" t="s">
        <v>7515</v>
      </c>
      <c r="Q32" s="12"/>
      <c r="R32" s="12"/>
      <c r="S32" s="12"/>
      <c r="T32" s="12"/>
      <c r="U32" s="12"/>
      <c r="V32" s="12"/>
      <c r="Z32" s="12"/>
      <c r="AA32" s="12" t="n">
        <v>5</v>
      </c>
      <c r="AB32" s="12"/>
      <c r="AC32" s="12"/>
      <c r="AD32" s="12"/>
      <c r="AE32" s="12"/>
    </row>
    <row r="33" customFormat="false" ht="15.75" hidden="false" customHeight="false" outlineLevel="0" collapsed="false">
      <c r="A33" s="12" t="str">
        <f aca="false">IF((AA33&gt;=4), "Y", "N")</f>
        <v>Y</v>
      </c>
      <c r="B33" s="74"/>
      <c r="C33" s="26" t="s">
        <v>7546</v>
      </c>
      <c r="D33" s="24"/>
      <c r="E33" s="17"/>
      <c r="F33" s="17"/>
      <c r="G33" s="17"/>
      <c r="H33" s="17"/>
      <c r="I33" s="26" t="s">
        <v>209</v>
      </c>
      <c r="J33" s="32"/>
      <c r="K33" s="17"/>
      <c r="L33" s="17"/>
      <c r="M33" s="17"/>
      <c r="N33" s="17"/>
      <c r="O33" s="17"/>
      <c r="P33" s="59" t="s">
        <v>7515</v>
      </c>
      <c r="Q33" s="12"/>
      <c r="R33" s="12"/>
      <c r="S33" s="12"/>
      <c r="T33" s="12"/>
      <c r="U33" s="12"/>
      <c r="V33" s="12"/>
      <c r="Z33" s="12"/>
      <c r="AA33" s="12" t="n">
        <v>5</v>
      </c>
      <c r="AB33" s="12"/>
      <c r="AC33" s="12"/>
      <c r="AD33" s="12"/>
      <c r="AE33" s="12"/>
    </row>
    <row r="34" customFormat="false" ht="15.75" hidden="false" customHeight="false" outlineLevel="0" collapsed="false">
      <c r="A34" s="12" t="str">
        <f aca="false">IF((AA34&gt;=4), "Y", "N")</f>
        <v>Y</v>
      </c>
      <c r="B34" s="74"/>
      <c r="C34" s="26" t="s">
        <v>7547</v>
      </c>
      <c r="D34" s="24"/>
      <c r="E34" s="17"/>
      <c r="F34" s="17"/>
      <c r="G34" s="17"/>
      <c r="H34" s="17"/>
      <c r="I34" s="26" t="s">
        <v>209</v>
      </c>
      <c r="J34" s="32"/>
      <c r="K34" s="17"/>
      <c r="L34" s="17"/>
      <c r="M34" s="17"/>
      <c r="N34" s="17"/>
      <c r="O34" s="17"/>
      <c r="P34" s="59" t="s">
        <v>7515</v>
      </c>
      <c r="Q34" s="12"/>
      <c r="R34" s="12"/>
      <c r="S34" s="12"/>
      <c r="T34" s="12"/>
      <c r="U34" s="12"/>
      <c r="V34" s="12"/>
      <c r="Z34" s="12"/>
      <c r="AA34" s="12" t="n">
        <v>5</v>
      </c>
      <c r="AB34" s="12"/>
      <c r="AC34" s="12"/>
      <c r="AD34" s="12"/>
      <c r="AE34" s="12"/>
    </row>
    <row r="35" customFormat="false" ht="15.75" hidden="false" customHeight="false" outlineLevel="0" collapsed="false">
      <c r="A35" s="12" t="str">
        <f aca="false">IF((AA35&gt;=4), "Y", "N")</f>
        <v>Y</v>
      </c>
      <c r="B35" s="74"/>
      <c r="C35" s="26" t="s">
        <v>7548</v>
      </c>
      <c r="D35" s="24"/>
      <c r="E35" s="17"/>
      <c r="F35" s="17"/>
      <c r="G35" s="17"/>
      <c r="H35" s="17"/>
      <c r="I35" s="26" t="s">
        <v>209</v>
      </c>
      <c r="J35" s="32"/>
      <c r="K35" s="17"/>
      <c r="L35" s="17"/>
      <c r="M35" s="17"/>
      <c r="N35" s="17"/>
      <c r="O35" s="17"/>
      <c r="P35" s="59" t="s">
        <v>7515</v>
      </c>
      <c r="Q35" s="12"/>
      <c r="R35" s="12"/>
      <c r="S35" s="12"/>
      <c r="T35" s="12"/>
      <c r="U35" s="12"/>
      <c r="V35" s="12"/>
      <c r="Z35" s="12"/>
      <c r="AA35" s="12" t="n">
        <v>5</v>
      </c>
      <c r="AB35" s="12"/>
      <c r="AC35" s="12"/>
      <c r="AD35" s="12"/>
      <c r="AE35" s="12"/>
    </row>
    <row r="36" customFormat="false" ht="15.75" hidden="false" customHeight="false" outlineLevel="0" collapsed="false">
      <c r="A36" s="12" t="str">
        <f aca="false">IF((AA36&gt;=4), "Y", "N")</f>
        <v>Y</v>
      </c>
      <c r="B36" s="74"/>
      <c r="C36" s="26" t="s">
        <v>7549</v>
      </c>
      <c r="D36" s="24"/>
      <c r="E36" s="17"/>
      <c r="F36" s="17"/>
      <c r="G36" s="17"/>
      <c r="H36" s="17"/>
      <c r="I36" s="26" t="s">
        <v>209</v>
      </c>
      <c r="J36" s="32"/>
      <c r="K36" s="17"/>
      <c r="L36" s="17"/>
      <c r="M36" s="17"/>
      <c r="N36" s="17"/>
      <c r="O36" s="17"/>
      <c r="P36" s="59" t="s">
        <v>7515</v>
      </c>
      <c r="Q36" s="12"/>
      <c r="R36" s="12"/>
      <c r="S36" s="12"/>
      <c r="T36" s="12"/>
      <c r="U36" s="12"/>
      <c r="V36" s="12"/>
      <c r="Z36" s="12"/>
      <c r="AA36" s="12" t="n">
        <v>5</v>
      </c>
      <c r="AB36" s="12"/>
      <c r="AC36" s="12"/>
      <c r="AD36" s="12"/>
      <c r="AE36" s="12"/>
    </row>
    <row r="37" customFormat="false" ht="15.75" hidden="false" customHeight="false" outlineLevel="0" collapsed="false">
      <c r="A37" s="12" t="str">
        <f aca="false">IF((AA37&gt;=4), "Y", "N")</f>
        <v>Y</v>
      </c>
      <c r="B37" s="74"/>
      <c r="C37" s="26" t="s">
        <v>272</v>
      </c>
      <c r="D37" s="24"/>
      <c r="E37" s="17"/>
      <c r="F37" s="17"/>
      <c r="G37" s="17"/>
      <c r="H37" s="17"/>
      <c r="I37" s="26" t="s">
        <v>209</v>
      </c>
      <c r="J37" s="32"/>
      <c r="K37" s="17"/>
      <c r="L37" s="17"/>
      <c r="M37" s="17"/>
      <c r="N37" s="17"/>
      <c r="O37" s="17"/>
      <c r="P37" s="59" t="s">
        <v>7515</v>
      </c>
      <c r="Q37" s="12"/>
      <c r="R37" s="12"/>
      <c r="S37" s="12"/>
      <c r="T37" s="12"/>
      <c r="U37" s="12"/>
      <c r="V37" s="12"/>
      <c r="Z37" s="12"/>
      <c r="AA37" s="12" t="n">
        <v>5</v>
      </c>
      <c r="AB37" s="12"/>
      <c r="AC37" s="12"/>
      <c r="AD37" s="12"/>
      <c r="AE37" s="12"/>
    </row>
    <row r="38" customFormat="false" ht="15.75" hidden="false" customHeight="false" outlineLevel="0" collapsed="false">
      <c r="A38" s="12" t="str">
        <f aca="false">IF((AA38&gt;=4), "Y", "N")</f>
        <v>Y</v>
      </c>
      <c r="B38" s="74"/>
      <c r="C38" s="26" t="s">
        <v>7550</v>
      </c>
      <c r="D38" s="24"/>
      <c r="E38" s="17"/>
      <c r="F38" s="17"/>
      <c r="G38" s="17"/>
      <c r="H38" s="17"/>
      <c r="I38" s="26" t="s">
        <v>209</v>
      </c>
      <c r="J38" s="32"/>
      <c r="K38" s="17"/>
      <c r="L38" s="17"/>
      <c r="M38" s="17"/>
      <c r="N38" s="17"/>
      <c r="O38" s="17"/>
      <c r="P38" s="59" t="s">
        <v>7515</v>
      </c>
      <c r="Q38" s="12"/>
      <c r="R38" s="12"/>
      <c r="S38" s="12"/>
      <c r="T38" s="12"/>
      <c r="U38" s="12"/>
      <c r="V38" s="12"/>
      <c r="Z38" s="12"/>
      <c r="AA38" s="12" t="n">
        <v>5</v>
      </c>
      <c r="AB38" s="12"/>
      <c r="AC38" s="12"/>
      <c r="AD38" s="12"/>
      <c r="AE38" s="12"/>
    </row>
    <row r="39" customFormat="false" ht="15.75" hidden="false" customHeight="false" outlineLevel="0" collapsed="false">
      <c r="A39" s="12" t="str">
        <f aca="false">IF((AA39&gt;=4), "Y", "N")</f>
        <v>Y</v>
      </c>
      <c r="B39" s="74"/>
      <c r="C39" s="26" t="s">
        <v>7551</v>
      </c>
      <c r="D39" s="24"/>
      <c r="E39" s="17"/>
      <c r="F39" s="17"/>
      <c r="G39" s="17"/>
      <c r="H39" s="17"/>
      <c r="I39" s="26" t="s">
        <v>209</v>
      </c>
      <c r="J39" s="32"/>
      <c r="K39" s="17"/>
      <c r="L39" s="17"/>
      <c r="M39" s="17"/>
      <c r="N39" s="17"/>
      <c r="O39" s="17"/>
      <c r="P39" s="59" t="s">
        <v>7515</v>
      </c>
      <c r="Q39" s="12"/>
      <c r="R39" s="12"/>
      <c r="S39" s="12"/>
      <c r="T39" s="12"/>
      <c r="U39" s="12"/>
      <c r="V39" s="12"/>
      <c r="Z39" s="12"/>
      <c r="AA39" s="12" t="n">
        <v>5</v>
      </c>
      <c r="AB39" s="12"/>
      <c r="AC39" s="12"/>
      <c r="AD39" s="12"/>
      <c r="AE39" s="12"/>
    </row>
    <row r="40" customFormat="false" ht="15.75" hidden="false" customHeight="false" outlineLevel="0" collapsed="false">
      <c r="A40" s="12" t="str">
        <f aca="false">IF((AA40&gt;=4), "Y", "N")</f>
        <v>Y</v>
      </c>
      <c r="B40" s="74"/>
      <c r="C40" s="26" t="s">
        <v>7552</v>
      </c>
      <c r="D40" s="24"/>
      <c r="E40" s="17"/>
      <c r="F40" s="17"/>
      <c r="G40" s="17"/>
      <c r="H40" s="17"/>
      <c r="I40" s="26" t="s">
        <v>209</v>
      </c>
      <c r="J40" s="32"/>
      <c r="K40" s="17"/>
      <c r="L40" s="17"/>
      <c r="M40" s="17"/>
      <c r="N40" s="17"/>
      <c r="O40" s="17"/>
      <c r="P40" s="59" t="s">
        <v>7515</v>
      </c>
      <c r="Q40" s="12"/>
      <c r="R40" s="12"/>
      <c r="S40" s="12"/>
      <c r="T40" s="12"/>
      <c r="U40" s="12"/>
      <c r="V40" s="12"/>
      <c r="Z40" s="12"/>
      <c r="AA40" s="12" t="n">
        <v>5</v>
      </c>
      <c r="AB40" s="12"/>
      <c r="AC40" s="12"/>
      <c r="AD40" s="12"/>
      <c r="AE40" s="12"/>
    </row>
    <row r="41" customFormat="false" ht="15.75" hidden="false" customHeight="false" outlineLevel="0" collapsed="false">
      <c r="A41" s="12" t="str">
        <f aca="false">IF((AA41&gt;=4), "Y", "N")</f>
        <v>Y</v>
      </c>
      <c r="B41" s="74"/>
      <c r="C41" s="26" t="s">
        <v>7553</v>
      </c>
      <c r="D41" s="24"/>
      <c r="E41" s="17"/>
      <c r="F41" s="17"/>
      <c r="G41" s="17"/>
      <c r="H41" s="17"/>
      <c r="I41" s="26" t="s">
        <v>209</v>
      </c>
      <c r="J41" s="32"/>
      <c r="K41" s="17"/>
      <c r="L41" s="17"/>
      <c r="M41" s="17"/>
      <c r="N41" s="17"/>
      <c r="O41" s="17"/>
      <c r="P41" s="59" t="s">
        <v>7515</v>
      </c>
      <c r="Q41" s="12"/>
      <c r="R41" s="12"/>
      <c r="S41" s="12"/>
      <c r="T41" s="12"/>
      <c r="U41" s="12"/>
      <c r="V41" s="12"/>
      <c r="Z41" s="12"/>
      <c r="AA41" s="12" t="n">
        <v>5</v>
      </c>
      <c r="AB41" s="12"/>
      <c r="AC41" s="12"/>
      <c r="AD41" s="12"/>
      <c r="AE41" s="12"/>
    </row>
    <row r="42" customFormat="false" ht="15.75" hidden="false" customHeight="false" outlineLevel="0" collapsed="false">
      <c r="A42" s="12" t="str">
        <f aca="false">IF((AA42&gt;=4), "Y", "N")</f>
        <v>Y</v>
      </c>
      <c r="B42" s="74"/>
      <c r="C42" s="26" t="s">
        <v>7554</v>
      </c>
      <c r="D42" s="24"/>
      <c r="E42" s="17"/>
      <c r="F42" s="17"/>
      <c r="G42" s="17"/>
      <c r="H42" s="17"/>
      <c r="I42" s="26" t="s">
        <v>209</v>
      </c>
      <c r="J42" s="32"/>
      <c r="K42" s="17"/>
      <c r="L42" s="17"/>
      <c r="M42" s="17"/>
      <c r="N42" s="17"/>
      <c r="O42" s="17"/>
      <c r="P42" s="59" t="s">
        <v>7515</v>
      </c>
      <c r="Q42" s="12"/>
      <c r="R42" s="12"/>
      <c r="S42" s="12"/>
      <c r="T42" s="12"/>
      <c r="U42" s="12"/>
      <c r="V42" s="12"/>
      <c r="Z42" s="12"/>
      <c r="AA42" s="12" t="n">
        <v>5</v>
      </c>
      <c r="AB42" s="12"/>
      <c r="AC42" s="12"/>
      <c r="AD42" s="12"/>
      <c r="AE42" s="12"/>
    </row>
    <row r="43" customFormat="false" ht="15.75" hidden="false" customHeight="false" outlineLevel="0" collapsed="false">
      <c r="A43" s="12" t="str">
        <f aca="false">IF((AA43&gt;=4), "Y", "N")</f>
        <v>Y</v>
      </c>
      <c r="B43" s="74"/>
      <c r="C43" s="26" t="s">
        <v>7555</v>
      </c>
      <c r="D43" s="24"/>
      <c r="E43" s="17"/>
      <c r="F43" s="17"/>
      <c r="G43" s="17"/>
      <c r="H43" s="17"/>
      <c r="I43" s="26" t="s">
        <v>209</v>
      </c>
      <c r="J43" s="32"/>
      <c r="K43" s="17"/>
      <c r="L43" s="17"/>
      <c r="M43" s="17"/>
      <c r="N43" s="17"/>
      <c r="O43" s="17"/>
      <c r="P43" s="59" t="s">
        <v>7515</v>
      </c>
      <c r="Q43" s="12"/>
      <c r="R43" s="12"/>
      <c r="S43" s="12"/>
      <c r="T43" s="12"/>
      <c r="U43" s="12"/>
      <c r="V43" s="12"/>
      <c r="Z43" s="12"/>
      <c r="AA43" s="12" t="n">
        <v>5</v>
      </c>
      <c r="AB43" s="12"/>
      <c r="AC43" s="12"/>
      <c r="AD43" s="12"/>
      <c r="AE43" s="12"/>
    </row>
    <row r="44" customFormat="false" ht="15.75" hidden="false" customHeight="false" outlineLevel="0" collapsed="false">
      <c r="A44" s="12" t="str">
        <f aca="false">IF((AA44&gt;=4), "Y", "N")</f>
        <v>Y</v>
      </c>
      <c r="B44" s="74"/>
      <c r="C44" s="26" t="s">
        <v>7556</v>
      </c>
      <c r="D44" s="24"/>
      <c r="E44" s="17"/>
      <c r="F44" s="17"/>
      <c r="G44" s="17"/>
      <c r="H44" s="17"/>
      <c r="I44" s="26" t="s">
        <v>209</v>
      </c>
      <c r="J44" s="32"/>
      <c r="K44" s="17"/>
      <c r="L44" s="17"/>
      <c r="M44" s="17"/>
      <c r="N44" s="17"/>
      <c r="O44" s="17"/>
      <c r="P44" s="59" t="s">
        <v>7515</v>
      </c>
      <c r="Q44" s="12"/>
      <c r="R44" s="12"/>
      <c r="S44" s="12"/>
      <c r="T44" s="12"/>
      <c r="U44" s="12"/>
      <c r="V44" s="12"/>
      <c r="Z44" s="12"/>
      <c r="AA44" s="12" t="n">
        <v>5</v>
      </c>
      <c r="AB44" s="12"/>
      <c r="AC44" s="12"/>
      <c r="AD44" s="12"/>
      <c r="AE44" s="12"/>
    </row>
    <row r="45" customFormat="false" ht="15.75" hidden="false" customHeight="false" outlineLevel="0" collapsed="false">
      <c r="A45" s="12" t="str">
        <f aca="false">IF((AA45&gt;=4), "Y", "N")</f>
        <v>Y</v>
      </c>
      <c r="B45" s="74"/>
      <c r="C45" s="26" t="s">
        <v>7557</v>
      </c>
      <c r="D45" s="24"/>
      <c r="E45" s="17"/>
      <c r="F45" s="17"/>
      <c r="G45" s="17"/>
      <c r="H45" s="17"/>
      <c r="I45" s="26" t="s">
        <v>209</v>
      </c>
      <c r="J45" s="32"/>
      <c r="K45" s="17"/>
      <c r="L45" s="17"/>
      <c r="M45" s="17"/>
      <c r="N45" s="17"/>
      <c r="O45" s="17"/>
      <c r="P45" s="59" t="s">
        <v>7515</v>
      </c>
      <c r="Q45" s="12"/>
      <c r="R45" s="12"/>
      <c r="S45" s="12"/>
      <c r="T45" s="12"/>
      <c r="U45" s="12"/>
      <c r="V45" s="12"/>
      <c r="Z45" s="12"/>
      <c r="AA45" s="12" t="n">
        <v>5</v>
      </c>
      <c r="AB45" s="12"/>
      <c r="AC45" s="12"/>
      <c r="AD45" s="12"/>
      <c r="AE45" s="12"/>
    </row>
    <row r="46" customFormat="false" ht="15.75" hidden="false" customHeight="false" outlineLevel="0" collapsed="false">
      <c r="A46" s="12" t="str">
        <f aca="false">IF((AA46&gt;=4), "Y", "N")</f>
        <v>Y</v>
      </c>
      <c r="B46" s="74"/>
      <c r="C46" s="26" t="s">
        <v>7558</v>
      </c>
      <c r="D46" s="24"/>
      <c r="E46" s="17"/>
      <c r="F46" s="17"/>
      <c r="G46" s="17"/>
      <c r="H46" s="17"/>
      <c r="I46" s="26" t="s">
        <v>209</v>
      </c>
      <c r="J46" s="32"/>
      <c r="K46" s="17"/>
      <c r="L46" s="17"/>
      <c r="M46" s="17"/>
      <c r="N46" s="17"/>
      <c r="O46" s="17"/>
      <c r="P46" s="59" t="s">
        <v>7515</v>
      </c>
      <c r="Q46" s="12"/>
      <c r="R46" s="12"/>
      <c r="S46" s="12"/>
      <c r="T46" s="12"/>
      <c r="U46" s="12"/>
      <c r="V46" s="12"/>
      <c r="Z46" s="12"/>
      <c r="AA46" s="12" t="n">
        <v>5</v>
      </c>
      <c r="AB46" s="12"/>
      <c r="AC46" s="12"/>
      <c r="AD46" s="12"/>
      <c r="AE46" s="12"/>
    </row>
    <row r="47" customFormat="false" ht="15.75" hidden="false" customHeight="false" outlineLevel="0" collapsed="false">
      <c r="A47" s="12" t="str">
        <f aca="false">IF((AA47&gt;=4), "Y", "N")</f>
        <v>Y</v>
      </c>
      <c r="B47" s="74"/>
      <c r="C47" s="26" t="s">
        <v>7559</v>
      </c>
      <c r="D47" s="24"/>
      <c r="E47" s="17"/>
      <c r="F47" s="17"/>
      <c r="G47" s="17"/>
      <c r="H47" s="17"/>
      <c r="I47" s="26" t="s">
        <v>209</v>
      </c>
      <c r="J47" s="32"/>
      <c r="K47" s="17"/>
      <c r="L47" s="17"/>
      <c r="M47" s="17"/>
      <c r="N47" s="17"/>
      <c r="O47" s="17"/>
      <c r="P47" s="59" t="s">
        <v>7515</v>
      </c>
      <c r="Q47" s="12"/>
      <c r="R47" s="12"/>
      <c r="S47" s="12"/>
      <c r="T47" s="12"/>
      <c r="U47" s="12"/>
      <c r="V47" s="12"/>
      <c r="Z47" s="12"/>
      <c r="AA47" s="12" t="n">
        <v>5</v>
      </c>
      <c r="AB47" s="12"/>
      <c r="AC47" s="12"/>
      <c r="AD47" s="12"/>
      <c r="AE47" s="12"/>
    </row>
    <row r="48" customFormat="false" ht="15.75" hidden="false" customHeight="false" outlineLevel="0" collapsed="false">
      <c r="A48" s="12" t="str">
        <f aca="false">IF((AA48&gt;=4), "Y", "N")</f>
        <v>Y</v>
      </c>
      <c r="B48" s="74"/>
      <c r="C48" s="26" t="s">
        <v>7560</v>
      </c>
      <c r="D48" s="24"/>
      <c r="E48" s="17"/>
      <c r="F48" s="17"/>
      <c r="G48" s="17"/>
      <c r="H48" s="17"/>
      <c r="I48" s="26" t="s">
        <v>209</v>
      </c>
      <c r="J48" s="32"/>
      <c r="K48" s="17"/>
      <c r="L48" s="17"/>
      <c r="M48" s="17"/>
      <c r="N48" s="17"/>
      <c r="O48" s="17"/>
      <c r="P48" s="59" t="s">
        <v>7515</v>
      </c>
      <c r="Q48" s="12"/>
      <c r="R48" s="12"/>
      <c r="S48" s="12"/>
      <c r="T48" s="12"/>
      <c r="U48" s="12"/>
      <c r="V48" s="12"/>
      <c r="Z48" s="12"/>
      <c r="AA48" s="12" t="n">
        <v>5</v>
      </c>
      <c r="AB48" s="12"/>
      <c r="AC48" s="12"/>
      <c r="AD48" s="12"/>
      <c r="AE48" s="12"/>
    </row>
    <row r="49" customFormat="false" ht="15.75" hidden="false" customHeight="false" outlineLevel="0" collapsed="false">
      <c r="A49" s="12" t="str">
        <f aca="false">IF((AA49&gt;=4), "Y", "N")</f>
        <v>Y</v>
      </c>
      <c r="B49" s="74"/>
      <c r="C49" s="26" t="s">
        <v>7560</v>
      </c>
      <c r="D49" s="24"/>
      <c r="E49" s="17"/>
      <c r="F49" s="17"/>
      <c r="G49" s="17"/>
      <c r="H49" s="17"/>
      <c r="I49" s="26" t="s">
        <v>209</v>
      </c>
      <c r="J49" s="32"/>
      <c r="K49" s="17"/>
      <c r="L49" s="17"/>
      <c r="M49" s="17"/>
      <c r="N49" s="17"/>
      <c r="O49" s="17"/>
      <c r="P49" s="59" t="s">
        <v>7515</v>
      </c>
      <c r="Q49" s="12"/>
      <c r="R49" s="12"/>
      <c r="S49" s="12"/>
      <c r="T49" s="12"/>
      <c r="U49" s="12"/>
      <c r="V49" s="12"/>
      <c r="Z49" s="12"/>
      <c r="AA49" s="12" t="n">
        <v>5</v>
      </c>
      <c r="AB49" s="12"/>
      <c r="AC49" s="12"/>
      <c r="AD49" s="12"/>
      <c r="AE49" s="12"/>
    </row>
    <row r="50" customFormat="false" ht="15.75" hidden="false" customHeight="false" outlineLevel="0" collapsed="false">
      <c r="A50" s="12" t="str">
        <f aca="false">IF((AA50&gt;=4), "Y", "N")</f>
        <v>Y</v>
      </c>
      <c r="B50" s="74"/>
      <c r="C50" s="26" t="s">
        <v>7561</v>
      </c>
      <c r="D50" s="24"/>
      <c r="E50" s="17"/>
      <c r="F50" s="17"/>
      <c r="G50" s="17"/>
      <c r="H50" s="17"/>
      <c r="I50" s="26" t="s">
        <v>209</v>
      </c>
      <c r="J50" s="32"/>
      <c r="K50" s="17"/>
      <c r="L50" s="17"/>
      <c r="M50" s="17"/>
      <c r="N50" s="17"/>
      <c r="O50" s="17"/>
      <c r="P50" s="59" t="s">
        <v>7515</v>
      </c>
      <c r="Q50" s="12"/>
      <c r="R50" s="12"/>
      <c r="S50" s="12"/>
      <c r="T50" s="12"/>
      <c r="U50" s="12"/>
      <c r="V50" s="12"/>
      <c r="Z50" s="12"/>
      <c r="AA50" s="12" t="n">
        <v>5</v>
      </c>
      <c r="AB50" s="12"/>
      <c r="AC50" s="12"/>
      <c r="AD50" s="12"/>
      <c r="AE50" s="12"/>
    </row>
    <row r="51" customFormat="false" ht="15.75" hidden="false" customHeight="false" outlineLevel="0" collapsed="false">
      <c r="A51" s="12" t="str">
        <f aca="false">IF((AA51&gt;=4), "Y", "N")</f>
        <v>Y</v>
      </c>
      <c r="B51" s="74"/>
      <c r="C51" s="26" t="s">
        <v>7562</v>
      </c>
      <c r="D51" s="24"/>
      <c r="E51" s="17"/>
      <c r="F51" s="17"/>
      <c r="G51" s="17"/>
      <c r="H51" s="17"/>
      <c r="I51" s="26" t="s">
        <v>209</v>
      </c>
      <c r="J51" s="32"/>
      <c r="K51" s="17"/>
      <c r="L51" s="17"/>
      <c r="M51" s="17"/>
      <c r="N51" s="17"/>
      <c r="O51" s="17"/>
      <c r="P51" s="59" t="s">
        <v>7515</v>
      </c>
      <c r="Q51" s="12"/>
      <c r="R51" s="12"/>
      <c r="S51" s="12"/>
      <c r="T51" s="12"/>
      <c r="U51" s="12"/>
      <c r="V51" s="12"/>
      <c r="Z51" s="12"/>
      <c r="AA51" s="12" t="n">
        <v>5</v>
      </c>
      <c r="AB51" s="12"/>
      <c r="AC51" s="12"/>
      <c r="AD51" s="12"/>
      <c r="AE51" s="12"/>
    </row>
    <row r="52" customFormat="false" ht="15.75" hidden="false" customHeight="false" outlineLevel="0" collapsed="false">
      <c r="A52" s="12" t="str">
        <f aca="false">IF((AA52&gt;=4), "Y", "N")</f>
        <v>Y</v>
      </c>
      <c r="B52" s="74"/>
      <c r="C52" s="26" t="s">
        <v>7563</v>
      </c>
      <c r="D52" s="24"/>
      <c r="E52" s="17"/>
      <c r="F52" s="17"/>
      <c r="G52" s="17"/>
      <c r="H52" s="17"/>
      <c r="I52" s="26" t="s">
        <v>209</v>
      </c>
      <c r="J52" s="32"/>
      <c r="K52" s="17"/>
      <c r="L52" s="17"/>
      <c r="M52" s="17"/>
      <c r="N52" s="17"/>
      <c r="O52" s="17"/>
      <c r="P52" s="59" t="s">
        <v>7515</v>
      </c>
      <c r="Q52" s="12"/>
      <c r="R52" s="12"/>
      <c r="S52" s="12"/>
      <c r="T52" s="12"/>
      <c r="U52" s="12"/>
      <c r="V52" s="12"/>
      <c r="Z52" s="12"/>
      <c r="AA52" s="12" t="n">
        <v>5</v>
      </c>
      <c r="AB52" s="12"/>
      <c r="AC52" s="12"/>
      <c r="AD52" s="12"/>
      <c r="AE52" s="12"/>
    </row>
    <row r="53" customFormat="false" ht="15.75" hidden="false" customHeight="false" outlineLevel="0" collapsed="false">
      <c r="A53" s="12" t="str">
        <f aca="false">IF((AA53&gt;=4), "Y", "N")</f>
        <v>Y</v>
      </c>
      <c r="B53" s="74"/>
      <c r="C53" s="26" t="s">
        <v>7564</v>
      </c>
      <c r="D53" s="24"/>
      <c r="E53" s="17"/>
      <c r="F53" s="17"/>
      <c r="G53" s="17"/>
      <c r="H53" s="17"/>
      <c r="I53" s="26" t="s">
        <v>209</v>
      </c>
      <c r="J53" s="32"/>
      <c r="K53" s="17"/>
      <c r="L53" s="17"/>
      <c r="M53" s="17"/>
      <c r="N53" s="17"/>
      <c r="O53" s="17"/>
      <c r="P53" s="59" t="s">
        <v>7515</v>
      </c>
      <c r="Q53" s="12"/>
      <c r="R53" s="12"/>
      <c r="S53" s="12"/>
      <c r="T53" s="12"/>
      <c r="U53" s="12"/>
      <c r="V53" s="12"/>
      <c r="Z53" s="12"/>
      <c r="AA53" s="12" t="n">
        <v>5</v>
      </c>
      <c r="AB53" s="12"/>
      <c r="AC53" s="12"/>
      <c r="AD53" s="12"/>
      <c r="AE53" s="12"/>
    </row>
    <row r="54" customFormat="false" ht="15.75" hidden="false" customHeight="false" outlineLevel="0" collapsed="false">
      <c r="A54" s="12" t="str">
        <f aca="false">IF((AA54&gt;=4), "Y", "N")</f>
        <v>Y</v>
      </c>
      <c r="B54" s="74"/>
      <c r="C54" s="26" t="s">
        <v>7565</v>
      </c>
      <c r="D54" s="24"/>
      <c r="E54" s="17"/>
      <c r="F54" s="17"/>
      <c r="G54" s="17"/>
      <c r="H54" s="17"/>
      <c r="I54" s="26" t="s">
        <v>209</v>
      </c>
      <c r="J54" s="32"/>
      <c r="K54" s="17"/>
      <c r="L54" s="17"/>
      <c r="M54" s="17"/>
      <c r="N54" s="17"/>
      <c r="O54" s="17"/>
      <c r="P54" s="59" t="s">
        <v>7515</v>
      </c>
      <c r="Q54" s="12"/>
      <c r="R54" s="12"/>
      <c r="S54" s="12"/>
      <c r="T54" s="12"/>
      <c r="U54" s="12"/>
      <c r="V54" s="12"/>
      <c r="Z54" s="12"/>
      <c r="AA54" s="12" t="n">
        <v>5</v>
      </c>
      <c r="AB54" s="12"/>
      <c r="AC54" s="12"/>
      <c r="AD54" s="12"/>
      <c r="AE54" s="12"/>
    </row>
    <row r="55" customFormat="false" ht="15.75" hidden="false" customHeight="false" outlineLevel="0" collapsed="false">
      <c r="A55" s="12" t="str">
        <f aca="false">IF((AA55&gt;=4), "Y", "N")</f>
        <v>Y</v>
      </c>
      <c r="B55" s="74"/>
      <c r="C55" s="26" t="s">
        <v>7566</v>
      </c>
      <c r="D55" s="24"/>
      <c r="E55" s="17"/>
      <c r="F55" s="17"/>
      <c r="G55" s="17"/>
      <c r="H55" s="17"/>
      <c r="I55" s="26" t="s">
        <v>209</v>
      </c>
      <c r="J55" s="32"/>
      <c r="K55" s="17"/>
      <c r="L55" s="17"/>
      <c r="M55" s="17"/>
      <c r="N55" s="17"/>
      <c r="O55" s="17"/>
      <c r="P55" s="59" t="s">
        <v>7515</v>
      </c>
      <c r="Q55" s="12"/>
      <c r="R55" s="12"/>
      <c r="S55" s="12"/>
      <c r="T55" s="12"/>
      <c r="U55" s="12"/>
      <c r="V55" s="12"/>
      <c r="Z55" s="12"/>
      <c r="AA55" s="12" t="n">
        <v>5</v>
      </c>
      <c r="AB55" s="12"/>
      <c r="AC55" s="12"/>
      <c r="AD55" s="12"/>
      <c r="AE55" s="12"/>
    </row>
    <row r="56" customFormat="false" ht="15.75" hidden="false" customHeight="false" outlineLevel="0" collapsed="false">
      <c r="A56" s="12" t="str">
        <f aca="false">IF((AA56&gt;=4), "Y", "N")</f>
        <v>Y</v>
      </c>
      <c r="B56" s="74"/>
      <c r="C56" s="26" t="s">
        <v>7567</v>
      </c>
      <c r="D56" s="24"/>
      <c r="E56" s="17"/>
      <c r="F56" s="17"/>
      <c r="G56" s="17"/>
      <c r="H56" s="17"/>
      <c r="I56" s="26" t="s">
        <v>209</v>
      </c>
      <c r="J56" s="32"/>
      <c r="K56" s="17"/>
      <c r="L56" s="17"/>
      <c r="M56" s="17"/>
      <c r="N56" s="17"/>
      <c r="O56" s="17"/>
      <c r="P56" s="59" t="s">
        <v>7515</v>
      </c>
      <c r="Q56" s="12"/>
      <c r="R56" s="12"/>
      <c r="S56" s="12"/>
      <c r="T56" s="12"/>
      <c r="U56" s="12"/>
      <c r="V56" s="12"/>
      <c r="Z56" s="12"/>
      <c r="AA56" s="12" t="n">
        <v>5</v>
      </c>
      <c r="AB56" s="12"/>
      <c r="AC56" s="12"/>
      <c r="AD56" s="12"/>
      <c r="AE56" s="12"/>
    </row>
    <row r="57" customFormat="false" ht="15.75" hidden="false" customHeight="false" outlineLevel="0" collapsed="false">
      <c r="A57" s="12" t="str">
        <f aca="false">IF((AA57&gt;=4), "Y", "N")</f>
        <v>Y</v>
      </c>
      <c r="B57" s="74"/>
      <c r="C57" s="26" t="s">
        <v>7568</v>
      </c>
      <c r="D57" s="24"/>
      <c r="E57" s="17"/>
      <c r="F57" s="17"/>
      <c r="G57" s="17"/>
      <c r="H57" s="17"/>
      <c r="I57" s="26" t="s">
        <v>209</v>
      </c>
      <c r="J57" s="32"/>
      <c r="K57" s="17"/>
      <c r="L57" s="17"/>
      <c r="M57" s="17"/>
      <c r="N57" s="17"/>
      <c r="O57" s="17"/>
      <c r="P57" s="59" t="s">
        <v>7515</v>
      </c>
      <c r="Q57" s="12"/>
      <c r="R57" s="12"/>
      <c r="S57" s="12"/>
      <c r="T57" s="12"/>
      <c r="U57" s="12"/>
      <c r="V57" s="12"/>
      <c r="Z57" s="12"/>
      <c r="AA57" s="12" t="n">
        <v>5</v>
      </c>
      <c r="AB57" s="12"/>
      <c r="AC57" s="12"/>
      <c r="AD57" s="12"/>
      <c r="AE57" s="12"/>
    </row>
    <row r="58" customFormat="false" ht="15.75" hidden="false" customHeight="false" outlineLevel="0" collapsed="false">
      <c r="A58" s="12" t="str">
        <f aca="false">IF((AA58&gt;=4), "Y", "N")</f>
        <v>Y</v>
      </c>
      <c r="B58" s="74"/>
      <c r="C58" s="26" t="s">
        <v>7569</v>
      </c>
      <c r="D58" s="24"/>
      <c r="E58" s="17"/>
      <c r="F58" s="17"/>
      <c r="G58" s="17"/>
      <c r="H58" s="17"/>
      <c r="I58" s="26" t="s">
        <v>209</v>
      </c>
      <c r="J58" s="32"/>
      <c r="K58" s="17"/>
      <c r="L58" s="17"/>
      <c r="M58" s="17"/>
      <c r="N58" s="17"/>
      <c r="O58" s="17"/>
      <c r="P58" s="59" t="s">
        <v>7515</v>
      </c>
      <c r="Q58" s="12"/>
      <c r="R58" s="12"/>
      <c r="S58" s="12"/>
      <c r="T58" s="12"/>
      <c r="U58" s="12"/>
      <c r="V58" s="12"/>
      <c r="Z58" s="12"/>
      <c r="AA58" s="12" t="n">
        <v>5</v>
      </c>
      <c r="AB58" s="12"/>
      <c r="AC58" s="12"/>
      <c r="AD58" s="12"/>
      <c r="AE58" s="12"/>
    </row>
    <row r="59" customFormat="false" ht="15.75" hidden="false" customHeight="false" outlineLevel="0" collapsed="false">
      <c r="A59" s="12" t="str">
        <f aca="false">IF((AA59&gt;=4), "Y", "N")</f>
        <v>Y</v>
      </c>
      <c r="B59" s="74"/>
      <c r="C59" s="26" t="s">
        <v>7570</v>
      </c>
      <c r="D59" s="24"/>
      <c r="E59" s="17"/>
      <c r="F59" s="17"/>
      <c r="G59" s="17"/>
      <c r="H59" s="17"/>
      <c r="I59" s="26" t="s">
        <v>209</v>
      </c>
      <c r="J59" s="32"/>
      <c r="K59" s="17"/>
      <c r="L59" s="17"/>
      <c r="M59" s="17"/>
      <c r="N59" s="17"/>
      <c r="O59" s="17"/>
      <c r="P59" s="59" t="s">
        <v>7515</v>
      </c>
      <c r="Q59" s="12"/>
      <c r="R59" s="12"/>
      <c r="S59" s="12"/>
      <c r="T59" s="12"/>
      <c r="U59" s="12"/>
      <c r="V59" s="12"/>
      <c r="Z59" s="12"/>
      <c r="AA59" s="12" t="n">
        <v>5</v>
      </c>
      <c r="AB59" s="12"/>
      <c r="AC59" s="12"/>
      <c r="AD59" s="12"/>
      <c r="AE59" s="12"/>
    </row>
    <row r="60" customFormat="false" ht="15.75" hidden="false" customHeight="false" outlineLevel="0" collapsed="false">
      <c r="A60" s="12" t="str">
        <f aca="false">IF((AA60&gt;=4), "Y", "N")</f>
        <v>Y</v>
      </c>
      <c r="B60" s="74"/>
      <c r="C60" s="26" t="s">
        <v>7571</v>
      </c>
      <c r="D60" s="24"/>
      <c r="E60" s="17"/>
      <c r="F60" s="17"/>
      <c r="G60" s="17"/>
      <c r="H60" s="17"/>
      <c r="I60" s="26" t="s">
        <v>209</v>
      </c>
      <c r="J60" s="32"/>
      <c r="K60" s="17"/>
      <c r="L60" s="17"/>
      <c r="M60" s="17"/>
      <c r="N60" s="17"/>
      <c r="O60" s="17"/>
      <c r="P60" s="59" t="s">
        <v>7515</v>
      </c>
      <c r="Q60" s="12"/>
      <c r="R60" s="12"/>
      <c r="S60" s="12"/>
      <c r="T60" s="12"/>
      <c r="U60" s="12"/>
      <c r="V60" s="12"/>
      <c r="Z60" s="12"/>
      <c r="AA60" s="12" t="n">
        <v>5</v>
      </c>
      <c r="AB60" s="12"/>
      <c r="AC60" s="12"/>
      <c r="AD60" s="12"/>
      <c r="AE60" s="12"/>
    </row>
    <row r="61" customFormat="false" ht="15.75" hidden="false" customHeight="false" outlineLevel="0" collapsed="false">
      <c r="A61" s="12" t="str">
        <f aca="false">IF((AA61&gt;=4), "Y", "N")</f>
        <v>Y</v>
      </c>
      <c r="B61" s="74"/>
      <c r="C61" s="26" t="s">
        <v>7572</v>
      </c>
      <c r="D61" s="24"/>
      <c r="E61" s="17"/>
      <c r="F61" s="17"/>
      <c r="G61" s="17"/>
      <c r="H61" s="17"/>
      <c r="I61" s="26" t="s">
        <v>209</v>
      </c>
      <c r="J61" s="32"/>
      <c r="K61" s="17"/>
      <c r="L61" s="17"/>
      <c r="M61" s="17"/>
      <c r="N61" s="17"/>
      <c r="O61" s="17"/>
      <c r="P61" s="59" t="s">
        <v>7515</v>
      </c>
      <c r="Q61" s="12"/>
      <c r="R61" s="12"/>
      <c r="S61" s="12"/>
      <c r="T61" s="12"/>
      <c r="U61" s="12"/>
      <c r="V61" s="12"/>
      <c r="Z61" s="12"/>
      <c r="AA61" s="12" t="n">
        <v>5</v>
      </c>
      <c r="AB61" s="12"/>
      <c r="AC61" s="12"/>
      <c r="AD61" s="12"/>
      <c r="AE61" s="12"/>
    </row>
    <row r="62" customFormat="false" ht="15.75" hidden="false" customHeight="false" outlineLevel="0" collapsed="false">
      <c r="A62" s="12" t="str">
        <f aca="false">IF((AA62&gt;=4), "Y", "N")</f>
        <v>Y</v>
      </c>
      <c r="B62" s="74"/>
      <c r="C62" s="125" t="s">
        <v>7573</v>
      </c>
      <c r="D62" s="24"/>
      <c r="E62" s="17"/>
      <c r="F62" s="17"/>
      <c r="G62" s="17"/>
      <c r="H62" s="17"/>
      <c r="I62" s="26" t="s">
        <v>209</v>
      </c>
      <c r="J62" s="32"/>
      <c r="K62" s="17"/>
      <c r="L62" s="17"/>
      <c r="M62" s="17"/>
      <c r="N62" s="17"/>
      <c r="O62" s="17"/>
      <c r="P62" s="59" t="s">
        <v>7515</v>
      </c>
      <c r="Q62" s="12"/>
      <c r="R62" s="12"/>
      <c r="S62" s="12"/>
      <c r="T62" s="12"/>
      <c r="U62" s="12"/>
      <c r="V62" s="12"/>
      <c r="Z62" s="12"/>
      <c r="AA62" s="12" t="n">
        <v>5</v>
      </c>
      <c r="AB62" s="12"/>
      <c r="AC62" s="12"/>
      <c r="AD62" s="12"/>
      <c r="AE62" s="12"/>
    </row>
    <row r="63" customFormat="false" ht="15.75" hidden="false" customHeight="false" outlineLevel="0" collapsed="false">
      <c r="A63" s="12" t="str">
        <f aca="false">IF((AA63&gt;=4), "Y", "N")</f>
        <v>Y</v>
      </c>
      <c r="B63" s="74"/>
      <c r="C63" s="125" t="s">
        <v>7574</v>
      </c>
      <c r="D63" s="24"/>
      <c r="E63" s="17"/>
      <c r="F63" s="17"/>
      <c r="G63" s="17"/>
      <c r="H63" s="17"/>
      <c r="I63" s="26" t="s">
        <v>209</v>
      </c>
      <c r="J63" s="32"/>
      <c r="K63" s="17"/>
      <c r="L63" s="17"/>
      <c r="M63" s="17"/>
      <c r="N63" s="17"/>
      <c r="O63" s="17"/>
      <c r="P63" s="59" t="s">
        <v>7515</v>
      </c>
      <c r="Q63" s="12"/>
      <c r="R63" s="12"/>
      <c r="S63" s="12"/>
      <c r="T63" s="12"/>
      <c r="U63" s="12"/>
      <c r="V63" s="12"/>
      <c r="Z63" s="12"/>
      <c r="AA63" s="12" t="n">
        <v>5</v>
      </c>
      <c r="AB63" s="12"/>
      <c r="AC63" s="12"/>
      <c r="AD63" s="12"/>
      <c r="AE63" s="12"/>
    </row>
    <row r="64" customFormat="false" ht="15.75" hidden="false" customHeight="false" outlineLevel="0" collapsed="false">
      <c r="A64" s="12" t="str">
        <f aca="false">IF((AA64&gt;=4), "Y", "N")</f>
        <v>Y</v>
      </c>
      <c r="B64" s="74"/>
      <c r="C64" s="26" t="s">
        <v>7575</v>
      </c>
      <c r="D64" s="24"/>
      <c r="E64" s="17"/>
      <c r="F64" s="17"/>
      <c r="G64" s="17"/>
      <c r="H64" s="17"/>
      <c r="I64" s="26" t="s">
        <v>209</v>
      </c>
      <c r="J64" s="32"/>
      <c r="K64" s="17"/>
      <c r="L64" s="17"/>
      <c r="M64" s="17"/>
      <c r="N64" s="17"/>
      <c r="O64" s="17"/>
      <c r="P64" s="59" t="s">
        <v>7515</v>
      </c>
      <c r="Q64" s="12"/>
      <c r="R64" s="12"/>
      <c r="S64" s="12"/>
      <c r="T64" s="12"/>
      <c r="U64" s="12"/>
      <c r="V64" s="12"/>
      <c r="Z64" s="12"/>
      <c r="AA64" s="12" t="n">
        <v>5</v>
      </c>
      <c r="AB64" s="12"/>
      <c r="AC64" s="12"/>
      <c r="AD64" s="12"/>
      <c r="AE64" s="12"/>
    </row>
    <row r="65" customFormat="false" ht="15.75" hidden="false" customHeight="false" outlineLevel="0" collapsed="false">
      <c r="A65" s="12" t="str">
        <f aca="false">IF((AA65&gt;=4), "Y", "N")</f>
        <v>Y</v>
      </c>
      <c r="B65" s="74"/>
      <c r="C65" s="26" t="s">
        <v>7576</v>
      </c>
      <c r="D65" s="24"/>
      <c r="E65" s="17"/>
      <c r="F65" s="17"/>
      <c r="G65" s="17"/>
      <c r="H65" s="17"/>
      <c r="I65" s="26" t="s">
        <v>209</v>
      </c>
      <c r="J65" s="32"/>
      <c r="K65" s="17"/>
      <c r="L65" s="17"/>
      <c r="M65" s="17"/>
      <c r="N65" s="17"/>
      <c r="O65" s="17"/>
      <c r="P65" s="59" t="s">
        <v>7515</v>
      </c>
      <c r="Q65" s="12"/>
      <c r="R65" s="12"/>
      <c r="S65" s="12"/>
      <c r="T65" s="12"/>
      <c r="U65" s="12"/>
      <c r="V65" s="12"/>
      <c r="Z65" s="12"/>
      <c r="AA65" s="12" t="n">
        <v>5</v>
      </c>
      <c r="AB65" s="12"/>
      <c r="AC65" s="12"/>
      <c r="AD65" s="12"/>
      <c r="AE65" s="12"/>
    </row>
    <row r="66" customFormat="false" ht="15.75" hidden="false" customHeight="false" outlineLevel="0" collapsed="false">
      <c r="A66" s="12" t="str">
        <f aca="false">IF((AA66&gt;=4), "Y", "N")</f>
        <v>Y</v>
      </c>
      <c r="B66" s="74"/>
      <c r="C66" s="26" t="s">
        <v>7577</v>
      </c>
      <c r="D66" s="24"/>
      <c r="E66" s="17"/>
      <c r="F66" s="17"/>
      <c r="G66" s="17"/>
      <c r="H66" s="17"/>
      <c r="I66" s="26" t="s">
        <v>209</v>
      </c>
      <c r="J66" s="32"/>
      <c r="K66" s="17"/>
      <c r="L66" s="17"/>
      <c r="M66" s="17"/>
      <c r="N66" s="17"/>
      <c r="O66" s="17"/>
      <c r="P66" s="59" t="s">
        <v>7515</v>
      </c>
      <c r="Q66" s="12"/>
      <c r="R66" s="12"/>
      <c r="S66" s="12"/>
      <c r="T66" s="12"/>
      <c r="U66" s="12"/>
      <c r="V66" s="12"/>
      <c r="Z66" s="12"/>
      <c r="AA66" s="12" t="n">
        <v>5</v>
      </c>
      <c r="AB66" s="12"/>
      <c r="AC66" s="12"/>
      <c r="AD66" s="12"/>
      <c r="AE66" s="12"/>
    </row>
    <row r="67" customFormat="false" ht="15.75" hidden="false" customHeight="false" outlineLevel="0" collapsed="false">
      <c r="A67" s="12" t="str">
        <f aca="false">IF((AA67&gt;=4), "Y", "N")</f>
        <v>Y</v>
      </c>
      <c r="B67" s="74"/>
      <c r="C67" s="26" t="s">
        <v>7578</v>
      </c>
      <c r="D67" s="24"/>
      <c r="E67" s="17"/>
      <c r="F67" s="17"/>
      <c r="G67" s="17"/>
      <c r="H67" s="17"/>
      <c r="I67" s="26" t="s">
        <v>209</v>
      </c>
      <c r="J67" s="32"/>
      <c r="K67" s="17"/>
      <c r="L67" s="17"/>
      <c r="M67" s="17"/>
      <c r="N67" s="17"/>
      <c r="O67" s="17"/>
      <c r="P67" s="59" t="s">
        <v>7515</v>
      </c>
      <c r="Q67" s="12"/>
      <c r="R67" s="12"/>
      <c r="S67" s="12"/>
      <c r="T67" s="12"/>
      <c r="U67" s="12"/>
      <c r="V67" s="12"/>
      <c r="Z67" s="12"/>
      <c r="AA67" s="12" t="n">
        <v>5</v>
      </c>
      <c r="AB67" s="12"/>
      <c r="AC67" s="12"/>
      <c r="AD67" s="12"/>
      <c r="AE67" s="12"/>
    </row>
    <row r="68" customFormat="false" ht="15.75" hidden="false" customHeight="false" outlineLevel="0" collapsed="false">
      <c r="A68" s="12" t="str">
        <f aca="false">IF((AA68&gt;=4), "Y", "N")</f>
        <v>Y</v>
      </c>
      <c r="B68" s="74"/>
      <c r="C68" s="26" t="s">
        <v>7579</v>
      </c>
      <c r="D68" s="24"/>
      <c r="E68" s="17"/>
      <c r="F68" s="17"/>
      <c r="G68" s="17"/>
      <c r="H68" s="17"/>
      <c r="I68" s="26" t="s">
        <v>209</v>
      </c>
      <c r="J68" s="32"/>
      <c r="K68" s="17"/>
      <c r="L68" s="17"/>
      <c r="M68" s="17"/>
      <c r="N68" s="17"/>
      <c r="O68" s="17"/>
      <c r="P68" s="59" t="s">
        <v>7515</v>
      </c>
      <c r="Q68" s="12"/>
      <c r="R68" s="12"/>
      <c r="S68" s="12"/>
      <c r="T68" s="12"/>
      <c r="U68" s="12"/>
      <c r="V68" s="12"/>
      <c r="Z68" s="12"/>
      <c r="AA68" s="12" t="n">
        <v>5</v>
      </c>
      <c r="AB68" s="12"/>
      <c r="AC68" s="12"/>
      <c r="AD68" s="12"/>
      <c r="AE68" s="12"/>
    </row>
    <row r="69" customFormat="false" ht="15.75" hidden="false" customHeight="false" outlineLevel="0" collapsed="false">
      <c r="A69" s="12" t="str">
        <f aca="false">IF((AA69&gt;=4), "Y", "N")</f>
        <v>Y</v>
      </c>
      <c r="B69" s="74"/>
      <c r="C69" s="26" t="s">
        <v>7580</v>
      </c>
      <c r="D69" s="24"/>
      <c r="E69" s="17"/>
      <c r="F69" s="17"/>
      <c r="G69" s="17"/>
      <c r="H69" s="17"/>
      <c r="I69" s="26" t="s">
        <v>209</v>
      </c>
      <c r="J69" s="32"/>
      <c r="K69" s="17"/>
      <c r="L69" s="17"/>
      <c r="M69" s="17"/>
      <c r="N69" s="17"/>
      <c r="O69" s="17"/>
      <c r="P69" s="59" t="s">
        <v>7515</v>
      </c>
      <c r="Q69" s="12"/>
      <c r="R69" s="12"/>
      <c r="S69" s="12"/>
      <c r="T69" s="12"/>
      <c r="U69" s="12"/>
      <c r="V69" s="12"/>
      <c r="Z69" s="12"/>
      <c r="AA69" s="12" t="n">
        <v>5</v>
      </c>
      <c r="AB69" s="12"/>
      <c r="AC69" s="12"/>
      <c r="AD69" s="12"/>
      <c r="AE69" s="12"/>
    </row>
    <row r="70" customFormat="false" ht="15.75" hidden="false" customHeight="false" outlineLevel="0" collapsed="false">
      <c r="A70" s="12" t="str">
        <f aca="false">IF((AA70&gt;=4), "Y", "N")</f>
        <v>Y</v>
      </c>
      <c r="B70" s="74"/>
      <c r="C70" s="26" t="s">
        <v>7581</v>
      </c>
      <c r="D70" s="24"/>
      <c r="E70" s="17"/>
      <c r="F70" s="17"/>
      <c r="G70" s="17"/>
      <c r="H70" s="17"/>
      <c r="I70" s="26" t="s">
        <v>209</v>
      </c>
      <c r="J70" s="32"/>
      <c r="K70" s="17"/>
      <c r="L70" s="17"/>
      <c r="M70" s="17"/>
      <c r="N70" s="17"/>
      <c r="O70" s="17"/>
      <c r="P70" s="59" t="s">
        <v>7515</v>
      </c>
      <c r="Q70" s="12"/>
      <c r="R70" s="12"/>
      <c r="S70" s="12"/>
      <c r="T70" s="12"/>
      <c r="U70" s="12"/>
      <c r="V70" s="12"/>
      <c r="Z70" s="12"/>
      <c r="AA70" s="12" t="n">
        <v>5</v>
      </c>
      <c r="AB70" s="12"/>
      <c r="AC70" s="12"/>
      <c r="AD70" s="12"/>
      <c r="AE70" s="12"/>
    </row>
    <row r="71" customFormat="false" ht="15.75" hidden="false" customHeight="false" outlineLevel="0" collapsed="false">
      <c r="A71" s="12" t="str">
        <f aca="false">IF((AA71&gt;=4), "Y", "N")</f>
        <v>Y</v>
      </c>
      <c r="B71" s="74"/>
      <c r="C71" s="26" t="s">
        <v>7582</v>
      </c>
      <c r="D71" s="24"/>
      <c r="E71" s="17"/>
      <c r="F71" s="17"/>
      <c r="G71" s="17"/>
      <c r="H71" s="17"/>
      <c r="I71" s="26" t="s">
        <v>209</v>
      </c>
      <c r="J71" s="32"/>
      <c r="K71" s="17"/>
      <c r="L71" s="17"/>
      <c r="M71" s="17"/>
      <c r="N71" s="17"/>
      <c r="O71" s="17"/>
      <c r="P71" s="59" t="s">
        <v>7515</v>
      </c>
      <c r="Q71" s="12"/>
      <c r="R71" s="12"/>
      <c r="S71" s="12"/>
      <c r="T71" s="12"/>
      <c r="U71" s="12"/>
      <c r="V71" s="12"/>
      <c r="Z71" s="12"/>
      <c r="AA71" s="12" t="n">
        <v>5</v>
      </c>
      <c r="AB71" s="12"/>
      <c r="AC71" s="12"/>
      <c r="AD71" s="12"/>
      <c r="AE71" s="12"/>
    </row>
    <row r="72" customFormat="false" ht="15.75" hidden="false" customHeight="false" outlineLevel="0" collapsed="false">
      <c r="A72" s="12" t="str">
        <f aca="false">IF((AA72&gt;=4), "Y", "N")</f>
        <v>Y</v>
      </c>
      <c r="B72" s="74"/>
      <c r="C72" s="26" t="s">
        <v>7583</v>
      </c>
      <c r="D72" s="24"/>
      <c r="E72" s="17"/>
      <c r="F72" s="17"/>
      <c r="G72" s="17"/>
      <c r="H72" s="17"/>
      <c r="I72" s="26" t="s">
        <v>209</v>
      </c>
      <c r="J72" s="32"/>
      <c r="K72" s="17"/>
      <c r="L72" s="17"/>
      <c r="M72" s="17"/>
      <c r="N72" s="17"/>
      <c r="O72" s="17"/>
      <c r="P72" s="59" t="s">
        <v>7515</v>
      </c>
      <c r="Q72" s="12"/>
      <c r="R72" s="12"/>
      <c r="S72" s="12"/>
      <c r="T72" s="12"/>
      <c r="U72" s="12"/>
      <c r="V72" s="12"/>
      <c r="Z72" s="12"/>
      <c r="AA72" s="12" t="n">
        <v>5</v>
      </c>
      <c r="AB72" s="12"/>
      <c r="AC72" s="12"/>
      <c r="AD72" s="12"/>
      <c r="AE72" s="12"/>
    </row>
    <row r="73" customFormat="false" ht="15.75" hidden="false" customHeight="false" outlineLevel="0" collapsed="false">
      <c r="A73" s="12" t="str">
        <f aca="false">IF((AA73&gt;=4), "Y", "N")</f>
        <v>Y</v>
      </c>
      <c r="B73" s="74"/>
      <c r="C73" s="26" t="s">
        <v>7584</v>
      </c>
      <c r="D73" s="24"/>
      <c r="E73" s="17"/>
      <c r="F73" s="17"/>
      <c r="G73" s="17"/>
      <c r="H73" s="17"/>
      <c r="I73" s="26" t="s">
        <v>209</v>
      </c>
      <c r="J73" s="32"/>
      <c r="K73" s="17"/>
      <c r="L73" s="17"/>
      <c r="M73" s="17"/>
      <c r="N73" s="17"/>
      <c r="O73" s="17"/>
      <c r="P73" s="59" t="s">
        <v>7515</v>
      </c>
      <c r="Q73" s="12"/>
      <c r="R73" s="12"/>
      <c r="S73" s="12"/>
      <c r="T73" s="12"/>
      <c r="U73" s="12"/>
      <c r="V73" s="12"/>
      <c r="Z73" s="12"/>
      <c r="AA73" s="12" t="n">
        <v>5</v>
      </c>
      <c r="AB73" s="12"/>
      <c r="AC73" s="12"/>
      <c r="AD73" s="12"/>
      <c r="AE73" s="12"/>
    </row>
    <row r="74" customFormat="false" ht="15.75" hidden="false" customHeight="false" outlineLevel="0" collapsed="false">
      <c r="A74" s="12" t="str">
        <f aca="false">IF((AA74&gt;=4), "Y", "N")</f>
        <v>Y</v>
      </c>
      <c r="B74" s="74"/>
      <c r="C74" s="26" t="s">
        <v>7584</v>
      </c>
      <c r="D74" s="24"/>
      <c r="E74" s="17"/>
      <c r="F74" s="17"/>
      <c r="G74" s="17"/>
      <c r="H74" s="17"/>
      <c r="I74" s="26" t="s">
        <v>209</v>
      </c>
      <c r="J74" s="32"/>
      <c r="K74" s="17"/>
      <c r="L74" s="17"/>
      <c r="M74" s="17"/>
      <c r="N74" s="17"/>
      <c r="O74" s="17"/>
      <c r="P74" s="59" t="s">
        <v>7515</v>
      </c>
      <c r="Q74" s="12"/>
      <c r="R74" s="12"/>
      <c r="S74" s="12"/>
      <c r="T74" s="12"/>
      <c r="U74" s="12"/>
      <c r="V74" s="12"/>
      <c r="Z74" s="12"/>
      <c r="AA74" s="12" t="n">
        <v>5</v>
      </c>
      <c r="AB74" s="12"/>
      <c r="AC74" s="12"/>
      <c r="AD74" s="12"/>
      <c r="AE74" s="12"/>
    </row>
    <row r="75" customFormat="false" ht="15.75" hidden="false" customHeight="false" outlineLevel="0" collapsed="false">
      <c r="A75" s="12" t="str">
        <f aca="false">IF((AA75&gt;=4), "Y", "N")</f>
        <v>Y</v>
      </c>
      <c r="B75" s="74"/>
      <c r="C75" s="26" t="s">
        <v>7585</v>
      </c>
      <c r="D75" s="24"/>
      <c r="E75" s="17"/>
      <c r="F75" s="17"/>
      <c r="G75" s="17"/>
      <c r="H75" s="17"/>
      <c r="I75" s="26" t="s">
        <v>209</v>
      </c>
      <c r="J75" s="32"/>
      <c r="K75" s="17"/>
      <c r="L75" s="17"/>
      <c r="M75" s="17"/>
      <c r="N75" s="17"/>
      <c r="O75" s="17"/>
      <c r="P75" s="59" t="s">
        <v>7515</v>
      </c>
      <c r="Q75" s="12"/>
      <c r="R75" s="12"/>
      <c r="S75" s="12"/>
      <c r="T75" s="12"/>
      <c r="U75" s="12"/>
      <c r="V75" s="12"/>
      <c r="Z75" s="12"/>
      <c r="AA75" s="12" t="n">
        <v>5</v>
      </c>
      <c r="AB75" s="12"/>
      <c r="AC75" s="12"/>
      <c r="AD75" s="12"/>
      <c r="AE75" s="12"/>
    </row>
    <row r="76" customFormat="false" ht="15.75" hidden="false" customHeight="false" outlineLevel="0" collapsed="false">
      <c r="A76" s="12" t="str">
        <f aca="false">IF((AA76&gt;=4), "Y", "N")</f>
        <v>Y</v>
      </c>
      <c r="B76" s="74"/>
      <c r="C76" s="26" t="s">
        <v>7586</v>
      </c>
      <c r="D76" s="24"/>
      <c r="E76" s="17"/>
      <c r="F76" s="17"/>
      <c r="G76" s="17"/>
      <c r="H76" s="17"/>
      <c r="I76" s="26" t="s">
        <v>209</v>
      </c>
      <c r="J76" s="32"/>
      <c r="K76" s="17"/>
      <c r="L76" s="17"/>
      <c r="M76" s="17"/>
      <c r="N76" s="17"/>
      <c r="O76" s="17"/>
      <c r="P76" s="59" t="s">
        <v>7515</v>
      </c>
      <c r="Q76" s="12"/>
      <c r="R76" s="12"/>
      <c r="S76" s="12"/>
      <c r="T76" s="12"/>
      <c r="U76" s="12"/>
      <c r="V76" s="12"/>
      <c r="Z76" s="12"/>
      <c r="AA76" s="12" t="n">
        <v>5</v>
      </c>
      <c r="AB76" s="12"/>
      <c r="AC76" s="12"/>
      <c r="AD76" s="12"/>
      <c r="AE76" s="12"/>
    </row>
    <row r="77" customFormat="false" ht="15.75" hidden="false" customHeight="false" outlineLevel="0" collapsed="false">
      <c r="A77" s="12" t="str">
        <f aca="false">IF((AA77&gt;=4), "Y", "N")</f>
        <v>Y</v>
      </c>
      <c r="B77" s="74"/>
      <c r="C77" s="26" t="s">
        <v>7587</v>
      </c>
      <c r="D77" s="24"/>
      <c r="E77" s="17"/>
      <c r="F77" s="17"/>
      <c r="G77" s="17"/>
      <c r="H77" s="17"/>
      <c r="I77" s="26" t="s">
        <v>209</v>
      </c>
      <c r="J77" s="32"/>
      <c r="K77" s="17"/>
      <c r="L77" s="17"/>
      <c r="M77" s="17"/>
      <c r="N77" s="17"/>
      <c r="O77" s="17"/>
      <c r="P77" s="59" t="s">
        <v>7515</v>
      </c>
      <c r="Q77" s="12"/>
      <c r="R77" s="12"/>
      <c r="S77" s="12"/>
      <c r="T77" s="12"/>
      <c r="U77" s="12"/>
      <c r="V77" s="12"/>
      <c r="Z77" s="12"/>
      <c r="AA77" s="12" t="n">
        <v>5</v>
      </c>
      <c r="AB77" s="12"/>
      <c r="AC77" s="12"/>
      <c r="AD77" s="12"/>
      <c r="AE77" s="12"/>
    </row>
    <row r="78" customFormat="false" ht="15.75" hidden="false" customHeight="false" outlineLevel="0" collapsed="false">
      <c r="A78" s="12" t="str">
        <f aca="false">IF((AA78&gt;=4), "Y", "N")</f>
        <v>Y</v>
      </c>
      <c r="B78" s="74"/>
      <c r="C78" s="26" t="s">
        <v>7588</v>
      </c>
      <c r="D78" s="24"/>
      <c r="E78" s="17"/>
      <c r="F78" s="17"/>
      <c r="G78" s="17"/>
      <c r="H78" s="17"/>
      <c r="I78" s="26" t="s">
        <v>209</v>
      </c>
      <c r="J78" s="32"/>
      <c r="K78" s="17"/>
      <c r="L78" s="17"/>
      <c r="M78" s="17"/>
      <c r="N78" s="17"/>
      <c r="O78" s="17"/>
      <c r="P78" s="59" t="s">
        <v>7515</v>
      </c>
      <c r="Q78" s="12"/>
      <c r="R78" s="12"/>
      <c r="S78" s="12"/>
      <c r="T78" s="12"/>
      <c r="U78" s="12"/>
      <c r="V78" s="12"/>
      <c r="Z78" s="12"/>
      <c r="AA78" s="12" t="n">
        <v>5</v>
      </c>
      <c r="AB78" s="12"/>
      <c r="AC78" s="12"/>
      <c r="AD78" s="12"/>
      <c r="AE78" s="12"/>
    </row>
    <row r="79" customFormat="false" ht="15.75" hidden="false" customHeight="false" outlineLevel="0" collapsed="false">
      <c r="A79" s="12" t="str">
        <f aca="false">IF((AA79&gt;=4), "Y", "N")</f>
        <v>Y</v>
      </c>
      <c r="B79" s="74"/>
      <c r="C79" s="26" t="s">
        <v>7589</v>
      </c>
      <c r="D79" s="24"/>
      <c r="E79" s="17"/>
      <c r="F79" s="17"/>
      <c r="G79" s="17"/>
      <c r="H79" s="17"/>
      <c r="I79" s="26" t="s">
        <v>209</v>
      </c>
      <c r="J79" s="32"/>
      <c r="K79" s="17"/>
      <c r="L79" s="17"/>
      <c r="M79" s="17"/>
      <c r="N79" s="17"/>
      <c r="O79" s="17"/>
      <c r="P79" s="59" t="s">
        <v>7515</v>
      </c>
      <c r="Q79" s="12"/>
      <c r="R79" s="12"/>
      <c r="S79" s="12"/>
      <c r="T79" s="12"/>
      <c r="U79" s="12"/>
      <c r="V79" s="12"/>
      <c r="Z79" s="12"/>
      <c r="AA79" s="12" t="n">
        <v>5</v>
      </c>
      <c r="AB79" s="12"/>
      <c r="AC79" s="12"/>
      <c r="AD79" s="12"/>
      <c r="AE79" s="12"/>
    </row>
    <row r="80" customFormat="false" ht="15.75" hidden="false" customHeight="false" outlineLevel="0" collapsed="false">
      <c r="A80" s="12" t="str">
        <f aca="false">IF((AA80&gt;=4), "Y", "N")</f>
        <v>Y</v>
      </c>
      <c r="B80" s="74"/>
      <c r="C80" s="26" t="s">
        <v>7590</v>
      </c>
      <c r="D80" s="24"/>
      <c r="E80" s="17"/>
      <c r="F80" s="17"/>
      <c r="G80" s="17"/>
      <c r="H80" s="17"/>
      <c r="I80" s="26" t="s">
        <v>209</v>
      </c>
      <c r="J80" s="32"/>
      <c r="K80" s="17"/>
      <c r="L80" s="17"/>
      <c r="M80" s="17"/>
      <c r="N80" s="17"/>
      <c r="O80" s="17"/>
      <c r="P80" s="59" t="s">
        <v>7515</v>
      </c>
      <c r="Q80" s="12"/>
      <c r="R80" s="12"/>
      <c r="S80" s="12"/>
      <c r="T80" s="12"/>
      <c r="U80" s="12"/>
      <c r="V80" s="12"/>
      <c r="Z80" s="12"/>
      <c r="AA80" s="12" t="n">
        <v>5</v>
      </c>
      <c r="AB80" s="12"/>
      <c r="AC80" s="12"/>
      <c r="AD80" s="12"/>
      <c r="AE80" s="12"/>
    </row>
    <row r="81" customFormat="false" ht="15.75" hidden="false" customHeight="false" outlineLevel="0" collapsed="false">
      <c r="A81" s="12" t="str">
        <f aca="false">IF((AA81&gt;=4), "Y", "N")</f>
        <v>Y</v>
      </c>
      <c r="B81" s="74"/>
      <c r="C81" s="26" t="s">
        <v>7591</v>
      </c>
      <c r="D81" s="24"/>
      <c r="E81" s="17"/>
      <c r="F81" s="17"/>
      <c r="G81" s="17"/>
      <c r="H81" s="17"/>
      <c r="I81" s="26" t="s">
        <v>209</v>
      </c>
      <c r="J81" s="32"/>
      <c r="K81" s="17"/>
      <c r="L81" s="17"/>
      <c r="M81" s="17"/>
      <c r="N81" s="17"/>
      <c r="O81" s="17"/>
      <c r="P81" s="59" t="s">
        <v>7515</v>
      </c>
      <c r="Q81" s="12"/>
      <c r="R81" s="12"/>
      <c r="S81" s="12"/>
      <c r="T81" s="12"/>
      <c r="U81" s="12"/>
      <c r="V81" s="12"/>
      <c r="Z81" s="12"/>
      <c r="AA81" s="12" t="n">
        <v>5</v>
      </c>
      <c r="AB81" s="12"/>
      <c r="AC81" s="12"/>
      <c r="AD81" s="12"/>
      <c r="AE81" s="12"/>
    </row>
    <row r="82" customFormat="false" ht="15.75" hidden="false" customHeight="false" outlineLevel="0" collapsed="false">
      <c r="A82" s="12" t="str">
        <f aca="false">IF((AA82&gt;=4), "Y", "N")</f>
        <v>Y</v>
      </c>
      <c r="B82" s="74"/>
      <c r="C82" s="26" t="s">
        <v>7592</v>
      </c>
      <c r="D82" s="24"/>
      <c r="E82" s="17"/>
      <c r="F82" s="17"/>
      <c r="G82" s="17"/>
      <c r="H82" s="17"/>
      <c r="I82" s="26" t="s">
        <v>209</v>
      </c>
      <c r="J82" s="32"/>
      <c r="K82" s="17"/>
      <c r="L82" s="17"/>
      <c r="M82" s="17"/>
      <c r="N82" s="17"/>
      <c r="O82" s="17"/>
      <c r="P82" s="59" t="s">
        <v>7515</v>
      </c>
      <c r="Q82" s="12"/>
      <c r="R82" s="12"/>
      <c r="S82" s="12"/>
      <c r="T82" s="12"/>
      <c r="U82" s="12"/>
      <c r="V82" s="12"/>
      <c r="Z82" s="12"/>
      <c r="AA82" s="12" t="n">
        <v>5</v>
      </c>
      <c r="AB82" s="12"/>
      <c r="AC82" s="12"/>
      <c r="AD82" s="12"/>
      <c r="AE82" s="12"/>
    </row>
    <row r="83" customFormat="false" ht="15.75" hidden="false" customHeight="false" outlineLevel="0" collapsed="false">
      <c r="A83" s="12" t="str">
        <f aca="false">IF((AA83&gt;=4), "Y", "N")</f>
        <v>Y</v>
      </c>
      <c r="B83" s="74"/>
      <c r="C83" s="26" t="s">
        <v>7593</v>
      </c>
      <c r="D83" s="24"/>
      <c r="E83" s="17"/>
      <c r="F83" s="17"/>
      <c r="G83" s="17"/>
      <c r="H83" s="17"/>
      <c r="I83" s="26" t="s">
        <v>209</v>
      </c>
      <c r="J83" s="32"/>
      <c r="K83" s="17"/>
      <c r="L83" s="17"/>
      <c r="M83" s="17"/>
      <c r="N83" s="17"/>
      <c r="O83" s="17"/>
      <c r="P83" s="59" t="s">
        <v>7515</v>
      </c>
      <c r="Q83" s="12"/>
      <c r="R83" s="12"/>
      <c r="S83" s="12"/>
      <c r="T83" s="12"/>
      <c r="U83" s="12"/>
      <c r="V83" s="12"/>
      <c r="Z83" s="12"/>
      <c r="AA83" s="12" t="n">
        <v>5</v>
      </c>
      <c r="AB83" s="12"/>
      <c r="AC83" s="12"/>
      <c r="AD83" s="12"/>
      <c r="AE83" s="12"/>
    </row>
    <row r="84" customFormat="false" ht="15.75" hidden="false" customHeight="false" outlineLevel="0" collapsed="false">
      <c r="A84" s="12" t="str">
        <f aca="false">IF((AA84&gt;=4), "Y", "N")</f>
        <v>Y</v>
      </c>
      <c r="B84" s="74"/>
      <c r="C84" s="26" t="s">
        <v>7594</v>
      </c>
      <c r="D84" s="24"/>
      <c r="E84" s="17"/>
      <c r="F84" s="17"/>
      <c r="G84" s="17"/>
      <c r="H84" s="17"/>
      <c r="I84" s="26" t="s">
        <v>209</v>
      </c>
      <c r="J84" s="32"/>
      <c r="K84" s="17"/>
      <c r="L84" s="17"/>
      <c r="M84" s="17"/>
      <c r="N84" s="17"/>
      <c r="O84" s="17"/>
      <c r="P84" s="59" t="s">
        <v>7515</v>
      </c>
      <c r="Q84" s="12"/>
      <c r="R84" s="12"/>
      <c r="S84" s="12"/>
      <c r="T84" s="12"/>
      <c r="U84" s="12"/>
      <c r="V84" s="12"/>
      <c r="Z84" s="12"/>
      <c r="AA84" s="12" t="n">
        <v>5</v>
      </c>
      <c r="AB84" s="12"/>
      <c r="AC84" s="12"/>
      <c r="AD84" s="12"/>
      <c r="AE84" s="12"/>
    </row>
    <row r="85" customFormat="false" ht="15.75" hidden="false" customHeight="false" outlineLevel="0" collapsed="false">
      <c r="A85" s="12" t="str">
        <f aca="false">IF((AA85&gt;=4), "Y", "N")</f>
        <v>Y</v>
      </c>
      <c r="B85" s="74"/>
      <c r="C85" s="26" t="s">
        <v>7595</v>
      </c>
      <c r="D85" s="24"/>
      <c r="E85" s="17"/>
      <c r="F85" s="17"/>
      <c r="G85" s="17"/>
      <c r="H85" s="17"/>
      <c r="I85" s="26" t="s">
        <v>209</v>
      </c>
      <c r="J85" s="32"/>
      <c r="K85" s="17"/>
      <c r="L85" s="17"/>
      <c r="M85" s="17"/>
      <c r="N85" s="17"/>
      <c r="O85" s="17"/>
      <c r="P85" s="59" t="s">
        <v>7515</v>
      </c>
      <c r="Q85" s="12"/>
      <c r="R85" s="12"/>
      <c r="S85" s="12"/>
      <c r="T85" s="12"/>
      <c r="U85" s="12"/>
      <c r="V85" s="12"/>
      <c r="Z85" s="12"/>
      <c r="AA85" s="12" t="n">
        <v>5</v>
      </c>
      <c r="AB85" s="12"/>
      <c r="AC85" s="12"/>
      <c r="AD85" s="12"/>
      <c r="AE85" s="12"/>
    </row>
    <row r="86" customFormat="false" ht="15.75" hidden="false" customHeight="false" outlineLevel="0" collapsed="false">
      <c r="A86" s="12" t="str">
        <f aca="false">IF((AA86&gt;=4), "Y", "N")</f>
        <v>Y</v>
      </c>
      <c r="B86" s="74"/>
      <c r="C86" s="26" t="s">
        <v>7596</v>
      </c>
      <c r="D86" s="24"/>
      <c r="E86" s="17"/>
      <c r="F86" s="17"/>
      <c r="G86" s="17"/>
      <c r="H86" s="17"/>
      <c r="I86" s="26" t="s">
        <v>209</v>
      </c>
      <c r="J86" s="32"/>
      <c r="K86" s="17"/>
      <c r="L86" s="17"/>
      <c r="M86" s="17"/>
      <c r="N86" s="17"/>
      <c r="O86" s="17"/>
      <c r="P86" s="59" t="s">
        <v>7515</v>
      </c>
      <c r="Q86" s="12"/>
      <c r="R86" s="12"/>
      <c r="S86" s="12"/>
      <c r="T86" s="12"/>
      <c r="U86" s="12"/>
      <c r="V86" s="12"/>
      <c r="Z86" s="12"/>
      <c r="AA86" s="12" t="n">
        <v>5</v>
      </c>
      <c r="AB86" s="12"/>
      <c r="AC86" s="12"/>
      <c r="AD86" s="12"/>
      <c r="AE86" s="12"/>
    </row>
    <row r="87" customFormat="false" ht="15.75" hidden="false" customHeight="false" outlineLevel="0" collapsed="false">
      <c r="A87" s="12" t="str">
        <f aca="false">IF((AA87&gt;=4), "Y", "N")</f>
        <v>Y</v>
      </c>
      <c r="B87" s="74"/>
      <c r="C87" s="26" t="s">
        <v>7597</v>
      </c>
      <c r="D87" s="24"/>
      <c r="E87" s="17"/>
      <c r="F87" s="17"/>
      <c r="G87" s="17"/>
      <c r="H87" s="17"/>
      <c r="I87" s="26" t="s">
        <v>209</v>
      </c>
      <c r="J87" s="32"/>
      <c r="K87" s="17"/>
      <c r="L87" s="17"/>
      <c r="M87" s="17"/>
      <c r="N87" s="17"/>
      <c r="O87" s="17"/>
      <c r="P87" s="59" t="s">
        <v>7515</v>
      </c>
      <c r="Q87" s="12"/>
      <c r="R87" s="12"/>
      <c r="S87" s="12"/>
      <c r="T87" s="12"/>
      <c r="U87" s="12"/>
      <c r="V87" s="12"/>
      <c r="Z87" s="12"/>
      <c r="AA87" s="12" t="n">
        <v>5</v>
      </c>
      <c r="AB87" s="12"/>
      <c r="AC87" s="12"/>
      <c r="AD87" s="12"/>
      <c r="AE87" s="12"/>
    </row>
    <row r="88" customFormat="false" ht="15.75" hidden="false" customHeight="false" outlineLevel="0" collapsed="false">
      <c r="A88" s="12" t="str">
        <f aca="false">IF((AA88&gt;=4), "Y", "N")</f>
        <v>Y</v>
      </c>
      <c r="B88" s="74"/>
      <c r="C88" s="26" t="s">
        <v>7598</v>
      </c>
      <c r="D88" s="24"/>
      <c r="E88" s="17"/>
      <c r="F88" s="17"/>
      <c r="G88" s="17"/>
      <c r="H88" s="17"/>
      <c r="I88" s="26" t="s">
        <v>209</v>
      </c>
      <c r="J88" s="32"/>
      <c r="K88" s="17"/>
      <c r="L88" s="17"/>
      <c r="M88" s="17"/>
      <c r="N88" s="17"/>
      <c r="O88" s="17"/>
      <c r="P88" s="59" t="s">
        <v>7515</v>
      </c>
      <c r="Q88" s="12"/>
      <c r="R88" s="12"/>
      <c r="S88" s="12"/>
      <c r="T88" s="12"/>
      <c r="U88" s="12"/>
      <c r="V88" s="12"/>
      <c r="Z88" s="12"/>
      <c r="AA88" s="12" t="n">
        <v>5</v>
      </c>
      <c r="AB88" s="12"/>
      <c r="AC88" s="12"/>
      <c r="AD88" s="12"/>
      <c r="AE88" s="12"/>
    </row>
    <row r="89" customFormat="false" ht="15.75" hidden="false" customHeight="false" outlineLevel="0" collapsed="false">
      <c r="A89" s="12" t="str">
        <f aca="false">IF((AA89&gt;=4), "Y", "N")</f>
        <v>Y</v>
      </c>
      <c r="B89" s="74"/>
      <c r="C89" s="26" t="s">
        <v>7599</v>
      </c>
      <c r="D89" s="24"/>
      <c r="E89" s="17"/>
      <c r="F89" s="17"/>
      <c r="G89" s="17"/>
      <c r="H89" s="17"/>
      <c r="I89" s="26" t="s">
        <v>209</v>
      </c>
      <c r="J89" s="32"/>
      <c r="K89" s="17"/>
      <c r="L89" s="17"/>
      <c r="M89" s="17"/>
      <c r="N89" s="17"/>
      <c r="O89" s="17"/>
      <c r="P89" s="59" t="s">
        <v>7515</v>
      </c>
      <c r="Q89" s="12"/>
      <c r="R89" s="12"/>
      <c r="S89" s="12"/>
      <c r="T89" s="12"/>
      <c r="U89" s="12"/>
      <c r="V89" s="12"/>
      <c r="Z89" s="12"/>
      <c r="AA89" s="12" t="n">
        <v>5</v>
      </c>
      <c r="AB89" s="12"/>
      <c r="AC89" s="12"/>
      <c r="AD89" s="12"/>
      <c r="AE89" s="12"/>
    </row>
    <row r="90" customFormat="false" ht="15.75" hidden="false" customHeight="false" outlineLevel="0" collapsed="false">
      <c r="A90" s="12" t="str">
        <f aca="false">IF((AA90&gt;=4), "Y", "N")</f>
        <v>Y</v>
      </c>
      <c r="B90" s="74"/>
      <c r="C90" s="26" t="s">
        <v>7600</v>
      </c>
      <c r="D90" s="24"/>
      <c r="E90" s="17"/>
      <c r="F90" s="17"/>
      <c r="G90" s="17"/>
      <c r="H90" s="17"/>
      <c r="I90" s="26" t="s">
        <v>209</v>
      </c>
      <c r="J90" s="32"/>
      <c r="K90" s="17"/>
      <c r="L90" s="17"/>
      <c r="M90" s="17"/>
      <c r="N90" s="17"/>
      <c r="O90" s="17"/>
      <c r="P90" s="59" t="s">
        <v>7515</v>
      </c>
      <c r="Q90" s="12"/>
      <c r="R90" s="12"/>
      <c r="S90" s="12"/>
      <c r="T90" s="12"/>
      <c r="U90" s="12"/>
      <c r="V90" s="12"/>
      <c r="Z90" s="12"/>
      <c r="AA90" s="12" t="n">
        <v>5</v>
      </c>
      <c r="AB90" s="12"/>
      <c r="AC90" s="12"/>
      <c r="AD90" s="12"/>
      <c r="AE90" s="12"/>
    </row>
    <row r="91" customFormat="false" ht="15.75" hidden="false" customHeight="false" outlineLevel="0" collapsed="false">
      <c r="A91" s="12" t="str">
        <f aca="false">IF((AA91&gt;=4), "Y", "N")</f>
        <v>Y</v>
      </c>
      <c r="B91" s="74"/>
      <c r="C91" s="26" t="s">
        <v>7601</v>
      </c>
      <c r="D91" s="24"/>
      <c r="E91" s="17"/>
      <c r="F91" s="17"/>
      <c r="G91" s="17"/>
      <c r="H91" s="17"/>
      <c r="I91" s="26" t="s">
        <v>209</v>
      </c>
      <c r="J91" s="32"/>
      <c r="K91" s="17"/>
      <c r="L91" s="17"/>
      <c r="M91" s="17"/>
      <c r="N91" s="17"/>
      <c r="O91" s="17"/>
      <c r="P91" s="59" t="s">
        <v>7515</v>
      </c>
      <c r="Q91" s="12"/>
      <c r="R91" s="12"/>
      <c r="S91" s="12"/>
      <c r="T91" s="12"/>
      <c r="U91" s="12"/>
      <c r="V91" s="12"/>
      <c r="Z91" s="12"/>
      <c r="AA91" s="12" t="n">
        <v>5</v>
      </c>
      <c r="AB91" s="12"/>
      <c r="AC91" s="12"/>
      <c r="AD91" s="12"/>
      <c r="AE91" s="12"/>
    </row>
    <row r="92" customFormat="false" ht="15.75" hidden="false" customHeight="false" outlineLevel="0" collapsed="false">
      <c r="A92" s="12" t="str">
        <f aca="false">IF((AA92&gt;=4), "Y", "N")</f>
        <v>Y</v>
      </c>
      <c r="B92" s="74"/>
      <c r="C92" s="26" t="s">
        <v>7602</v>
      </c>
      <c r="D92" s="24"/>
      <c r="E92" s="17"/>
      <c r="F92" s="17"/>
      <c r="G92" s="17"/>
      <c r="H92" s="17"/>
      <c r="I92" s="26" t="s">
        <v>209</v>
      </c>
      <c r="J92" s="32"/>
      <c r="K92" s="17"/>
      <c r="L92" s="17"/>
      <c r="M92" s="17"/>
      <c r="N92" s="17"/>
      <c r="O92" s="17"/>
      <c r="P92" s="59" t="s">
        <v>7515</v>
      </c>
      <c r="Q92" s="12"/>
      <c r="R92" s="12"/>
      <c r="S92" s="12"/>
      <c r="T92" s="12"/>
      <c r="U92" s="12"/>
      <c r="V92" s="12"/>
      <c r="Z92" s="12"/>
      <c r="AA92" s="12" t="n">
        <v>5</v>
      </c>
      <c r="AB92" s="12"/>
      <c r="AC92" s="12"/>
      <c r="AD92" s="12"/>
      <c r="AE92" s="12"/>
    </row>
    <row r="93" customFormat="false" ht="15.75" hidden="false" customHeight="false" outlineLevel="0" collapsed="false">
      <c r="A93" s="12" t="str">
        <f aca="false">IF((AA93&gt;=4), "Y", "N")</f>
        <v>Y</v>
      </c>
      <c r="B93" s="74"/>
      <c r="C93" s="125" t="s">
        <v>7603</v>
      </c>
      <c r="D93" s="24"/>
      <c r="E93" s="17"/>
      <c r="F93" s="17"/>
      <c r="G93" s="17"/>
      <c r="H93" s="17"/>
      <c r="I93" s="26" t="s">
        <v>209</v>
      </c>
      <c r="J93" s="32"/>
      <c r="K93" s="17"/>
      <c r="L93" s="17"/>
      <c r="M93" s="17"/>
      <c r="N93" s="17"/>
      <c r="O93" s="17"/>
      <c r="P93" s="59" t="s">
        <v>7515</v>
      </c>
      <c r="Q93" s="12"/>
      <c r="R93" s="12"/>
      <c r="S93" s="12"/>
      <c r="T93" s="12"/>
      <c r="U93" s="12"/>
      <c r="V93" s="12"/>
      <c r="Z93" s="12"/>
      <c r="AA93" s="12" t="n">
        <v>5</v>
      </c>
      <c r="AB93" s="12"/>
      <c r="AC93" s="12"/>
      <c r="AD93" s="12"/>
      <c r="AE93" s="12"/>
    </row>
    <row r="94" customFormat="false" ht="15.75" hidden="false" customHeight="false" outlineLevel="0" collapsed="false">
      <c r="A94" s="12" t="str">
        <f aca="false">IF((AA94&gt;=4), "Y", "N")</f>
        <v>Y</v>
      </c>
      <c r="B94" s="74"/>
      <c r="C94" s="26" t="s">
        <v>7604</v>
      </c>
      <c r="D94" s="24"/>
      <c r="E94" s="17"/>
      <c r="F94" s="17"/>
      <c r="G94" s="17"/>
      <c r="H94" s="17"/>
      <c r="I94" s="26" t="s">
        <v>209</v>
      </c>
      <c r="J94" s="32"/>
      <c r="K94" s="17"/>
      <c r="L94" s="17"/>
      <c r="M94" s="17"/>
      <c r="N94" s="17"/>
      <c r="O94" s="17"/>
      <c r="P94" s="59" t="s">
        <v>7515</v>
      </c>
      <c r="Q94" s="12"/>
      <c r="R94" s="12"/>
      <c r="S94" s="12"/>
      <c r="T94" s="12"/>
      <c r="U94" s="12"/>
      <c r="V94" s="12"/>
      <c r="Z94" s="12"/>
      <c r="AA94" s="12" t="n">
        <v>5</v>
      </c>
      <c r="AB94" s="12"/>
      <c r="AC94" s="12"/>
      <c r="AD94" s="12"/>
      <c r="AE94" s="12"/>
    </row>
    <row r="95" customFormat="false" ht="15.75" hidden="false" customHeight="false" outlineLevel="0" collapsed="false">
      <c r="A95" s="12" t="str">
        <f aca="false">IF((AA95&gt;=4), "Y", "N")</f>
        <v>Y</v>
      </c>
      <c r="B95" s="74"/>
      <c r="C95" s="26" t="s">
        <v>7605</v>
      </c>
      <c r="D95" s="24"/>
      <c r="E95" s="17"/>
      <c r="F95" s="17"/>
      <c r="G95" s="17"/>
      <c r="H95" s="17"/>
      <c r="I95" s="26" t="s">
        <v>209</v>
      </c>
      <c r="J95" s="32"/>
      <c r="K95" s="17"/>
      <c r="L95" s="17"/>
      <c r="M95" s="17"/>
      <c r="N95" s="17"/>
      <c r="O95" s="17"/>
      <c r="P95" s="59" t="s">
        <v>7515</v>
      </c>
      <c r="Q95" s="12"/>
      <c r="R95" s="12"/>
      <c r="S95" s="12"/>
      <c r="T95" s="12"/>
      <c r="U95" s="12"/>
      <c r="V95" s="12"/>
      <c r="Z95" s="12"/>
      <c r="AA95" s="12" t="n">
        <v>5</v>
      </c>
      <c r="AB95" s="12"/>
      <c r="AC95" s="12"/>
      <c r="AD95" s="12"/>
      <c r="AE95" s="12"/>
    </row>
    <row r="96" customFormat="false" ht="15.75" hidden="false" customHeight="false" outlineLevel="0" collapsed="false">
      <c r="A96" s="12" t="str">
        <f aca="false">IF((AA96&gt;=4), "Y", "N")</f>
        <v>Y</v>
      </c>
      <c r="B96" s="74"/>
      <c r="C96" s="125" t="s">
        <v>7606</v>
      </c>
      <c r="D96" s="24"/>
      <c r="E96" s="17"/>
      <c r="F96" s="17"/>
      <c r="G96" s="17"/>
      <c r="H96" s="17"/>
      <c r="I96" s="26" t="s">
        <v>209</v>
      </c>
      <c r="J96" s="32"/>
      <c r="K96" s="17"/>
      <c r="L96" s="17"/>
      <c r="M96" s="17"/>
      <c r="N96" s="17"/>
      <c r="O96" s="17"/>
      <c r="P96" s="59" t="s">
        <v>7515</v>
      </c>
      <c r="Q96" s="12"/>
      <c r="R96" s="12"/>
      <c r="S96" s="12"/>
      <c r="T96" s="12"/>
      <c r="U96" s="12"/>
      <c r="V96" s="12"/>
      <c r="Z96" s="12"/>
      <c r="AA96" s="12" t="n">
        <v>5</v>
      </c>
      <c r="AB96" s="12"/>
      <c r="AC96" s="12"/>
      <c r="AD96" s="12"/>
      <c r="AE96" s="12"/>
    </row>
    <row r="97" customFormat="false" ht="15.75" hidden="false" customHeight="false" outlineLevel="0" collapsed="false">
      <c r="A97" s="12" t="str">
        <f aca="false">IF((AA97&gt;=4), "Y", "N")</f>
        <v>Y</v>
      </c>
      <c r="B97" s="74"/>
      <c r="C97" s="26" t="s">
        <v>7607</v>
      </c>
      <c r="D97" s="24"/>
      <c r="E97" s="17"/>
      <c r="F97" s="17"/>
      <c r="G97" s="17"/>
      <c r="H97" s="17"/>
      <c r="I97" s="26" t="s">
        <v>209</v>
      </c>
      <c r="J97" s="32"/>
      <c r="K97" s="17"/>
      <c r="L97" s="17"/>
      <c r="M97" s="17"/>
      <c r="N97" s="17"/>
      <c r="O97" s="17"/>
      <c r="P97" s="59" t="s">
        <v>7515</v>
      </c>
      <c r="Q97" s="12"/>
      <c r="R97" s="12"/>
      <c r="S97" s="12"/>
      <c r="T97" s="12"/>
      <c r="U97" s="12"/>
      <c r="V97" s="12"/>
      <c r="Z97" s="12"/>
      <c r="AA97" s="12" t="n">
        <v>5</v>
      </c>
      <c r="AB97" s="12"/>
      <c r="AC97" s="12"/>
      <c r="AD97" s="12"/>
      <c r="AE97" s="12"/>
    </row>
    <row r="98" customFormat="false" ht="15.75" hidden="false" customHeight="false" outlineLevel="0" collapsed="false">
      <c r="A98" s="12" t="str">
        <f aca="false">IF((AA98&gt;=4), "Y", "N")</f>
        <v>Y</v>
      </c>
      <c r="B98" s="74"/>
      <c r="C98" s="26" t="s">
        <v>7608</v>
      </c>
      <c r="D98" s="24"/>
      <c r="E98" s="17"/>
      <c r="F98" s="17"/>
      <c r="G98" s="17"/>
      <c r="H98" s="17"/>
      <c r="I98" s="26" t="s">
        <v>209</v>
      </c>
      <c r="J98" s="32"/>
      <c r="K98" s="17"/>
      <c r="L98" s="17"/>
      <c r="M98" s="17"/>
      <c r="N98" s="17"/>
      <c r="O98" s="17"/>
      <c r="P98" s="59" t="s">
        <v>7515</v>
      </c>
      <c r="Q98" s="12"/>
      <c r="R98" s="12"/>
      <c r="S98" s="12"/>
      <c r="T98" s="12"/>
      <c r="U98" s="12"/>
      <c r="V98" s="12"/>
      <c r="Z98" s="12"/>
      <c r="AA98" s="12" t="n">
        <v>5</v>
      </c>
      <c r="AB98" s="12"/>
      <c r="AC98" s="12"/>
      <c r="AD98" s="12"/>
      <c r="AE98" s="12"/>
    </row>
    <row r="99" customFormat="false" ht="15.75" hidden="false" customHeight="false" outlineLevel="0" collapsed="false">
      <c r="A99" s="12" t="str">
        <f aca="false">IF((AA99&gt;=4), "Y", "N")</f>
        <v>Y</v>
      </c>
      <c r="B99" s="74"/>
      <c r="C99" s="26" t="s">
        <v>7609</v>
      </c>
      <c r="D99" s="24"/>
      <c r="E99" s="17"/>
      <c r="F99" s="17"/>
      <c r="G99" s="17"/>
      <c r="H99" s="17"/>
      <c r="I99" s="26" t="s">
        <v>209</v>
      </c>
      <c r="J99" s="32"/>
      <c r="K99" s="17"/>
      <c r="L99" s="17"/>
      <c r="M99" s="17"/>
      <c r="N99" s="17"/>
      <c r="O99" s="17"/>
      <c r="P99" s="59" t="s">
        <v>7515</v>
      </c>
      <c r="Q99" s="12"/>
      <c r="R99" s="12"/>
      <c r="S99" s="12"/>
      <c r="T99" s="12"/>
      <c r="U99" s="12"/>
      <c r="V99" s="12"/>
      <c r="Z99" s="12"/>
      <c r="AA99" s="12" t="n">
        <v>5</v>
      </c>
      <c r="AB99" s="12"/>
      <c r="AC99" s="12"/>
      <c r="AD99" s="12"/>
      <c r="AE99" s="12"/>
    </row>
    <row r="100" customFormat="false" ht="15.75" hidden="false" customHeight="false" outlineLevel="0" collapsed="false">
      <c r="A100" s="12" t="str">
        <f aca="false">IF((AA100&gt;=4), "Y", "N")</f>
        <v>Y</v>
      </c>
      <c r="B100" s="74"/>
      <c r="C100" s="26" t="s">
        <v>7610</v>
      </c>
      <c r="D100" s="24"/>
      <c r="E100" s="17"/>
      <c r="F100" s="17"/>
      <c r="G100" s="17"/>
      <c r="H100" s="17"/>
      <c r="I100" s="26" t="s">
        <v>209</v>
      </c>
      <c r="J100" s="32"/>
      <c r="K100" s="17"/>
      <c r="L100" s="17"/>
      <c r="M100" s="17"/>
      <c r="N100" s="17"/>
      <c r="O100" s="17"/>
      <c r="P100" s="59" t="s">
        <v>7515</v>
      </c>
      <c r="Q100" s="12"/>
      <c r="R100" s="12"/>
      <c r="S100" s="12"/>
      <c r="T100" s="12"/>
      <c r="U100" s="12"/>
      <c r="V100" s="12"/>
      <c r="Z100" s="12"/>
      <c r="AA100" s="12" t="n">
        <v>5</v>
      </c>
      <c r="AB100" s="12"/>
      <c r="AC100" s="12"/>
      <c r="AD100" s="12"/>
      <c r="AE100" s="12"/>
    </row>
    <row r="101" customFormat="false" ht="15.75" hidden="false" customHeight="false" outlineLevel="0" collapsed="false">
      <c r="A101" s="12" t="str">
        <f aca="false">IF((AA101&gt;=4), "Y", "N")</f>
        <v>Y</v>
      </c>
      <c r="B101" s="74"/>
      <c r="C101" s="26" t="s">
        <v>7611</v>
      </c>
      <c r="D101" s="24"/>
      <c r="E101" s="17"/>
      <c r="F101" s="17"/>
      <c r="G101" s="17"/>
      <c r="H101" s="17"/>
      <c r="I101" s="26" t="s">
        <v>209</v>
      </c>
      <c r="J101" s="32"/>
      <c r="K101" s="17"/>
      <c r="L101" s="17"/>
      <c r="M101" s="17"/>
      <c r="N101" s="17"/>
      <c r="O101" s="17"/>
      <c r="P101" s="59" t="s">
        <v>7515</v>
      </c>
      <c r="Q101" s="12"/>
      <c r="R101" s="12"/>
      <c r="S101" s="12"/>
      <c r="T101" s="12"/>
      <c r="U101" s="12"/>
      <c r="V101" s="12"/>
      <c r="Z101" s="12"/>
      <c r="AA101" s="12" t="n">
        <v>5</v>
      </c>
      <c r="AB101" s="12"/>
      <c r="AC101" s="12"/>
      <c r="AD101" s="12"/>
      <c r="AE101" s="12"/>
    </row>
    <row r="102" customFormat="false" ht="15.75" hidden="false" customHeight="false" outlineLevel="0" collapsed="false">
      <c r="A102" s="12" t="str">
        <f aca="false">IF((AA102&gt;=4), "Y", "N")</f>
        <v>Y</v>
      </c>
      <c r="B102" s="74"/>
      <c r="C102" s="26" t="s">
        <v>7612</v>
      </c>
      <c r="D102" s="24"/>
      <c r="E102" s="17"/>
      <c r="F102" s="17"/>
      <c r="G102" s="17"/>
      <c r="H102" s="17"/>
      <c r="I102" s="26" t="s">
        <v>209</v>
      </c>
      <c r="J102" s="32"/>
      <c r="K102" s="17"/>
      <c r="L102" s="17"/>
      <c r="M102" s="17"/>
      <c r="N102" s="17"/>
      <c r="O102" s="17"/>
      <c r="P102" s="59" t="s">
        <v>7515</v>
      </c>
      <c r="Q102" s="12"/>
      <c r="R102" s="12"/>
      <c r="S102" s="12"/>
      <c r="T102" s="12"/>
      <c r="U102" s="12"/>
      <c r="V102" s="12"/>
      <c r="Z102" s="12"/>
      <c r="AA102" s="12" t="n">
        <v>5</v>
      </c>
      <c r="AB102" s="12"/>
      <c r="AC102" s="12"/>
      <c r="AD102" s="12"/>
      <c r="AE102" s="12"/>
    </row>
    <row r="103" customFormat="false" ht="15.75" hidden="false" customHeight="false" outlineLevel="0" collapsed="false">
      <c r="A103" s="12" t="str">
        <f aca="false">IF((AA103&gt;=4), "Y", "N")</f>
        <v>Y</v>
      </c>
      <c r="B103" s="74"/>
      <c r="C103" s="26" t="s">
        <v>7613</v>
      </c>
      <c r="D103" s="24"/>
      <c r="E103" s="17"/>
      <c r="F103" s="17"/>
      <c r="G103" s="17"/>
      <c r="H103" s="17"/>
      <c r="I103" s="26" t="s">
        <v>209</v>
      </c>
      <c r="J103" s="32"/>
      <c r="K103" s="17"/>
      <c r="L103" s="17"/>
      <c r="M103" s="17"/>
      <c r="N103" s="17"/>
      <c r="O103" s="17"/>
      <c r="P103" s="59" t="s">
        <v>7515</v>
      </c>
      <c r="Q103" s="12"/>
      <c r="R103" s="12"/>
      <c r="S103" s="12"/>
      <c r="T103" s="12"/>
      <c r="U103" s="12"/>
      <c r="V103" s="12"/>
      <c r="Z103" s="12"/>
      <c r="AA103" s="12" t="n">
        <v>5</v>
      </c>
      <c r="AB103" s="12"/>
      <c r="AC103" s="12"/>
      <c r="AD103" s="12"/>
      <c r="AE103" s="12"/>
    </row>
    <row r="104" customFormat="false" ht="15.75" hidden="false" customHeight="false" outlineLevel="0" collapsed="false">
      <c r="A104" s="12" t="str">
        <f aca="false">IF((AA104&gt;=4), "Y", "N")</f>
        <v>Y</v>
      </c>
      <c r="B104" s="74"/>
      <c r="C104" s="26" t="s">
        <v>7614</v>
      </c>
      <c r="D104" s="24"/>
      <c r="E104" s="17"/>
      <c r="F104" s="17"/>
      <c r="G104" s="17"/>
      <c r="H104" s="17"/>
      <c r="I104" s="26" t="s">
        <v>209</v>
      </c>
      <c r="J104" s="32"/>
      <c r="K104" s="17"/>
      <c r="L104" s="17"/>
      <c r="M104" s="17"/>
      <c r="N104" s="17"/>
      <c r="O104" s="17"/>
      <c r="P104" s="59" t="s">
        <v>7515</v>
      </c>
      <c r="Q104" s="12"/>
      <c r="R104" s="12"/>
      <c r="S104" s="12"/>
      <c r="T104" s="12"/>
      <c r="U104" s="12"/>
      <c r="V104" s="12"/>
      <c r="Z104" s="12"/>
      <c r="AA104" s="12" t="n">
        <v>5</v>
      </c>
      <c r="AB104" s="12"/>
      <c r="AC104" s="12"/>
      <c r="AD104" s="12"/>
      <c r="AE104" s="12"/>
    </row>
    <row r="105" customFormat="false" ht="15.75" hidden="false" customHeight="false" outlineLevel="0" collapsed="false">
      <c r="A105" s="12" t="str">
        <f aca="false">IF((AA105&gt;=4), "Y", "N")</f>
        <v>Y</v>
      </c>
      <c r="B105" s="74"/>
      <c r="C105" s="26" t="s">
        <v>7615</v>
      </c>
      <c r="D105" s="24"/>
      <c r="E105" s="17"/>
      <c r="F105" s="17"/>
      <c r="G105" s="17"/>
      <c r="H105" s="17"/>
      <c r="I105" s="26" t="s">
        <v>209</v>
      </c>
      <c r="J105" s="32"/>
      <c r="K105" s="17"/>
      <c r="L105" s="17"/>
      <c r="M105" s="17"/>
      <c r="N105" s="17"/>
      <c r="O105" s="17"/>
      <c r="P105" s="59" t="s">
        <v>7515</v>
      </c>
      <c r="Q105" s="12"/>
      <c r="R105" s="12"/>
      <c r="S105" s="12"/>
      <c r="T105" s="12"/>
      <c r="U105" s="12"/>
      <c r="V105" s="12"/>
      <c r="Z105" s="12"/>
      <c r="AA105" s="12" t="n">
        <v>5</v>
      </c>
      <c r="AB105" s="12"/>
      <c r="AC105" s="12"/>
      <c r="AD105" s="12"/>
      <c r="AE105" s="12"/>
    </row>
    <row r="106" customFormat="false" ht="15.75" hidden="false" customHeight="false" outlineLevel="0" collapsed="false">
      <c r="A106" s="12" t="str">
        <f aca="false">IF((AA106&gt;=4), "Y", "N")</f>
        <v>Y</v>
      </c>
      <c r="B106" s="74"/>
      <c r="C106" s="26" t="s">
        <v>7616</v>
      </c>
      <c r="D106" s="24"/>
      <c r="E106" s="17"/>
      <c r="F106" s="17"/>
      <c r="G106" s="17"/>
      <c r="H106" s="17"/>
      <c r="I106" s="26" t="s">
        <v>209</v>
      </c>
      <c r="J106" s="32"/>
      <c r="K106" s="17"/>
      <c r="L106" s="17"/>
      <c r="M106" s="17"/>
      <c r="N106" s="17"/>
      <c r="O106" s="17"/>
      <c r="P106" s="59" t="s">
        <v>7515</v>
      </c>
      <c r="Q106" s="12"/>
      <c r="R106" s="12"/>
      <c r="S106" s="12"/>
      <c r="T106" s="12"/>
      <c r="U106" s="12"/>
      <c r="V106" s="12"/>
      <c r="Z106" s="12"/>
      <c r="AA106" s="12" t="n">
        <v>5</v>
      </c>
      <c r="AB106" s="12"/>
      <c r="AC106" s="12"/>
      <c r="AD106" s="12"/>
      <c r="AE106" s="12"/>
    </row>
    <row r="107" customFormat="false" ht="15.75" hidden="false" customHeight="false" outlineLevel="0" collapsed="false">
      <c r="A107" s="12" t="str">
        <f aca="false">IF((AA107&gt;=4), "Y", "N")</f>
        <v>Y</v>
      </c>
      <c r="B107" s="74"/>
      <c r="C107" s="26" t="s">
        <v>7617</v>
      </c>
      <c r="D107" s="24"/>
      <c r="E107" s="17"/>
      <c r="F107" s="17"/>
      <c r="G107" s="17"/>
      <c r="H107" s="17"/>
      <c r="I107" s="26" t="s">
        <v>209</v>
      </c>
      <c r="J107" s="32"/>
      <c r="K107" s="17"/>
      <c r="L107" s="17"/>
      <c r="M107" s="17"/>
      <c r="N107" s="17"/>
      <c r="O107" s="17"/>
      <c r="P107" s="59" t="s">
        <v>7515</v>
      </c>
      <c r="Q107" s="12"/>
      <c r="R107" s="12"/>
      <c r="S107" s="12"/>
      <c r="T107" s="12"/>
      <c r="U107" s="12"/>
      <c r="V107" s="12"/>
      <c r="Z107" s="12"/>
      <c r="AA107" s="12" t="n">
        <v>5</v>
      </c>
      <c r="AB107" s="12"/>
      <c r="AC107" s="12"/>
      <c r="AD107" s="12"/>
      <c r="AE107" s="12"/>
    </row>
    <row r="108" customFormat="false" ht="15.75" hidden="false" customHeight="false" outlineLevel="0" collapsed="false">
      <c r="A108" s="12" t="str">
        <f aca="false">IF((AA108&gt;=4), "Y", "N")</f>
        <v>Y</v>
      </c>
      <c r="B108" s="74"/>
      <c r="C108" s="26" t="s">
        <v>7618</v>
      </c>
      <c r="D108" s="24"/>
      <c r="E108" s="17"/>
      <c r="F108" s="17"/>
      <c r="G108" s="17"/>
      <c r="H108" s="17"/>
      <c r="I108" s="26" t="s">
        <v>209</v>
      </c>
      <c r="J108" s="32"/>
      <c r="K108" s="17"/>
      <c r="L108" s="17"/>
      <c r="M108" s="17"/>
      <c r="N108" s="17"/>
      <c r="O108" s="17"/>
      <c r="P108" s="59" t="s">
        <v>7515</v>
      </c>
      <c r="Q108" s="12"/>
      <c r="R108" s="12"/>
      <c r="S108" s="12"/>
      <c r="T108" s="12"/>
      <c r="U108" s="12"/>
      <c r="V108" s="12"/>
      <c r="Z108" s="12"/>
      <c r="AA108" s="12" t="n">
        <v>5</v>
      </c>
      <c r="AB108" s="12"/>
      <c r="AC108" s="12"/>
      <c r="AD108" s="12"/>
      <c r="AE108" s="12"/>
    </row>
    <row r="109" customFormat="false" ht="15.75" hidden="false" customHeight="false" outlineLevel="0" collapsed="false">
      <c r="A109" s="12" t="str">
        <f aca="false">IF((AA109&gt;=4), "Y", "N")</f>
        <v>Y</v>
      </c>
      <c r="B109" s="74"/>
      <c r="C109" s="26" t="s">
        <v>7619</v>
      </c>
      <c r="D109" s="24"/>
      <c r="E109" s="17"/>
      <c r="F109" s="17"/>
      <c r="G109" s="17"/>
      <c r="H109" s="17"/>
      <c r="I109" s="26" t="s">
        <v>209</v>
      </c>
      <c r="J109" s="32"/>
      <c r="K109" s="17"/>
      <c r="L109" s="17"/>
      <c r="M109" s="17"/>
      <c r="N109" s="17"/>
      <c r="O109" s="17"/>
      <c r="P109" s="59" t="s">
        <v>7515</v>
      </c>
      <c r="Q109" s="12"/>
      <c r="R109" s="12"/>
      <c r="S109" s="12"/>
      <c r="T109" s="12"/>
      <c r="U109" s="12"/>
      <c r="V109" s="12"/>
      <c r="Z109" s="12"/>
      <c r="AA109" s="12" t="n">
        <v>5</v>
      </c>
      <c r="AB109" s="12"/>
      <c r="AC109" s="12"/>
      <c r="AD109" s="12"/>
      <c r="AE109" s="12"/>
    </row>
    <row r="110" customFormat="false" ht="15.75" hidden="false" customHeight="false" outlineLevel="0" collapsed="false">
      <c r="A110" s="12" t="str">
        <f aca="false">IF((AA110&gt;=4), "Y", "N")</f>
        <v>Y</v>
      </c>
      <c r="B110" s="74"/>
      <c r="C110" s="26" t="s">
        <v>7620</v>
      </c>
      <c r="D110" s="24"/>
      <c r="E110" s="17"/>
      <c r="F110" s="17"/>
      <c r="G110" s="17"/>
      <c r="H110" s="17"/>
      <c r="I110" s="26" t="s">
        <v>209</v>
      </c>
      <c r="J110" s="32"/>
      <c r="K110" s="17"/>
      <c r="L110" s="17"/>
      <c r="M110" s="17"/>
      <c r="N110" s="17"/>
      <c r="O110" s="17"/>
      <c r="P110" s="59" t="s">
        <v>7515</v>
      </c>
      <c r="Q110" s="12"/>
      <c r="R110" s="12"/>
      <c r="S110" s="12"/>
      <c r="T110" s="12"/>
      <c r="U110" s="12"/>
      <c r="V110" s="12"/>
      <c r="Z110" s="12"/>
      <c r="AA110" s="12" t="n">
        <v>5</v>
      </c>
      <c r="AB110" s="12"/>
      <c r="AC110" s="12"/>
      <c r="AD110" s="12"/>
      <c r="AE110" s="12"/>
    </row>
    <row r="111" customFormat="false" ht="15.75" hidden="false" customHeight="false" outlineLevel="0" collapsed="false">
      <c r="A111" s="12" t="str">
        <f aca="false">IF((AA111&gt;=4), "Y", "N")</f>
        <v>Y</v>
      </c>
      <c r="B111" s="74"/>
      <c r="C111" s="26" t="s">
        <v>7621</v>
      </c>
      <c r="D111" s="24"/>
      <c r="E111" s="17"/>
      <c r="F111" s="17"/>
      <c r="G111" s="17"/>
      <c r="H111" s="17"/>
      <c r="I111" s="26" t="s">
        <v>209</v>
      </c>
      <c r="J111" s="32"/>
      <c r="K111" s="17"/>
      <c r="L111" s="17"/>
      <c r="M111" s="17"/>
      <c r="N111" s="17"/>
      <c r="O111" s="17"/>
      <c r="P111" s="59" t="s">
        <v>7515</v>
      </c>
      <c r="Q111" s="12"/>
      <c r="R111" s="12"/>
      <c r="S111" s="12"/>
      <c r="T111" s="12"/>
      <c r="U111" s="12"/>
      <c r="V111" s="12"/>
      <c r="Z111" s="12"/>
      <c r="AA111" s="12" t="n">
        <v>5</v>
      </c>
      <c r="AB111" s="12"/>
      <c r="AC111" s="12"/>
      <c r="AD111" s="12"/>
      <c r="AE111" s="12"/>
    </row>
    <row r="112" customFormat="false" ht="15.75" hidden="false" customHeight="false" outlineLevel="0" collapsed="false">
      <c r="A112" s="12" t="str">
        <f aca="false">IF((AA112&gt;=4), "Y", "N")</f>
        <v>Y</v>
      </c>
      <c r="B112" s="74"/>
      <c r="C112" s="26" t="s">
        <v>7622</v>
      </c>
      <c r="D112" s="24"/>
      <c r="E112" s="17"/>
      <c r="F112" s="17"/>
      <c r="G112" s="17"/>
      <c r="H112" s="17"/>
      <c r="I112" s="26" t="s">
        <v>209</v>
      </c>
      <c r="J112" s="32"/>
      <c r="K112" s="17"/>
      <c r="L112" s="17"/>
      <c r="M112" s="17"/>
      <c r="N112" s="17"/>
      <c r="O112" s="17"/>
      <c r="P112" s="59" t="s">
        <v>7515</v>
      </c>
      <c r="Q112" s="12"/>
      <c r="R112" s="12"/>
      <c r="S112" s="12"/>
      <c r="T112" s="12"/>
      <c r="U112" s="12"/>
      <c r="V112" s="12"/>
      <c r="Z112" s="12"/>
      <c r="AA112" s="12" t="n">
        <v>5</v>
      </c>
      <c r="AB112" s="12"/>
      <c r="AC112" s="12"/>
      <c r="AD112" s="12"/>
      <c r="AE112" s="12"/>
    </row>
    <row r="113" customFormat="false" ht="15.75" hidden="false" customHeight="false" outlineLevel="0" collapsed="false">
      <c r="A113" s="12" t="str">
        <f aca="false">IF((AA113&gt;=4), "Y", "N")</f>
        <v>Y</v>
      </c>
      <c r="B113" s="74"/>
      <c r="C113" s="26" t="s">
        <v>7622</v>
      </c>
      <c r="D113" s="24"/>
      <c r="E113" s="17"/>
      <c r="F113" s="17"/>
      <c r="G113" s="17"/>
      <c r="H113" s="17"/>
      <c r="I113" s="26" t="s">
        <v>209</v>
      </c>
      <c r="J113" s="32"/>
      <c r="K113" s="17"/>
      <c r="L113" s="17"/>
      <c r="M113" s="17"/>
      <c r="N113" s="17"/>
      <c r="O113" s="17"/>
      <c r="P113" s="59" t="s">
        <v>7515</v>
      </c>
      <c r="Q113" s="12"/>
      <c r="R113" s="12"/>
      <c r="S113" s="12"/>
      <c r="T113" s="12"/>
      <c r="U113" s="12"/>
      <c r="V113" s="12"/>
      <c r="Z113" s="12"/>
      <c r="AA113" s="12" t="n">
        <v>5</v>
      </c>
      <c r="AB113" s="12"/>
      <c r="AC113" s="12"/>
      <c r="AD113" s="12"/>
      <c r="AE113" s="12"/>
    </row>
    <row r="114" customFormat="false" ht="15.75" hidden="false" customHeight="false" outlineLevel="0" collapsed="false">
      <c r="A114" s="12" t="str">
        <f aca="false">IF((AA114&gt;=4), "Y", "N")</f>
        <v>Y</v>
      </c>
      <c r="B114" s="74"/>
      <c r="C114" s="26" t="s">
        <v>7623</v>
      </c>
      <c r="D114" s="24"/>
      <c r="E114" s="17"/>
      <c r="F114" s="17"/>
      <c r="G114" s="17"/>
      <c r="H114" s="17"/>
      <c r="I114" s="26" t="s">
        <v>209</v>
      </c>
      <c r="J114" s="32"/>
      <c r="K114" s="17"/>
      <c r="L114" s="17"/>
      <c r="M114" s="17"/>
      <c r="N114" s="17"/>
      <c r="O114" s="17"/>
      <c r="P114" s="59" t="s">
        <v>7515</v>
      </c>
      <c r="Q114" s="12"/>
      <c r="R114" s="12"/>
      <c r="S114" s="12"/>
      <c r="T114" s="12"/>
      <c r="U114" s="12"/>
      <c r="V114" s="12"/>
      <c r="Z114" s="12"/>
      <c r="AA114" s="12" t="n">
        <v>5</v>
      </c>
      <c r="AB114" s="12"/>
      <c r="AC114" s="12"/>
      <c r="AD114" s="12"/>
      <c r="AE114" s="12"/>
    </row>
    <row r="115" customFormat="false" ht="15.75" hidden="false" customHeight="false" outlineLevel="0" collapsed="false">
      <c r="A115" s="12" t="str">
        <f aca="false">IF((AA115&gt;=4), "Y", "N")</f>
        <v>Y</v>
      </c>
      <c r="B115" s="74"/>
      <c r="C115" s="26" t="s">
        <v>7624</v>
      </c>
      <c r="D115" s="24"/>
      <c r="E115" s="17"/>
      <c r="F115" s="17"/>
      <c r="G115" s="17"/>
      <c r="H115" s="17"/>
      <c r="I115" s="26" t="s">
        <v>209</v>
      </c>
      <c r="J115" s="32"/>
      <c r="K115" s="17"/>
      <c r="L115" s="17"/>
      <c r="M115" s="17"/>
      <c r="N115" s="17"/>
      <c r="O115" s="17"/>
      <c r="P115" s="59" t="s">
        <v>7515</v>
      </c>
      <c r="Q115" s="12"/>
      <c r="R115" s="12"/>
      <c r="S115" s="12"/>
      <c r="T115" s="12"/>
      <c r="U115" s="12"/>
      <c r="V115" s="12"/>
      <c r="Z115" s="12"/>
      <c r="AA115" s="12" t="n">
        <v>5</v>
      </c>
      <c r="AB115" s="12"/>
      <c r="AC115" s="12"/>
      <c r="AD115" s="12"/>
      <c r="AE115" s="12"/>
    </row>
    <row r="116" customFormat="false" ht="15.75" hidden="false" customHeight="false" outlineLevel="0" collapsed="false">
      <c r="A116" s="12" t="str">
        <f aca="false">IF((AA116&gt;=4), "Y", "N")</f>
        <v>Y</v>
      </c>
      <c r="B116" s="74"/>
      <c r="C116" s="26" t="s">
        <v>7625</v>
      </c>
      <c r="D116" s="24"/>
      <c r="E116" s="17"/>
      <c r="F116" s="17"/>
      <c r="G116" s="17"/>
      <c r="H116" s="17"/>
      <c r="I116" s="26" t="s">
        <v>209</v>
      </c>
      <c r="J116" s="32"/>
      <c r="K116" s="17"/>
      <c r="L116" s="17"/>
      <c r="M116" s="17"/>
      <c r="N116" s="17"/>
      <c r="O116" s="17"/>
      <c r="P116" s="59" t="s">
        <v>7515</v>
      </c>
      <c r="Q116" s="12"/>
      <c r="R116" s="12"/>
      <c r="S116" s="12"/>
      <c r="T116" s="12"/>
      <c r="U116" s="12"/>
      <c r="V116" s="12"/>
      <c r="Z116" s="12"/>
      <c r="AA116" s="12" t="n">
        <v>5</v>
      </c>
      <c r="AB116" s="12"/>
      <c r="AC116" s="12"/>
      <c r="AD116" s="12"/>
      <c r="AE116" s="12"/>
    </row>
    <row r="117" customFormat="false" ht="15.75" hidden="false" customHeight="false" outlineLevel="0" collapsed="false">
      <c r="A117" s="12" t="str">
        <f aca="false">IF((AA117&gt;=4), "Y", "N")</f>
        <v>Y</v>
      </c>
      <c r="B117" s="74"/>
      <c r="C117" s="26" t="s">
        <v>7626</v>
      </c>
      <c r="D117" s="24"/>
      <c r="E117" s="17"/>
      <c r="F117" s="17"/>
      <c r="G117" s="17"/>
      <c r="H117" s="17"/>
      <c r="I117" s="26" t="s">
        <v>209</v>
      </c>
      <c r="J117" s="32"/>
      <c r="K117" s="17"/>
      <c r="L117" s="17"/>
      <c r="M117" s="17"/>
      <c r="N117" s="17"/>
      <c r="O117" s="17"/>
      <c r="P117" s="59" t="s">
        <v>7515</v>
      </c>
      <c r="Q117" s="12"/>
      <c r="R117" s="12"/>
      <c r="S117" s="12"/>
      <c r="T117" s="12"/>
      <c r="U117" s="12"/>
      <c r="V117" s="12"/>
      <c r="Z117" s="12"/>
      <c r="AA117" s="12" t="n">
        <v>5</v>
      </c>
      <c r="AB117" s="12"/>
      <c r="AC117" s="12"/>
      <c r="AD117" s="12"/>
      <c r="AE117" s="12"/>
    </row>
    <row r="118" customFormat="false" ht="15.75" hidden="false" customHeight="false" outlineLevel="0" collapsed="false">
      <c r="A118" s="12" t="str">
        <f aca="false">IF((AA118&gt;=4), "Y", "N")</f>
        <v>Y</v>
      </c>
      <c r="B118" s="74"/>
      <c r="C118" s="26" t="s">
        <v>7627</v>
      </c>
      <c r="D118" s="24"/>
      <c r="E118" s="17"/>
      <c r="F118" s="17"/>
      <c r="G118" s="17"/>
      <c r="H118" s="17"/>
      <c r="I118" s="26" t="s">
        <v>209</v>
      </c>
      <c r="J118" s="32"/>
      <c r="K118" s="17"/>
      <c r="L118" s="17"/>
      <c r="M118" s="17"/>
      <c r="N118" s="17"/>
      <c r="O118" s="17"/>
      <c r="P118" s="59" t="s">
        <v>7515</v>
      </c>
      <c r="Q118" s="12"/>
      <c r="R118" s="12"/>
      <c r="S118" s="12"/>
      <c r="T118" s="12"/>
      <c r="U118" s="12"/>
      <c r="V118" s="12"/>
      <c r="Z118" s="12"/>
      <c r="AA118" s="12" t="n">
        <v>5</v>
      </c>
      <c r="AB118" s="12"/>
      <c r="AC118" s="12"/>
      <c r="AD118" s="12"/>
      <c r="AE118" s="12"/>
    </row>
    <row r="119" customFormat="false" ht="15.75" hidden="false" customHeight="false" outlineLevel="0" collapsed="false">
      <c r="A119" s="12" t="str">
        <f aca="false">IF((AA119&gt;=4), "Y", "N")</f>
        <v>Y</v>
      </c>
      <c r="B119" s="74"/>
      <c r="C119" s="26" t="s">
        <v>7628</v>
      </c>
      <c r="D119" s="24"/>
      <c r="E119" s="17"/>
      <c r="F119" s="17"/>
      <c r="G119" s="17"/>
      <c r="H119" s="17"/>
      <c r="I119" s="26" t="s">
        <v>209</v>
      </c>
      <c r="J119" s="32"/>
      <c r="K119" s="17"/>
      <c r="L119" s="17"/>
      <c r="M119" s="17"/>
      <c r="N119" s="17"/>
      <c r="O119" s="17"/>
      <c r="P119" s="59" t="s">
        <v>7515</v>
      </c>
      <c r="Q119" s="12"/>
      <c r="R119" s="12"/>
      <c r="S119" s="12"/>
      <c r="T119" s="12"/>
      <c r="U119" s="12"/>
      <c r="V119" s="12"/>
      <c r="Z119" s="12"/>
      <c r="AA119" s="12" t="n">
        <v>5</v>
      </c>
      <c r="AB119" s="12"/>
      <c r="AC119" s="12"/>
      <c r="AD119" s="12"/>
      <c r="AE119" s="12"/>
    </row>
    <row r="120" customFormat="false" ht="15.75" hidden="false" customHeight="false" outlineLevel="0" collapsed="false">
      <c r="A120" s="12" t="str">
        <f aca="false">IF((AA120&gt;=4), "Y", "N")</f>
        <v>Y</v>
      </c>
      <c r="B120" s="74"/>
      <c r="C120" s="26" t="s">
        <v>7629</v>
      </c>
      <c r="D120" s="24"/>
      <c r="E120" s="17"/>
      <c r="F120" s="17"/>
      <c r="G120" s="17"/>
      <c r="H120" s="17"/>
      <c r="I120" s="26" t="s">
        <v>209</v>
      </c>
      <c r="J120" s="32"/>
      <c r="K120" s="17"/>
      <c r="L120" s="17"/>
      <c r="M120" s="17"/>
      <c r="N120" s="17"/>
      <c r="O120" s="17"/>
      <c r="P120" s="59" t="s">
        <v>7515</v>
      </c>
      <c r="Q120" s="12"/>
      <c r="R120" s="12"/>
      <c r="S120" s="12"/>
      <c r="T120" s="12"/>
      <c r="U120" s="12"/>
      <c r="V120" s="12"/>
      <c r="Z120" s="12"/>
      <c r="AA120" s="12" t="n">
        <v>5</v>
      </c>
      <c r="AB120" s="12"/>
      <c r="AC120" s="12"/>
      <c r="AD120" s="12"/>
      <c r="AE120" s="12"/>
    </row>
    <row r="121" customFormat="false" ht="15.75" hidden="false" customHeight="false" outlineLevel="0" collapsed="false">
      <c r="A121" s="12" t="str">
        <f aca="false">IF((AA121&gt;=4), "Y", "N")</f>
        <v>Y</v>
      </c>
      <c r="B121" s="74"/>
      <c r="C121" s="26" t="s">
        <v>7630</v>
      </c>
      <c r="D121" s="24"/>
      <c r="E121" s="17"/>
      <c r="F121" s="17"/>
      <c r="G121" s="17"/>
      <c r="H121" s="17"/>
      <c r="I121" s="26" t="s">
        <v>209</v>
      </c>
      <c r="J121" s="32"/>
      <c r="K121" s="17"/>
      <c r="L121" s="17"/>
      <c r="M121" s="17"/>
      <c r="N121" s="17"/>
      <c r="O121" s="17"/>
      <c r="P121" s="59" t="s">
        <v>7515</v>
      </c>
      <c r="Q121" s="12"/>
      <c r="R121" s="12"/>
      <c r="S121" s="12"/>
      <c r="T121" s="12"/>
      <c r="U121" s="12"/>
      <c r="V121" s="12"/>
      <c r="Z121" s="12"/>
      <c r="AA121" s="12" t="n">
        <v>5</v>
      </c>
      <c r="AB121" s="12"/>
      <c r="AC121" s="12"/>
      <c r="AD121" s="12"/>
      <c r="AE121" s="12"/>
    </row>
    <row r="122" customFormat="false" ht="15.75" hidden="false" customHeight="false" outlineLevel="0" collapsed="false">
      <c r="A122" s="12" t="str">
        <f aca="false">IF((AA122&gt;=4), "Y", "N")</f>
        <v>Y</v>
      </c>
      <c r="B122" s="74"/>
      <c r="C122" s="26" t="s">
        <v>7631</v>
      </c>
      <c r="D122" s="24"/>
      <c r="E122" s="17"/>
      <c r="F122" s="17"/>
      <c r="G122" s="17"/>
      <c r="H122" s="17"/>
      <c r="I122" s="26" t="s">
        <v>209</v>
      </c>
      <c r="J122" s="32"/>
      <c r="K122" s="17"/>
      <c r="L122" s="17"/>
      <c r="M122" s="17"/>
      <c r="N122" s="17"/>
      <c r="O122" s="17"/>
      <c r="P122" s="59" t="s">
        <v>7515</v>
      </c>
      <c r="Q122" s="12"/>
      <c r="R122" s="12"/>
      <c r="S122" s="12"/>
      <c r="T122" s="12"/>
      <c r="U122" s="12"/>
      <c r="V122" s="12"/>
      <c r="Z122" s="12"/>
      <c r="AA122" s="12" t="n">
        <v>5</v>
      </c>
      <c r="AB122" s="12"/>
      <c r="AC122" s="12"/>
      <c r="AD122" s="12"/>
      <c r="AE122" s="12"/>
    </row>
    <row r="123" customFormat="false" ht="15.75" hidden="false" customHeight="false" outlineLevel="0" collapsed="false">
      <c r="A123" s="12" t="str">
        <f aca="false">IF((AA123&gt;=4), "Y", "N")</f>
        <v>Y</v>
      </c>
      <c r="B123" s="74"/>
      <c r="C123" s="26" t="s">
        <v>7632</v>
      </c>
      <c r="D123" s="24"/>
      <c r="E123" s="17"/>
      <c r="F123" s="17"/>
      <c r="G123" s="17"/>
      <c r="H123" s="17"/>
      <c r="I123" s="26" t="s">
        <v>209</v>
      </c>
      <c r="J123" s="32"/>
      <c r="K123" s="17"/>
      <c r="L123" s="17"/>
      <c r="M123" s="17"/>
      <c r="N123" s="17"/>
      <c r="O123" s="17"/>
      <c r="P123" s="59" t="s">
        <v>7515</v>
      </c>
      <c r="Q123" s="12"/>
      <c r="R123" s="12"/>
      <c r="S123" s="12"/>
      <c r="T123" s="12"/>
      <c r="U123" s="12"/>
      <c r="V123" s="12"/>
      <c r="Z123" s="12"/>
      <c r="AA123" s="12" t="n">
        <v>5</v>
      </c>
      <c r="AB123" s="12"/>
      <c r="AC123" s="12"/>
      <c r="AD123" s="12"/>
      <c r="AE123" s="12"/>
    </row>
    <row r="124" customFormat="false" ht="15.75" hidden="false" customHeight="false" outlineLevel="0" collapsed="false">
      <c r="A124" s="12" t="str">
        <f aca="false">IF((AA124&gt;=4), "Y", "N")</f>
        <v>Y</v>
      </c>
      <c r="B124" s="74"/>
      <c r="C124" s="26" t="s">
        <v>7633</v>
      </c>
      <c r="D124" s="24"/>
      <c r="E124" s="17"/>
      <c r="F124" s="17"/>
      <c r="G124" s="17"/>
      <c r="H124" s="17"/>
      <c r="I124" s="26" t="s">
        <v>209</v>
      </c>
      <c r="J124" s="32"/>
      <c r="K124" s="17"/>
      <c r="L124" s="17"/>
      <c r="M124" s="17"/>
      <c r="N124" s="17"/>
      <c r="O124" s="17"/>
      <c r="P124" s="59" t="s">
        <v>7515</v>
      </c>
      <c r="Q124" s="12"/>
      <c r="R124" s="12"/>
      <c r="S124" s="12"/>
      <c r="T124" s="12"/>
      <c r="U124" s="12"/>
      <c r="V124" s="12"/>
      <c r="Z124" s="12"/>
      <c r="AA124" s="12" t="n">
        <v>5</v>
      </c>
      <c r="AB124" s="12"/>
      <c r="AC124" s="12"/>
      <c r="AD124" s="12"/>
      <c r="AE124" s="12"/>
    </row>
    <row r="125" customFormat="false" ht="15.75" hidden="false" customHeight="false" outlineLevel="0" collapsed="false">
      <c r="A125" s="12" t="str">
        <f aca="false">IF((AA125&gt;=4), "Y", "N")</f>
        <v>Y</v>
      </c>
      <c r="B125" s="74"/>
      <c r="C125" s="26" t="s">
        <v>7634</v>
      </c>
      <c r="D125" s="24"/>
      <c r="E125" s="17"/>
      <c r="F125" s="17"/>
      <c r="G125" s="17"/>
      <c r="H125" s="17"/>
      <c r="I125" s="26" t="s">
        <v>209</v>
      </c>
      <c r="J125" s="32"/>
      <c r="K125" s="17"/>
      <c r="L125" s="17"/>
      <c r="M125" s="17"/>
      <c r="N125" s="17"/>
      <c r="O125" s="17"/>
      <c r="P125" s="59" t="s">
        <v>7515</v>
      </c>
      <c r="Q125" s="12"/>
      <c r="R125" s="12"/>
      <c r="S125" s="12"/>
      <c r="T125" s="12"/>
      <c r="U125" s="12"/>
      <c r="V125" s="12"/>
      <c r="Z125" s="12"/>
      <c r="AA125" s="12" t="n">
        <v>5</v>
      </c>
      <c r="AB125" s="12"/>
      <c r="AC125" s="12"/>
      <c r="AD125" s="12"/>
      <c r="AE125" s="12"/>
    </row>
    <row r="126" customFormat="false" ht="15.75" hidden="false" customHeight="false" outlineLevel="0" collapsed="false">
      <c r="A126" s="12" t="str">
        <f aca="false">IF((AA126&gt;=4), "Y", "N")</f>
        <v>Y</v>
      </c>
      <c r="B126" s="74"/>
      <c r="C126" s="26" t="s">
        <v>7635</v>
      </c>
      <c r="D126" s="24"/>
      <c r="E126" s="17"/>
      <c r="F126" s="17"/>
      <c r="G126" s="17"/>
      <c r="H126" s="17"/>
      <c r="I126" s="26" t="s">
        <v>209</v>
      </c>
      <c r="J126" s="32"/>
      <c r="K126" s="17"/>
      <c r="L126" s="17"/>
      <c r="M126" s="17"/>
      <c r="N126" s="17"/>
      <c r="O126" s="17"/>
      <c r="P126" s="59" t="s">
        <v>7515</v>
      </c>
      <c r="Q126" s="12"/>
      <c r="R126" s="12"/>
      <c r="S126" s="12"/>
      <c r="T126" s="12"/>
      <c r="U126" s="12"/>
      <c r="V126" s="12"/>
      <c r="Z126" s="12"/>
      <c r="AA126" s="12" t="n">
        <v>5</v>
      </c>
      <c r="AB126" s="12"/>
      <c r="AC126" s="12"/>
      <c r="AD126" s="12"/>
      <c r="AE126" s="12"/>
    </row>
    <row r="127" customFormat="false" ht="15.75" hidden="false" customHeight="false" outlineLevel="0" collapsed="false">
      <c r="A127" s="12" t="str">
        <f aca="false">IF((AA127&gt;=4), "Y", "N")</f>
        <v>Y</v>
      </c>
      <c r="B127" s="74"/>
      <c r="C127" s="26" t="s">
        <v>7636</v>
      </c>
      <c r="D127" s="24"/>
      <c r="E127" s="17"/>
      <c r="F127" s="17"/>
      <c r="G127" s="17"/>
      <c r="H127" s="17"/>
      <c r="I127" s="26" t="s">
        <v>209</v>
      </c>
      <c r="J127" s="32"/>
      <c r="K127" s="17"/>
      <c r="L127" s="17"/>
      <c r="M127" s="17"/>
      <c r="N127" s="17"/>
      <c r="O127" s="17"/>
      <c r="P127" s="59" t="s">
        <v>7515</v>
      </c>
      <c r="Q127" s="12"/>
      <c r="R127" s="12"/>
      <c r="S127" s="12"/>
      <c r="T127" s="12"/>
      <c r="U127" s="12"/>
      <c r="V127" s="12"/>
      <c r="Z127" s="12"/>
      <c r="AA127" s="12" t="n">
        <v>5</v>
      </c>
      <c r="AB127" s="12"/>
      <c r="AC127" s="12"/>
      <c r="AD127" s="12"/>
      <c r="AE127" s="12"/>
    </row>
    <row r="128" customFormat="false" ht="15.75" hidden="false" customHeight="false" outlineLevel="0" collapsed="false">
      <c r="A128" s="12" t="str">
        <f aca="false">IF((AA128&gt;=4), "Y", "N")</f>
        <v>Y</v>
      </c>
      <c r="B128" s="74"/>
      <c r="C128" s="26" t="s">
        <v>7637</v>
      </c>
      <c r="D128" s="24"/>
      <c r="E128" s="17"/>
      <c r="F128" s="17"/>
      <c r="G128" s="17"/>
      <c r="H128" s="17"/>
      <c r="I128" s="26" t="s">
        <v>209</v>
      </c>
      <c r="J128" s="32"/>
      <c r="K128" s="17"/>
      <c r="L128" s="17"/>
      <c r="M128" s="17"/>
      <c r="N128" s="17"/>
      <c r="O128" s="17"/>
      <c r="P128" s="59" t="s">
        <v>7515</v>
      </c>
      <c r="Q128" s="12"/>
      <c r="R128" s="12"/>
      <c r="S128" s="12"/>
      <c r="T128" s="12"/>
      <c r="U128" s="12"/>
      <c r="V128" s="12"/>
      <c r="Z128" s="12"/>
      <c r="AA128" s="12" t="n">
        <v>5</v>
      </c>
      <c r="AB128" s="12"/>
      <c r="AC128" s="12"/>
      <c r="AD128" s="12"/>
      <c r="AE128" s="12"/>
    </row>
    <row r="129" customFormat="false" ht="15.75" hidden="false" customHeight="false" outlineLevel="0" collapsed="false">
      <c r="A129" s="12" t="str">
        <f aca="false">IF((AA129&gt;=4), "Y", "N")</f>
        <v>Y</v>
      </c>
      <c r="B129" s="74"/>
      <c r="C129" s="26" t="s">
        <v>7638</v>
      </c>
      <c r="D129" s="24"/>
      <c r="E129" s="17"/>
      <c r="F129" s="17"/>
      <c r="G129" s="17"/>
      <c r="H129" s="17"/>
      <c r="I129" s="26" t="s">
        <v>209</v>
      </c>
      <c r="J129" s="32"/>
      <c r="K129" s="17"/>
      <c r="L129" s="17"/>
      <c r="M129" s="17"/>
      <c r="N129" s="17"/>
      <c r="O129" s="17"/>
      <c r="P129" s="59" t="s">
        <v>7515</v>
      </c>
      <c r="Q129" s="12"/>
      <c r="R129" s="12"/>
      <c r="S129" s="12"/>
      <c r="T129" s="12"/>
      <c r="U129" s="12"/>
      <c r="V129" s="12"/>
      <c r="Z129" s="12"/>
      <c r="AA129" s="12" t="n">
        <v>5</v>
      </c>
      <c r="AB129" s="12"/>
      <c r="AC129" s="12"/>
      <c r="AD129" s="12"/>
      <c r="AE129" s="12"/>
    </row>
    <row r="130" customFormat="false" ht="15.75" hidden="false" customHeight="false" outlineLevel="0" collapsed="false">
      <c r="A130" s="12" t="str">
        <f aca="false">IF((AA130&gt;=4), "Y", "N")</f>
        <v>Y</v>
      </c>
      <c r="B130" s="74"/>
      <c r="C130" s="26" t="s">
        <v>7639</v>
      </c>
      <c r="D130" s="24"/>
      <c r="E130" s="17"/>
      <c r="F130" s="17"/>
      <c r="G130" s="17"/>
      <c r="H130" s="17"/>
      <c r="I130" s="26" t="s">
        <v>209</v>
      </c>
      <c r="J130" s="32"/>
      <c r="K130" s="17"/>
      <c r="L130" s="17"/>
      <c r="M130" s="17"/>
      <c r="N130" s="17"/>
      <c r="O130" s="17"/>
      <c r="P130" s="59" t="s">
        <v>7515</v>
      </c>
      <c r="Q130" s="12"/>
      <c r="R130" s="12"/>
      <c r="S130" s="12"/>
      <c r="T130" s="12"/>
      <c r="U130" s="12"/>
      <c r="V130" s="12"/>
      <c r="Z130" s="12"/>
      <c r="AA130" s="12" t="n">
        <v>5</v>
      </c>
      <c r="AB130" s="12"/>
      <c r="AC130" s="12"/>
      <c r="AD130" s="12"/>
      <c r="AE130" s="12"/>
    </row>
    <row r="131" customFormat="false" ht="15.75" hidden="false" customHeight="false" outlineLevel="0" collapsed="false">
      <c r="A131" s="12" t="str">
        <f aca="false">IF((AA131&gt;=4), "Y", "N")</f>
        <v>Y</v>
      </c>
      <c r="B131" s="74"/>
      <c r="C131" s="26" t="s">
        <v>7640</v>
      </c>
      <c r="D131" s="24"/>
      <c r="E131" s="17"/>
      <c r="F131" s="17"/>
      <c r="G131" s="17"/>
      <c r="H131" s="17"/>
      <c r="I131" s="26" t="s">
        <v>209</v>
      </c>
      <c r="J131" s="32"/>
      <c r="K131" s="17"/>
      <c r="L131" s="17"/>
      <c r="M131" s="17"/>
      <c r="N131" s="17"/>
      <c r="O131" s="17"/>
      <c r="P131" s="59" t="s">
        <v>7515</v>
      </c>
      <c r="Q131" s="12"/>
      <c r="R131" s="12"/>
      <c r="S131" s="12"/>
      <c r="T131" s="12"/>
      <c r="U131" s="12"/>
      <c r="V131" s="12"/>
      <c r="Z131" s="12"/>
      <c r="AA131" s="12" t="n">
        <v>5</v>
      </c>
      <c r="AB131" s="12"/>
      <c r="AC131" s="12"/>
      <c r="AD131" s="12"/>
      <c r="AE131" s="12"/>
    </row>
    <row r="132" customFormat="false" ht="15.75" hidden="false" customHeight="false" outlineLevel="0" collapsed="false">
      <c r="A132" s="12" t="str">
        <f aca="false">IF((AA132&gt;=4), "Y", "N")</f>
        <v>Y</v>
      </c>
      <c r="B132" s="74"/>
      <c r="C132" s="26" t="s">
        <v>7641</v>
      </c>
      <c r="D132" s="24"/>
      <c r="E132" s="17"/>
      <c r="F132" s="17"/>
      <c r="G132" s="17"/>
      <c r="H132" s="17"/>
      <c r="I132" s="26" t="s">
        <v>209</v>
      </c>
      <c r="J132" s="32"/>
      <c r="K132" s="17"/>
      <c r="L132" s="17"/>
      <c r="M132" s="17"/>
      <c r="N132" s="17"/>
      <c r="O132" s="17"/>
      <c r="P132" s="59" t="s">
        <v>7515</v>
      </c>
      <c r="Q132" s="12"/>
      <c r="R132" s="12"/>
      <c r="S132" s="12"/>
      <c r="T132" s="12"/>
      <c r="U132" s="12"/>
      <c r="V132" s="12"/>
      <c r="Z132" s="12"/>
      <c r="AA132" s="12" t="n">
        <v>5</v>
      </c>
      <c r="AB132" s="12"/>
      <c r="AC132" s="12"/>
      <c r="AD132" s="12"/>
      <c r="AE132" s="12"/>
    </row>
    <row r="133" customFormat="false" ht="15.75" hidden="false" customHeight="false" outlineLevel="0" collapsed="false">
      <c r="A133" s="12" t="str">
        <f aca="false">IF((AA133&gt;=4), "Y", "N")</f>
        <v>Y</v>
      </c>
      <c r="B133" s="74"/>
      <c r="C133" s="26" t="s">
        <v>7642</v>
      </c>
      <c r="D133" s="24"/>
      <c r="E133" s="17"/>
      <c r="F133" s="17"/>
      <c r="G133" s="17"/>
      <c r="H133" s="17"/>
      <c r="I133" s="26" t="s">
        <v>209</v>
      </c>
      <c r="J133" s="32"/>
      <c r="K133" s="17"/>
      <c r="L133" s="17"/>
      <c r="M133" s="17"/>
      <c r="N133" s="17"/>
      <c r="O133" s="17"/>
      <c r="P133" s="59" t="s">
        <v>7515</v>
      </c>
      <c r="Q133" s="12"/>
      <c r="R133" s="12"/>
      <c r="S133" s="12"/>
      <c r="T133" s="12"/>
      <c r="U133" s="12"/>
      <c r="V133" s="12"/>
      <c r="Z133" s="12"/>
      <c r="AA133" s="12" t="n">
        <v>5</v>
      </c>
      <c r="AB133" s="12"/>
      <c r="AC133" s="12"/>
      <c r="AD133" s="12"/>
      <c r="AE133" s="12"/>
    </row>
    <row r="134" customFormat="false" ht="15.75" hidden="false" customHeight="false" outlineLevel="0" collapsed="false">
      <c r="A134" s="12" t="str">
        <f aca="false">IF((AA134&gt;=4), "Y", "N")</f>
        <v>Y</v>
      </c>
      <c r="B134" s="74"/>
      <c r="C134" s="26" t="s">
        <v>7643</v>
      </c>
      <c r="D134" s="24"/>
      <c r="E134" s="17"/>
      <c r="F134" s="17"/>
      <c r="G134" s="17"/>
      <c r="H134" s="17"/>
      <c r="I134" s="26" t="s">
        <v>209</v>
      </c>
      <c r="J134" s="32"/>
      <c r="K134" s="17"/>
      <c r="L134" s="17"/>
      <c r="M134" s="17"/>
      <c r="N134" s="17"/>
      <c r="O134" s="17"/>
      <c r="P134" s="59" t="s">
        <v>7515</v>
      </c>
      <c r="Q134" s="12"/>
      <c r="R134" s="12"/>
      <c r="S134" s="12"/>
      <c r="T134" s="12"/>
      <c r="U134" s="12"/>
      <c r="V134" s="12"/>
      <c r="Z134" s="12"/>
      <c r="AA134" s="12" t="n">
        <v>5</v>
      </c>
      <c r="AB134" s="12"/>
      <c r="AC134" s="12"/>
      <c r="AD134" s="12"/>
      <c r="AE134" s="12"/>
    </row>
    <row r="135" customFormat="false" ht="15.75" hidden="false" customHeight="false" outlineLevel="0" collapsed="false">
      <c r="A135" s="12" t="str">
        <f aca="false">IF((AA135&gt;=4), "Y", "N")</f>
        <v>Y</v>
      </c>
      <c r="B135" s="74"/>
      <c r="C135" s="26" t="s">
        <v>7644</v>
      </c>
      <c r="D135" s="24"/>
      <c r="E135" s="17"/>
      <c r="F135" s="17"/>
      <c r="G135" s="17"/>
      <c r="H135" s="17"/>
      <c r="I135" s="26" t="s">
        <v>209</v>
      </c>
      <c r="J135" s="32"/>
      <c r="K135" s="17"/>
      <c r="L135" s="17"/>
      <c r="M135" s="17"/>
      <c r="N135" s="17"/>
      <c r="O135" s="17"/>
      <c r="P135" s="59" t="s">
        <v>7515</v>
      </c>
      <c r="Q135" s="12"/>
      <c r="R135" s="12"/>
      <c r="S135" s="12"/>
      <c r="T135" s="12"/>
      <c r="U135" s="12"/>
      <c r="V135" s="12"/>
      <c r="Z135" s="12"/>
      <c r="AA135" s="12" t="n">
        <v>5</v>
      </c>
      <c r="AB135" s="12"/>
      <c r="AC135" s="12"/>
      <c r="AD135" s="12"/>
      <c r="AE135" s="12"/>
    </row>
    <row r="136" customFormat="false" ht="15.75" hidden="false" customHeight="false" outlineLevel="0" collapsed="false">
      <c r="A136" s="12" t="str">
        <f aca="false">IF((AA136&gt;=4), "Y", "N")</f>
        <v>Y</v>
      </c>
      <c r="B136" s="74"/>
      <c r="C136" s="26" t="s">
        <v>7645</v>
      </c>
      <c r="D136" s="24"/>
      <c r="E136" s="17"/>
      <c r="F136" s="17"/>
      <c r="G136" s="17"/>
      <c r="H136" s="17"/>
      <c r="I136" s="26" t="s">
        <v>209</v>
      </c>
      <c r="J136" s="32"/>
      <c r="K136" s="17"/>
      <c r="L136" s="17"/>
      <c r="M136" s="17"/>
      <c r="N136" s="17"/>
      <c r="O136" s="17"/>
      <c r="P136" s="59" t="s">
        <v>7515</v>
      </c>
      <c r="Q136" s="12"/>
      <c r="R136" s="12"/>
      <c r="S136" s="12"/>
      <c r="T136" s="12"/>
      <c r="U136" s="12"/>
      <c r="V136" s="12"/>
      <c r="Z136" s="12"/>
      <c r="AA136" s="12" t="n">
        <v>5</v>
      </c>
      <c r="AB136" s="12"/>
      <c r="AC136" s="12"/>
      <c r="AD136" s="12"/>
      <c r="AE136" s="12"/>
    </row>
    <row r="137" customFormat="false" ht="15.75" hidden="false" customHeight="false" outlineLevel="0" collapsed="false">
      <c r="A137" s="12" t="str">
        <f aca="false">IF((AA137&gt;=4), "Y", "N")</f>
        <v>Y</v>
      </c>
      <c r="B137" s="74"/>
      <c r="C137" s="26" t="s">
        <v>7646</v>
      </c>
      <c r="D137" s="24"/>
      <c r="E137" s="17"/>
      <c r="F137" s="17"/>
      <c r="G137" s="17"/>
      <c r="H137" s="17"/>
      <c r="I137" s="26" t="s">
        <v>209</v>
      </c>
      <c r="J137" s="32"/>
      <c r="K137" s="17"/>
      <c r="L137" s="17"/>
      <c r="M137" s="17"/>
      <c r="N137" s="17"/>
      <c r="O137" s="17"/>
      <c r="P137" s="59" t="s">
        <v>7515</v>
      </c>
      <c r="Q137" s="12"/>
      <c r="R137" s="12"/>
      <c r="S137" s="12"/>
      <c r="T137" s="12"/>
      <c r="U137" s="12"/>
      <c r="V137" s="12"/>
      <c r="Z137" s="12"/>
      <c r="AA137" s="12" t="n">
        <v>5</v>
      </c>
      <c r="AB137" s="12"/>
      <c r="AC137" s="12"/>
      <c r="AD137" s="12"/>
      <c r="AE137" s="12"/>
    </row>
    <row r="138" customFormat="false" ht="15.75" hidden="false" customHeight="false" outlineLevel="0" collapsed="false">
      <c r="A138" s="12" t="str">
        <f aca="false">IF((AA138&gt;=4), "Y", "N")</f>
        <v>Y</v>
      </c>
      <c r="B138" s="74"/>
      <c r="C138" s="26" t="s">
        <v>7647</v>
      </c>
      <c r="D138" s="24"/>
      <c r="E138" s="17"/>
      <c r="F138" s="17"/>
      <c r="G138" s="17"/>
      <c r="H138" s="17"/>
      <c r="I138" s="26" t="s">
        <v>209</v>
      </c>
      <c r="J138" s="32"/>
      <c r="K138" s="17"/>
      <c r="L138" s="17"/>
      <c r="M138" s="17"/>
      <c r="N138" s="17"/>
      <c r="O138" s="17"/>
      <c r="P138" s="59" t="s">
        <v>7515</v>
      </c>
      <c r="Q138" s="12"/>
      <c r="R138" s="12"/>
      <c r="S138" s="12"/>
      <c r="T138" s="12"/>
      <c r="U138" s="12"/>
      <c r="V138" s="12"/>
      <c r="Z138" s="12"/>
      <c r="AA138" s="12" t="n">
        <v>5</v>
      </c>
      <c r="AB138" s="12"/>
      <c r="AC138" s="12"/>
      <c r="AD138" s="12"/>
      <c r="AE138" s="12"/>
    </row>
    <row r="139" customFormat="false" ht="15.75" hidden="false" customHeight="false" outlineLevel="0" collapsed="false">
      <c r="A139" s="12" t="str">
        <f aca="false">IF((AA139&gt;=4), "Y", "N")</f>
        <v>Y</v>
      </c>
      <c r="B139" s="74"/>
      <c r="C139" s="26" t="s">
        <v>7648</v>
      </c>
      <c r="D139" s="24"/>
      <c r="E139" s="17"/>
      <c r="F139" s="17"/>
      <c r="G139" s="17"/>
      <c r="H139" s="17"/>
      <c r="I139" s="26" t="s">
        <v>209</v>
      </c>
      <c r="J139" s="32"/>
      <c r="K139" s="17"/>
      <c r="L139" s="17"/>
      <c r="M139" s="17"/>
      <c r="N139" s="17"/>
      <c r="O139" s="17"/>
      <c r="P139" s="59" t="s">
        <v>7515</v>
      </c>
      <c r="Q139" s="12"/>
      <c r="R139" s="12"/>
      <c r="S139" s="12"/>
      <c r="T139" s="12"/>
      <c r="U139" s="12"/>
      <c r="V139" s="12"/>
      <c r="Z139" s="12"/>
      <c r="AA139" s="12" t="n">
        <v>5</v>
      </c>
      <c r="AB139" s="12"/>
      <c r="AC139" s="12"/>
      <c r="AD139" s="12"/>
      <c r="AE139" s="12"/>
    </row>
    <row r="140" customFormat="false" ht="15.75" hidden="false" customHeight="false" outlineLevel="0" collapsed="false">
      <c r="A140" s="12" t="str">
        <f aca="false">IF((AA140&gt;=4), "Y", "N")</f>
        <v>Y</v>
      </c>
      <c r="B140" s="74"/>
      <c r="C140" s="26" t="s">
        <v>7649</v>
      </c>
      <c r="D140" s="24"/>
      <c r="E140" s="17"/>
      <c r="F140" s="17"/>
      <c r="G140" s="17"/>
      <c r="H140" s="17"/>
      <c r="I140" s="26" t="s">
        <v>209</v>
      </c>
      <c r="J140" s="32"/>
      <c r="K140" s="17"/>
      <c r="L140" s="17"/>
      <c r="M140" s="17"/>
      <c r="N140" s="17"/>
      <c r="O140" s="17"/>
      <c r="P140" s="59" t="s">
        <v>7515</v>
      </c>
      <c r="Q140" s="12"/>
      <c r="R140" s="12"/>
      <c r="S140" s="12"/>
      <c r="T140" s="12"/>
      <c r="U140" s="12"/>
      <c r="V140" s="12"/>
      <c r="Z140" s="12"/>
      <c r="AA140" s="12" t="n">
        <v>5</v>
      </c>
      <c r="AB140" s="12"/>
      <c r="AC140" s="12"/>
      <c r="AD140" s="12"/>
      <c r="AE140" s="12"/>
    </row>
    <row r="141" customFormat="false" ht="15.75" hidden="false" customHeight="false" outlineLevel="0" collapsed="false">
      <c r="A141" s="12" t="str">
        <f aca="false">IF((AA141&gt;=4), "Y", "N")</f>
        <v>Y</v>
      </c>
      <c r="B141" s="74"/>
      <c r="C141" s="26" t="s">
        <v>7650</v>
      </c>
      <c r="D141" s="24"/>
      <c r="E141" s="17"/>
      <c r="F141" s="17"/>
      <c r="G141" s="17"/>
      <c r="H141" s="17"/>
      <c r="I141" s="26" t="s">
        <v>209</v>
      </c>
      <c r="J141" s="32"/>
      <c r="K141" s="17"/>
      <c r="L141" s="17"/>
      <c r="M141" s="17"/>
      <c r="N141" s="17"/>
      <c r="O141" s="17"/>
      <c r="P141" s="59" t="s">
        <v>7515</v>
      </c>
      <c r="Q141" s="12"/>
      <c r="R141" s="12"/>
      <c r="S141" s="12"/>
      <c r="T141" s="12"/>
      <c r="U141" s="12"/>
      <c r="V141" s="12"/>
      <c r="Z141" s="12"/>
      <c r="AA141" s="12" t="n">
        <v>5</v>
      </c>
      <c r="AB141" s="12"/>
      <c r="AC141" s="12"/>
      <c r="AD141" s="12"/>
      <c r="AE141" s="12"/>
    </row>
    <row r="142" customFormat="false" ht="15.75" hidden="false" customHeight="false" outlineLevel="0" collapsed="false">
      <c r="A142" s="12" t="str">
        <f aca="false">IF((AA142&gt;=4), "Y", "N")</f>
        <v>Y</v>
      </c>
      <c r="B142" s="74"/>
      <c r="C142" s="26" t="s">
        <v>7651</v>
      </c>
      <c r="D142" s="24"/>
      <c r="E142" s="17"/>
      <c r="F142" s="17"/>
      <c r="G142" s="17"/>
      <c r="H142" s="17"/>
      <c r="I142" s="26" t="s">
        <v>209</v>
      </c>
      <c r="J142" s="32"/>
      <c r="K142" s="17"/>
      <c r="L142" s="17"/>
      <c r="M142" s="17"/>
      <c r="N142" s="17"/>
      <c r="O142" s="17"/>
      <c r="P142" s="59" t="s">
        <v>7515</v>
      </c>
      <c r="Q142" s="12"/>
      <c r="R142" s="12"/>
      <c r="S142" s="12"/>
      <c r="T142" s="12"/>
      <c r="U142" s="12"/>
      <c r="V142" s="12"/>
      <c r="Z142" s="12"/>
      <c r="AA142" s="12" t="n">
        <v>5</v>
      </c>
      <c r="AB142" s="12"/>
      <c r="AC142" s="12"/>
      <c r="AD142" s="12"/>
      <c r="AE142" s="12"/>
    </row>
    <row r="143" customFormat="false" ht="15.75" hidden="false" customHeight="false" outlineLevel="0" collapsed="false">
      <c r="A143" s="12" t="str">
        <f aca="false">IF((AA143&gt;=4), "Y", "N")</f>
        <v>Y</v>
      </c>
      <c r="B143" s="74"/>
      <c r="C143" s="26" t="s">
        <v>7652</v>
      </c>
      <c r="D143" s="24"/>
      <c r="E143" s="17"/>
      <c r="F143" s="17"/>
      <c r="G143" s="17"/>
      <c r="H143" s="17"/>
      <c r="I143" s="26" t="s">
        <v>209</v>
      </c>
      <c r="J143" s="32"/>
      <c r="K143" s="17"/>
      <c r="L143" s="17"/>
      <c r="M143" s="17"/>
      <c r="N143" s="17"/>
      <c r="O143" s="17"/>
      <c r="P143" s="59" t="s">
        <v>7515</v>
      </c>
      <c r="Q143" s="12"/>
      <c r="R143" s="12"/>
      <c r="S143" s="12"/>
      <c r="T143" s="12"/>
      <c r="U143" s="12"/>
      <c r="V143" s="12"/>
      <c r="Z143" s="12"/>
      <c r="AA143" s="12" t="n">
        <v>5</v>
      </c>
      <c r="AB143" s="12"/>
      <c r="AC143" s="12"/>
      <c r="AD143" s="12"/>
      <c r="AE143" s="12"/>
    </row>
    <row r="144" customFormat="false" ht="15.75" hidden="false" customHeight="false" outlineLevel="0" collapsed="false">
      <c r="A144" s="12" t="str">
        <f aca="false">IF((AA144&gt;=4), "Y", "N")</f>
        <v>Y</v>
      </c>
      <c r="B144" s="74"/>
      <c r="C144" s="26" t="s">
        <v>7653</v>
      </c>
      <c r="D144" s="24"/>
      <c r="E144" s="17"/>
      <c r="F144" s="17"/>
      <c r="G144" s="17"/>
      <c r="H144" s="17"/>
      <c r="I144" s="26" t="s">
        <v>209</v>
      </c>
      <c r="J144" s="32"/>
      <c r="K144" s="17"/>
      <c r="L144" s="17"/>
      <c r="M144" s="17"/>
      <c r="N144" s="17"/>
      <c r="O144" s="17"/>
      <c r="P144" s="59" t="s">
        <v>7515</v>
      </c>
      <c r="Q144" s="12"/>
      <c r="R144" s="12"/>
      <c r="S144" s="12"/>
      <c r="T144" s="12"/>
      <c r="U144" s="12"/>
      <c r="V144" s="12"/>
      <c r="Z144" s="12"/>
      <c r="AA144" s="12" t="n">
        <v>5</v>
      </c>
      <c r="AB144" s="12"/>
      <c r="AC144" s="12"/>
      <c r="AD144" s="12"/>
      <c r="AE144" s="12"/>
    </row>
    <row r="145" customFormat="false" ht="15.75" hidden="false" customHeight="false" outlineLevel="0" collapsed="false">
      <c r="A145" s="12" t="str">
        <f aca="false">IF((AA145&gt;=4), "Y", "N")</f>
        <v>Y</v>
      </c>
      <c r="B145" s="74"/>
      <c r="C145" s="26" t="s">
        <v>7654</v>
      </c>
      <c r="D145" s="24"/>
      <c r="E145" s="17"/>
      <c r="F145" s="17"/>
      <c r="G145" s="17"/>
      <c r="H145" s="17"/>
      <c r="I145" s="26" t="s">
        <v>209</v>
      </c>
      <c r="J145" s="32"/>
      <c r="K145" s="17"/>
      <c r="L145" s="17"/>
      <c r="M145" s="17"/>
      <c r="N145" s="17"/>
      <c r="O145" s="17"/>
      <c r="P145" s="59" t="s">
        <v>7515</v>
      </c>
      <c r="Q145" s="12"/>
      <c r="R145" s="12"/>
      <c r="S145" s="12"/>
      <c r="T145" s="12"/>
      <c r="U145" s="12"/>
      <c r="V145" s="12"/>
      <c r="Z145" s="12"/>
      <c r="AA145" s="12" t="n">
        <v>5</v>
      </c>
      <c r="AB145" s="12"/>
      <c r="AC145" s="12"/>
      <c r="AD145" s="12"/>
      <c r="AE145" s="12"/>
    </row>
    <row r="146" customFormat="false" ht="15.75" hidden="false" customHeight="false" outlineLevel="0" collapsed="false">
      <c r="A146" s="12" t="str">
        <f aca="false">IF((AA146&gt;=4), "Y", "N")</f>
        <v>Y</v>
      </c>
      <c r="B146" s="74"/>
      <c r="C146" s="26" t="s">
        <v>7655</v>
      </c>
      <c r="D146" s="24"/>
      <c r="E146" s="17"/>
      <c r="F146" s="17"/>
      <c r="G146" s="17"/>
      <c r="H146" s="17"/>
      <c r="I146" s="26" t="s">
        <v>209</v>
      </c>
      <c r="J146" s="32"/>
      <c r="K146" s="17"/>
      <c r="L146" s="17"/>
      <c r="M146" s="17"/>
      <c r="N146" s="17"/>
      <c r="O146" s="17"/>
      <c r="P146" s="59" t="s">
        <v>7515</v>
      </c>
      <c r="Q146" s="12"/>
      <c r="R146" s="12"/>
      <c r="S146" s="12"/>
      <c r="T146" s="12"/>
      <c r="U146" s="12"/>
      <c r="V146" s="12"/>
      <c r="Z146" s="12"/>
      <c r="AA146" s="12" t="n">
        <v>5</v>
      </c>
      <c r="AB146" s="12"/>
      <c r="AC146" s="12"/>
      <c r="AD146" s="12"/>
      <c r="AE146" s="12"/>
    </row>
    <row r="147" customFormat="false" ht="15.75" hidden="false" customHeight="false" outlineLevel="0" collapsed="false">
      <c r="A147" s="12" t="str">
        <f aca="false">IF((AA147&gt;=4), "Y", "N")</f>
        <v>Y</v>
      </c>
      <c r="B147" s="74"/>
      <c r="C147" s="26" t="s">
        <v>7656</v>
      </c>
      <c r="D147" s="24"/>
      <c r="E147" s="17"/>
      <c r="F147" s="17"/>
      <c r="G147" s="17"/>
      <c r="H147" s="17"/>
      <c r="I147" s="26" t="s">
        <v>209</v>
      </c>
      <c r="J147" s="32"/>
      <c r="K147" s="17"/>
      <c r="L147" s="17"/>
      <c r="M147" s="17"/>
      <c r="N147" s="17"/>
      <c r="O147" s="17"/>
      <c r="P147" s="59" t="s">
        <v>7515</v>
      </c>
      <c r="Q147" s="12"/>
      <c r="R147" s="12"/>
      <c r="S147" s="12"/>
      <c r="T147" s="12"/>
      <c r="U147" s="12"/>
      <c r="V147" s="12"/>
      <c r="Z147" s="12"/>
      <c r="AA147" s="12" t="n">
        <v>5</v>
      </c>
      <c r="AB147" s="12"/>
      <c r="AC147" s="12"/>
      <c r="AD147" s="12"/>
      <c r="AE147" s="12"/>
    </row>
    <row r="148" customFormat="false" ht="15.75" hidden="false" customHeight="false" outlineLevel="0" collapsed="false">
      <c r="A148" s="12" t="str">
        <f aca="false">IF((AA148&gt;=4), "Y", "N")</f>
        <v>Y</v>
      </c>
      <c r="B148" s="74"/>
      <c r="C148" s="26" t="s">
        <v>7656</v>
      </c>
      <c r="D148" s="24"/>
      <c r="E148" s="17"/>
      <c r="F148" s="17"/>
      <c r="G148" s="17"/>
      <c r="H148" s="17"/>
      <c r="I148" s="26" t="s">
        <v>209</v>
      </c>
      <c r="J148" s="32"/>
      <c r="K148" s="17"/>
      <c r="L148" s="17"/>
      <c r="M148" s="17"/>
      <c r="N148" s="17"/>
      <c r="O148" s="17"/>
      <c r="P148" s="59" t="s">
        <v>7515</v>
      </c>
      <c r="Q148" s="12"/>
      <c r="R148" s="12"/>
      <c r="S148" s="12"/>
      <c r="T148" s="12"/>
      <c r="U148" s="12"/>
      <c r="V148" s="12"/>
      <c r="Z148" s="12"/>
      <c r="AA148" s="12" t="n">
        <v>5</v>
      </c>
      <c r="AB148" s="12"/>
      <c r="AC148" s="12"/>
      <c r="AD148" s="12"/>
      <c r="AE148" s="12"/>
    </row>
    <row r="149" customFormat="false" ht="15.75" hidden="false" customHeight="false" outlineLevel="0" collapsed="false">
      <c r="A149" s="12" t="str">
        <f aca="false">IF((AA149&gt;=4), "Y", "N")</f>
        <v>Y</v>
      </c>
      <c r="B149" s="74"/>
      <c r="C149" s="26" t="s">
        <v>7657</v>
      </c>
      <c r="D149" s="24"/>
      <c r="E149" s="17"/>
      <c r="F149" s="17"/>
      <c r="G149" s="17"/>
      <c r="H149" s="17"/>
      <c r="I149" s="26" t="s">
        <v>209</v>
      </c>
      <c r="J149" s="32"/>
      <c r="K149" s="17"/>
      <c r="L149" s="17"/>
      <c r="M149" s="17"/>
      <c r="N149" s="17"/>
      <c r="O149" s="17"/>
      <c r="P149" s="59" t="s">
        <v>7515</v>
      </c>
      <c r="Q149" s="12"/>
      <c r="R149" s="12"/>
      <c r="S149" s="12"/>
      <c r="T149" s="12"/>
      <c r="U149" s="12"/>
      <c r="V149" s="12"/>
      <c r="Z149" s="12"/>
      <c r="AA149" s="12" t="n">
        <v>5</v>
      </c>
      <c r="AB149" s="12"/>
      <c r="AC149" s="12"/>
      <c r="AD149" s="12"/>
      <c r="AE149" s="12"/>
    </row>
    <row r="150" customFormat="false" ht="15.75" hidden="false" customHeight="false" outlineLevel="0" collapsed="false">
      <c r="A150" s="12" t="str">
        <f aca="false">IF((AA150&gt;=4), "Y", "N")</f>
        <v>Y</v>
      </c>
      <c r="B150" s="74"/>
      <c r="C150" s="26" t="s">
        <v>7658</v>
      </c>
      <c r="D150" s="24"/>
      <c r="E150" s="17"/>
      <c r="F150" s="17"/>
      <c r="G150" s="17"/>
      <c r="H150" s="17"/>
      <c r="I150" s="26" t="s">
        <v>209</v>
      </c>
      <c r="J150" s="32"/>
      <c r="K150" s="17"/>
      <c r="L150" s="17"/>
      <c r="M150" s="17"/>
      <c r="N150" s="17"/>
      <c r="O150" s="17"/>
      <c r="P150" s="59" t="s">
        <v>7515</v>
      </c>
      <c r="Q150" s="12"/>
      <c r="R150" s="12"/>
      <c r="S150" s="12"/>
      <c r="T150" s="12"/>
      <c r="U150" s="12"/>
      <c r="V150" s="12"/>
      <c r="Z150" s="12"/>
      <c r="AA150" s="12" t="n">
        <v>5</v>
      </c>
      <c r="AB150" s="12"/>
      <c r="AC150" s="12"/>
      <c r="AD150" s="12"/>
      <c r="AE150" s="12"/>
    </row>
    <row r="151" customFormat="false" ht="15.75" hidden="false" customHeight="false" outlineLevel="0" collapsed="false">
      <c r="A151" s="12" t="str">
        <f aca="false">IF((AA151&gt;=4), "Y", "N")</f>
        <v>Y</v>
      </c>
      <c r="B151" s="74"/>
      <c r="C151" s="26" t="s">
        <v>7659</v>
      </c>
      <c r="D151" s="24"/>
      <c r="E151" s="17"/>
      <c r="F151" s="17"/>
      <c r="G151" s="17"/>
      <c r="H151" s="17"/>
      <c r="I151" s="26" t="s">
        <v>209</v>
      </c>
      <c r="J151" s="32"/>
      <c r="K151" s="17"/>
      <c r="L151" s="17"/>
      <c r="M151" s="17"/>
      <c r="N151" s="17"/>
      <c r="O151" s="17"/>
      <c r="P151" s="59" t="s">
        <v>7515</v>
      </c>
      <c r="Q151" s="12"/>
      <c r="R151" s="12"/>
      <c r="S151" s="12"/>
      <c r="T151" s="12"/>
      <c r="U151" s="12"/>
      <c r="V151" s="12"/>
      <c r="Z151" s="12"/>
      <c r="AA151" s="12" t="n">
        <v>5</v>
      </c>
      <c r="AB151" s="12"/>
      <c r="AC151" s="12"/>
      <c r="AD151" s="12"/>
      <c r="AE151" s="12"/>
    </row>
    <row r="152" customFormat="false" ht="15.75" hidden="false" customHeight="false" outlineLevel="0" collapsed="false">
      <c r="A152" s="12" t="str">
        <f aca="false">IF((AA152&gt;=4), "Y", "N")</f>
        <v>Y</v>
      </c>
      <c r="B152" s="74"/>
      <c r="C152" s="26" t="s">
        <v>7660</v>
      </c>
      <c r="D152" s="24"/>
      <c r="E152" s="17"/>
      <c r="F152" s="17"/>
      <c r="G152" s="17"/>
      <c r="H152" s="17"/>
      <c r="I152" s="26" t="s">
        <v>209</v>
      </c>
      <c r="J152" s="32"/>
      <c r="K152" s="17"/>
      <c r="L152" s="17"/>
      <c r="M152" s="17"/>
      <c r="N152" s="17"/>
      <c r="O152" s="17"/>
      <c r="P152" s="59" t="s">
        <v>7515</v>
      </c>
      <c r="Q152" s="12"/>
      <c r="R152" s="12"/>
      <c r="S152" s="12"/>
      <c r="T152" s="12"/>
      <c r="U152" s="12"/>
      <c r="V152" s="12"/>
      <c r="Z152" s="12"/>
      <c r="AA152" s="12" t="n">
        <v>5</v>
      </c>
      <c r="AB152" s="12"/>
      <c r="AC152" s="12"/>
      <c r="AD152" s="12"/>
      <c r="AE152" s="12"/>
    </row>
    <row r="153" customFormat="false" ht="15.75" hidden="false" customHeight="false" outlineLevel="0" collapsed="false">
      <c r="A153" s="12" t="str">
        <f aca="false">IF((AA153&gt;=4), "Y", "N")</f>
        <v>Y</v>
      </c>
      <c r="B153" s="74"/>
      <c r="C153" s="26" t="s">
        <v>7661</v>
      </c>
      <c r="D153" s="24"/>
      <c r="E153" s="17"/>
      <c r="F153" s="17"/>
      <c r="G153" s="17"/>
      <c r="H153" s="17"/>
      <c r="I153" s="26" t="s">
        <v>209</v>
      </c>
      <c r="J153" s="32"/>
      <c r="K153" s="17"/>
      <c r="L153" s="17"/>
      <c r="M153" s="17"/>
      <c r="N153" s="17"/>
      <c r="O153" s="17"/>
      <c r="P153" s="59" t="s">
        <v>7515</v>
      </c>
      <c r="Q153" s="12"/>
      <c r="R153" s="12"/>
      <c r="S153" s="12"/>
      <c r="T153" s="12"/>
      <c r="U153" s="12"/>
      <c r="V153" s="12"/>
      <c r="Z153" s="12"/>
      <c r="AA153" s="12" t="n">
        <v>5</v>
      </c>
      <c r="AB153" s="12"/>
      <c r="AC153" s="12"/>
      <c r="AD153" s="12"/>
      <c r="AE153" s="12"/>
    </row>
    <row r="154" customFormat="false" ht="15.75" hidden="false" customHeight="false" outlineLevel="0" collapsed="false">
      <c r="A154" s="12" t="str">
        <f aca="false">IF((AA154&gt;=4), "Y", "N")</f>
        <v>Y</v>
      </c>
      <c r="B154" s="74"/>
      <c r="C154" s="26" t="s">
        <v>7662</v>
      </c>
      <c r="D154" s="24"/>
      <c r="E154" s="17"/>
      <c r="F154" s="17"/>
      <c r="G154" s="17"/>
      <c r="H154" s="17"/>
      <c r="I154" s="26" t="s">
        <v>209</v>
      </c>
      <c r="J154" s="32"/>
      <c r="K154" s="17"/>
      <c r="L154" s="17"/>
      <c r="M154" s="17"/>
      <c r="N154" s="17"/>
      <c r="O154" s="17"/>
      <c r="P154" s="59" t="s">
        <v>7515</v>
      </c>
      <c r="Q154" s="12"/>
      <c r="R154" s="12"/>
      <c r="S154" s="12"/>
      <c r="T154" s="12"/>
      <c r="U154" s="12"/>
      <c r="V154" s="12"/>
      <c r="Z154" s="12"/>
      <c r="AA154" s="12" t="n">
        <v>5</v>
      </c>
      <c r="AB154" s="12"/>
      <c r="AC154" s="12"/>
      <c r="AD154" s="12"/>
      <c r="AE154" s="12"/>
    </row>
    <row r="155" customFormat="false" ht="15.75" hidden="false" customHeight="false" outlineLevel="0" collapsed="false">
      <c r="A155" s="12" t="str">
        <f aca="false">IF((AA155&gt;=4), "Y", "N")</f>
        <v>Y</v>
      </c>
      <c r="B155" s="74"/>
      <c r="C155" s="26" t="s">
        <v>7663</v>
      </c>
      <c r="D155" s="24"/>
      <c r="E155" s="17"/>
      <c r="F155" s="17"/>
      <c r="G155" s="17"/>
      <c r="H155" s="17"/>
      <c r="I155" s="26" t="s">
        <v>209</v>
      </c>
      <c r="J155" s="32"/>
      <c r="K155" s="17"/>
      <c r="L155" s="17"/>
      <c r="M155" s="17"/>
      <c r="N155" s="17"/>
      <c r="O155" s="17"/>
      <c r="P155" s="59" t="s">
        <v>7515</v>
      </c>
      <c r="Q155" s="12"/>
      <c r="R155" s="12"/>
      <c r="S155" s="12"/>
      <c r="T155" s="12"/>
      <c r="U155" s="12"/>
      <c r="V155" s="12"/>
      <c r="Z155" s="12"/>
      <c r="AA155" s="12" t="n">
        <v>5</v>
      </c>
      <c r="AB155" s="12"/>
      <c r="AC155" s="12"/>
      <c r="AD155" s="12"/>
      <c r="AE155" s="12"/>
    </row>
    <row r="156" customFormat="false" ht="15.75" hidden="false" customHeight="false" outlineLevel="0" collapsed="false">
      <c r="A156" s="12" t="str">
        <f aca="false">IF((AA156&gt;=4), "Y", "N")</f>
        <v>Y</v>
      </c>
      <c r="B156" s="74"/>
      <c r="C156" s="26" t="s">
        <v>7664</v>
      </c>
      <c r="D156" s="24"/>
      <c r="E156" s="17"/>
      <c r="F156" s="17"/>
      <c r="G156" s="17"/>
      <c r="H156" s="17"/>
      <c r="I156" s="26" t="s">
        <v>209</v>
      </c>
      <c r="J156" s="32"/>
      <c r="K156" s="17"/>
      <c r="L156" s="17"/>
      <c r="M156" s="17"/>
      <c r="N156" s="17"/>
      <c r="O156" s="17"/>
      <c r="P156" s="59" t="s">
        <v>7515</v>
      </c>
      <c r="Q156" s="12"/>
      <c r="R156" s="12"/>
      <c r="S156" s="12"/>
      <c r="T156" s="12"/>
      <c r="U156" s="12"/>
      <c r="V156" s="12"/>
      <c r="Z156" s="12"/>
      <c r="AA156" s="12" t="n">
        <v>5</v>
      </c>
      <c r="AB156" s="12"/>
      <c r="AC156" s="12"/>
      <c r="AD156" s="12"/>
      <c r="AE156" s="12"/>
    </row>
    <row r="157" customFormat="false" ht="15.75" hidden="false" customHeight="false" outlineLevel="0" collapsed="false">
      <c r="A157" s="12" t="str">
        <f aca="false">IF((AA157&gt;=4), "Y", "N")</f>
        <v>Y</v>
      </c>
      <c r="B157" s="74"/>
      <c r="C157" s="26" t="s">
        <v>7665</v>
      </c>
      <c r="D157" s="24"/>
      <c r="E157" s="17"/>
      <c r="F157" s="17"/>
      <c r="G157" s="17"/>
      <c r="H157" s="17"/>
      <c r="I157" s="26" t="s">
        <v>209</v>
      </c>
      <c r="J157" s="32"/>
      <c r="K157" s="17"/>
      <c r="L157" s="17"/>
      <c r="M157" s="17"/>
      <c r="N157" s="17"/>
      <c r="O157" s="17"/>
      <c r="P157" s="59" t="s">
        <v>7515</v>
      </c>
      <c r="Q157" s="12"/>
      <c r="R157" s="12"/>
      <c r="S157" s="12"/>
      <c r="T157" s="12"/>
      <c r="U157" s="12"/>
      <c r="V157" s="12"/>
      <c r="Z157" s="12"/>
      <c r="AA157" s="12" t="n">
        <v>5</v>
      </c>
      <c r="AB157" s="12"/>
      <c r="AC157" s="12"/>
      <c r="AD157" s="12"/>
      <c r="AE157" s="12"/>
    </row>
    <row r="158" customFormat="false" ht="15.75" hidden="false" customHeight="false" outlineLevel="0" collapsed="false">
      <c r="A158" s="12" t="str">
        <f aca="false">IF((AA158&gt;=4), "Y", "N")</f>
        <v>Y</v>
      </c>
      <c r="B158" s="74"/>
      <c r="C158" s="26" t="s">
        <v>7666</v>
      </c>
      <c r="D158" s="24"/>
      <c r="E158" s="17"/>
      <c r="F158" s="17"/>
      <c r="G158" s="17"/>
      <c r="H158" s="17"/>
      <c r="I158" s="26" t="s">
        <v>209</v>
      </c>
      <c r="J158" s="32"/>
      <c r="K158" s="17"/>
      <c r="L158" s="17"/>
      <c r="M158" s="17"/>
      <c r="N158" s="17"/>
      <c r="O158" s="17"/>
      <c r="P158" s="59" t="s">
        <v>7515</v>
      </c>
      <c r="Q158" s="12"/>
      <c r="R158" s="12"/>
      <c r="S158" s="12"/>
      <c r="T158" s="12"/>
      <c r="U158" s="12"/>
      <c r="V158" s="12"/>
      <c r="Z158" s="12"/>
      <c r="AA158" s="12" t="n">
        <v>5</v>
      </c>
      <c r="AB158" s="12"/>
      <c r="AC158" s="12"/>
      <c r="AD158" s="12"/>
      <c r="AE158" s="12"/>
    </row>
    <row r="159" customFormat="false" ht="15.75" hidden="false" customHeight="false" outlineLevel="0" collapsed="false">
      <c r="A159" s="12" t="str">
        <f aca="false">IF((AA159&gt;=4), "Y", "N")</f>
        <v>Y</v>
      </c>
      <c r="B159" s="74"/>
      <c r="C159" s="26" t="s">
        <v>7667</v>
      </c>
      <c r="D159" s="24"/>
      <c r="E159" s="17"/>
      <c r="F159" s="17"/>
      <c r="G159" s="17"/>
      <c r="H159" s="17"/>
      <c r="I159" s="26" t="s">
        <v>209</v>
      </c>
      <c r="J159" s="32"/>
      <c r="K159" s="17"/>
      <c r="L159" s="17"/>
      <c r="M159" s="17"/>
      <c r="N159" s="17"/>
      <c r="O159" s="17"/>
      <c r="P159" s="59" t="s">
        <v>7515</v>
      </c>
      <c r="Q159" s="12"/>
      <c r="R159" s="12"/>
      <c r="S159" s="12"/>
      <c r="T159" s="12"/>
      <c r="U159" s="12"/>
      <c r="V159" s="12"/>
      <c r="Z159" s="12"/>
      <c r="AA159" s="12" t="n">
        <v>5</v>
      </c>
      <c r="AB159" s="12"/>
      <c r="AC159" s="12"/>
      <c r="AD159" s="12"/>
      <c r="AE159" s="12"/>
    </row>
    <row r="160" customFormat="false" ht="15.75" hidden="false" customHeight="false" outlineLevel="0" collapsed="false">
      <c r="A160" s="12" t="str">
        <f aca="false">IF((AA160&gt;=4), "Y", "N")</f>
        <v>Y</v>
      </c>
      <c r="B160" s="74"/>
      <c r="C160" s="26" t="s">
        <v>7668</v>
      </c>
      <c r="D160" s="24"/>
      <c r="E160" s="17"/>
      <c r="F160" s="17"/>
      <c r="G160" s="17"/>
      <c r="H160" s="17"/>
      <c r="I160" s="26" t="s">
        <v>209</v>
      </c>
      <c r="J160" s="32"/>
      <c r="K160" s="17"/>
      <c r="L160" s="17"/>
      <c r="M160" s="17"/>
      <c r="N160" s="17"/>
      <c r="O160" s="17"/>
      <c r="P160" s="59" t="s">
        <v>7515</v>
      </c>
      <c r="Q160" s="12"/>
      <c r="R160" s="12"/>
      <c r="S160" s="12"/>
      <c r="T160" s="12"/>
      <c r="U160" s="12"/>
      <c r="V160" s="12"/>
      <c r="Z160" s="12"/>
      <c r="AA160" s="12" t="n">
        <v>5</v>
      </c>
      <c r="AB160" s="12"/>
      <c r="AC160" s="12"/>
      <c r="AD160" s="12"/>
      <c r="AE160" s="12"/>
    </row>
    <row r="161" customFormat="false" ht="15.75" hidden="false" customHeight="false" outlineLevel="0" collapsed="false">
      <c r="A161" s="12" t="str">
        <f aca="false">IF((AA161&gt;=4), "Y", "N")</f>
        <v>Y</v>
      </c>
      <c r="B161" s="74"/>
      <c r="C161" s="125" t="s">
        <v>7669</v>
      </c>
      <c r="D161" s="24"/>
      <c r="E161" s="17"/>
      <c r="F161" s="17"/>
      <c r="G161" s="17"/>
      <c r="H161" s="17"/>
      <c r="I161" s="26" t="s">
        <v>209</v>
      </c>
      <c r="J161" s="32"/>
      <c r="K161" s="17"/>
      <c r="L161" s="17"/>
      <c r="M161" s="17"/>
      <c r="N161" s="17"/>
      <c r="O161" s="17"/>
      <c r="P161" s="59" t="s">
        <v>7515</v>
      </c>
      <c r="Q161" s="12"/>
      <c r="R161" s="12"/>
      <c r="S161" s="12"/>
      <c r="T161" s="12"/>
      <c r="U161" s="12"/>
      <c r="V161" s="12"/>
      <c r="Z161" s="12"/>
      <c r="AA161" s="12" t="n">
        <v>5</v>
      </c>
      <c r="AB161" s="12"/>
      <c r="AC161" s="12"/>
      <c r="AD161" s="12"/>
      <c r="AE161" s="12"/>
    </row>
    <row r="162" customFormat="false" ht="15.75" hidden="false" customHeight="false" outlineLevel="0" collapsed="false">
      <c r="A162" s="12" t="str">
        <f aca="false">IF((AA162&gt;=4), "Y", "N")</f>
        <v>Y</v>
      </c>
      <c r="B162" s="74"/>
      <c r="C162" s="26" t="s">
        <v>7670</v>
      </c>
      <c r="D162" s="24"/>
      <c r="E162" s="17"/>
      <c r="F162" s="17"/>
      <c r="G162" s="17"/>
      <c r="H162" s="17"/>
      <c r="I162" s="26" t="s">
        <v>209</v>
      </c>
      <c r="J162" s="32"/>
      <c r="K162" s="17"/>
      <c r="L162" s="17"/>
      <c r="M162" s="17"/>
      <c r="N162" s="17"/>
      <c r="O162" s="17"/>
      <c r="P162" s="59" t="s">
        <v>7515</v>
      </c>
      <c r="Q162" s="12"/>
      <c r="R162" s="12"/>
      <c r="S162" s="12"/>
      <c r="T162" s="12"/>
      <c r="U162" s="12"/>
      <c r="V162" s="12"/>
      <c r="Z162" s="12"/>
      <c r="AA162" s="12" t="n">
        <v>5</v>
      </c>
      <c r="AB162" s="12"/>
      <c r="AC162" s="12"/>
      <c r="AD162" s="12"/>
      <c r="AE162" s="12"/>
    </row>
    <row r="163" customFormat="false" ht="15.75" hidden="false" customHeight="false" outlineLevel="0" collapsed="false">
      <c r="A163" s="12" t="str">
        <f aca="false">IF((AA163&gt;=4), "Y", "N")</f>
        <v>Y</v>
      </c>
      <c r="B163" s="74"/>
      <c r="C163" s="26" t="s">
        <v>7671</v>
      </c>
      <c r="D163" s="24"/>
      <c r="E163" s="17"/>
      <c r="F163" s="17"/>
      <c r="G163" s="17"/>
      <c r="H163" s="17"/>
      <c r="I163" s="26" t="s">
        <v>209</v>
      </c>
      <c r="J163" s="32"/>
      <c r="K163" s="17"/>
      <c r="L163" s="17"/>
      <c r="M163" s="17"/>
      <c r="N163" s="17"/>
      <c r="O163" s="17"/>
      <c r="P163" s="59" t="s">
        <v>7515</v>
      </c>
      <c r="Q163" s="12"/>
      <c r="R163" s="12"/>
      <c r="S163" s="12"/>
      <c r="T163" s="12"/>
      <c r="U163" s="12"/>
      <c r="V163" s="12"/>
      <c r="Z163" s="12"/>
      <c r="AA163" s="12" t="n">
        <v>5</v>
      </c>
      <c r="AB163" s="12"/>
      <c r="AC163" s="12"/>
      <c r="AD163" s="12"/>
      <c r="AE163" s="12"/>
    </row>
    <row r="164" customFormat="false" ht="15.75" hidden="false" customHeight="false" outlineLevel="0" collapsed="false">
      <c r="A164" s="12" t="str">
        <f aca="false">IF((AA164&gt;=4), "Y", "N")</f>
        <v>Y</v>
      </c>
      <c r="B164" s="74"/>
      <c r="C164" s="26" t="s">
        <v>2359</v>
      </c>
      <c r="D164" s="24"/>
      <c r="E164" s="17"/>
      <c r="F164" s="17"/>
      <c r="G164" s="17"/>
      <c r="H164" s="17"/>
      <c r="I164" s="26" t="s">
        <v>209</v>
      </c>
      <c r="J164" s="32"/>
      <c r="K164" s="17"/>
      <c r="L164" s="17"/>
      <c r="M164" s="17"/>
      <c r="N164" s="17"/>
      <c r="O164" s="17"/>
      <c r="P164" s="59" t="s">
        <v>7515</v>
      </c>
      <c r="Q164" s="12"/>
      <c r="R164" s="12"/>
      <c r="S164" s="12"/>
      <c r="T164" s="12"/>
      <c r="U164" s="12"/>
      <c r="V164" s="12"/>
      <c r="Z164" s="12"/>
      <c r="AA164" s="12" t="n">
        <v>5</v>
      </c>
      <c r="AB164" s="12"/>
      <c r="AC164" s="12"/>
      <c r="AD164" s="12"/>
      <c r="AE164" s="12"/>
    </row>
    <row r="165" customFormat="false" ht="15.75" hidden="false" customHeight="false" outlineLevel="0" collapsed="false">
      <c r="A165" s="12" t="str">
        <f aca="false">IF((AA165&gt;=4), "Y", "N")</f>
        <v>Y</v>
      </c>
      <c r="B165" s="74"/>
      <c r="C165" s="26" t="s">
        <v>7672</v>
      </c>
      <c r="D165" s="24"/>
      <c r="E165" s="17"/>
      <c r="F165" s="17"/>
      <c r="G165" s="17"/>
      <c r="H165" s="17"/>
      <c r="I165" s="26" t="s">
        <v>209</v>
      </c>
      <c r="J165" s="32"/>
      <c r="K165" s="17"/>
      <c r="L165" s="17"/>
      <c r="M165" s="17"/>
      <c r="N165" s="17"/>
      <c r="O165" s="17"/>
      <c r="P165" s="59" t="s">
        <v>7515</v>
      </c>
      <c r="Q165" s="12"/>
      <c r="R165" s="12"/>
      <c r="S165" s="12"/>
      <c r="T165" s="12"/>
      <c r="U165" s="12"/>
      <c r="V165" s="12"/>
      <c r="Z165" s="12"/>
      <c r="AA165" s="12" t="n">
        <v>5</v>
      </c>
      <c r="AB165" s="12"/>
      <c r="AC165" s="12"/>
      <c r="AD165" s="12"/>
      <c r="AE165" s="12"/>
    </row>
    <row r="166" customFormat="false" ht="15.75" hidden="false" customHeight="false" outlineLevel="0" collapsed="false">
      <c r="A166" s="12" t="str">
        <f aca="false">IF((AA166&gt;=4), "Y", "N")</f>
        <v>Y</v>
      </c>
      <c r="B166" s="74"/>
      <c r="C166" s="26" t="s">
        <v>7673</v>
      </c>
      <c r="D166" s="24"/>
      <c r="E166" s="17"/>
      <c r="F166" s="17"/>
      <c r="G166" s="17"/>
      <c r="H166" s="17"/>
      <c r="I166" s="26" t="s">
        <v>209</v>
      </c>
      <c r="J166" s="32"/>
      <c r="K166" s="17"/>
      <c r="L166" s="17"/>
      <c r="M166" s="17"/>
      <c r="N166" s="17"/>
      <c r="O166" s="17"/>
      <c r="P166" s="59" t="s">
        <v>7515</v>
      </c>
      <c r="Q166" s="12"/>
      <c r="R166" s="12"/>
      <c r="S166" s="12"/>
      <c r="T166" s="12"/>
      <c r="U166" s="12"/>
      <c r="V166" s="12"/>
      <c r="Z166" s="12"/>
      <c r="AA166" s="12" t="n">
        <v>5</v>
      </c>
      <c r="AB166" s="12"/>
      <c r="AC166" s="12"/>
      <c r="AD166" s="12"/>
      <c r="AE166" s="12"/>
    </row>
    <row r="167" customFormat="false" ht="15.75" hidden="false" customHeight="false" outlineLevel="0" collapsed="false">
      <c r="A167" s="12" t="str">
        <f aca="false">IF((AA167&gt;=4), "Y", "N")</f>
        <v>Y</v>
      </c>
      <c r="B167" s="74"/>
      <c r="C167" s="26" t="s">
        <v>7674</v>
      </c>
      <c r="D167" s="24"/>
      <c r="E167" s="17"/>
      <c r="F167" s="17"/>
      <c r="G167" s="17"/>
      <c r="H167" s="17"/>
      <c r="I167" s="26" t="s">
        <v>209</v>
      </c>
      <c r="J167" s="32"/>
      <c r="K167" s="17"/>
      <c r="L167" s="17"/>
      <c r="M167" s="17"/>
      <c r="N167" s="17"/>
      <c r="O167" s="17"/>
      <c r="P167" s="59" t="s">
        <v>7515</v>
      </c>
      <c r="Q167" s="12"/>
      <c r="R167" s="12"/>
      <c r="S167" s="12"/>
      <c r="T167" s="12"/>
      <c r="U167" s="12"/>
      <c r="V167" s="12"/>
      <c r="Z167" s="12"/>
      <c r="AA167" s="12" t="n">
        <v>5</v>
      </c>
      <c r="AB167" s="12"/>
      <c r="AC167" s="12"/>
      <c r="AD167" s="12"/>
      <c r="AE167" s="12"/>
    </row>
    <row r="168" customFormat="false" ht="15.75" hidden="false" customHeight="false" outlineLevel="0" collapsed="false">
      <c r="A168" s="12" t="str">
        <f aca="false">IF((AA168&gt;=4), "Y", "N")</f>
        <v>Y</v>
      </c>
      <c r="B168" s="74"/>
      <c r="C168" s="26" t="s">
        <v>7675</v>
      </c>
      <c r="D168" s="24"/>
      <c r="E168" s="17"/>
      <c r="F168" s="17"/>
      <c r="G168" s="17"/>
      <c r="H168" s="17"/>
      <c r="I168" s="26" t="s">
        <v>209</v>
      </c>
      <c r="J168" s="32"/>
      <c r="K168" s="17"/>
      <c r="L168" s="17"/>
      <c r="M168" s="17"/>
      <c r="N168" s="17"/>
      <c r="O168" s="17"/>
      <c r="P168" s="59" t="s">
        <v>7515</v>
      </c>
      <c r="Q168" s="12"/>
      <c r="R168" s="12"/>
      <c r="S168" s="12"/>
      <c r="T168" s="12"/>
      <c r="U168" s="12"/>
      <c r="V168" s="12"/>
      <c r="Z168" s="12"/>
      <c r="AA168" s="12" t="n">
        <v>5</v>
      </c>
      <c r="AB168" s="12"/>
      <c r="AC168" s="12"/>
      <c r="AD168" s="12"/>
      <c r="AE168" s="12"/>
    </row>
    <row r="169" customFormat="false" ht="15.75" hidden="false" customHeight="false" outlineLevel="0" collapsed="false">
      <c r="A169" s="12" t="str">
        <f aca="false">IF((AA169&gt;=4), "Y", "N")</f>
        <v>Y</v>
      </c>
      <c r="B169" s="74"/>
      <c r="C169" s="26" t="s">
        <v>7676</v>
      </c>
      <c r="D169" s="24"/>
      <c r="E169" s="17"/>
      <c r="F169" s="17"/>
      <c r="G169" s="17"/>
      <c r="H169" s="17"/>
      <c r="I169" s="26" t="s">
        <v>209</v>
      </c>
      <c r="J169" s="32"/>
      <c r="K169" s="17"/>
      <c r="L169" s="17"/>
      <c r="M169" s="17"/>
      <c r="N169" s="17"/>
      <c r="O169" s="17"/>
      <c r="P169" s="59" t="s">
        <v>7515</v>
      </c>
      <c r="Q169" s="12"/>
      <c r="R169" s="12"/>
      <c r="S169" s="12"/>
      <c r="T169" s="12"/>
      <c r="U169" s="12"/>
      <c r="V169" s="12"/>
      <c r="Z169" s="12"/>
      <c r="AA169" s="12" t="n">
        <v>5</v>
      </c>
      <c r="AB169" s="12"/>
      <c r="AC169" s="12"/>
      <c r="AD169" s="12"/>
      <c r="AE169" s="12"/>
    </row>
    <row r="170" customFormat="false" ht="15.75" hidden="false" customHeight="false" outlineLevel="0" collapsed="false">
      <c r="A170" s="12" t="str">
        <f aca="false">IF((AA170&gt;=4), "Y", "N")</f>
        <v>Y</v>
      </c>
      <c r="B170" s="74"/>
      <c r="C170" s="26" t="s">
        <v>7677</v>
      </c>
      <c r="D170" s="24"/>
      <c r="E170" s="17"/>
      <c r="F170" s="17"/>
      <c r="G170" s="17"/>
      <c r="H170" s="17"/>
      <c r="I170" s="26" t="s">
        <v>209</v>
      </c>
      <c r="J170" s="32"/>
      <c r="K170" s="17"/>
      <c r="L170" s="17"/>
      <c r="M170" s="17"/>
      <c r="N170" s="17"/>
      <c r="O170" s="17"/>
      <c r="P170" s="59" t="s">
        <v>7515</v>
      </c>
      <c r="Q170" s="12"/>
      <c r="R170" s="12"/>
      <c r="S170" s="12"/>
      <c r="T170" s="12"/>
      <c r="U170" s="12"/>
      <c r="V170" s="12"/>
      <c r="Z170" s="12"/>
      <c r="AA170" s="12" t="n">
        <v>5</v>
      </c>
      <c r="AB170" s="12"/>
      <c r="AC170" s="12"/>
      <c r="AD170" s="12"/>
      <c r="AE170" s="12"/>
    </row>
    <row r="171" customFormat="false" ht="15.75" hidden="false" customHeight="false" outlineLevel="0" collapsed="false">
      <c r="A171" s="12" t="str">
        <f aca="false">IF((AA171&gt;=4), "Y", "N")</f>
        <v>Y</v>
      </c>
      <c r="B171" s="74"/>
      <c r="C171" s="26" t="s">
        <v>7678</v>
      </c>
      <c r="D171" s="24"/>
      <c r="E171" s="17"/>
      <c r="F171" s="17"/>
      <c r="G171" s="17"/>
      <c r="H171" s="17"/>
      <c r="I171" s="26" t="s">
        <v>209</v>
      </c>
      <c r="J171" s="32"/>
      <c r="K171" s="17"/>
      <c r="L171" s="17"/>
      <c r="M171" s="17"/>
      <c r="N171" s="17"/>
      <c r="O171" s="17"/>
      <c r="P171" s="59" t="s">
        <v>7515</v>
      </c>
      <c r="Q171" s="12"/>
      <c r="R171" s="12"/>
      <c r="S171" s="12"/>
      <c r="T171" s="12"/>
      <c r="U171" s="12"/>
      <c r="V171" s="12"/>
      <c r="Z171" s="12"/>
      <c r="AA171" s="12" t="n">
        <v>5</v>
      </c>
      <c r="AB171" s="12"/>
      <c r="AC171" s="12"/>
      <c r="AD171" s="12"/>
      <c r="AE171" s="12"/>
    </row>
    <row r="172" customFormat="false" ht="15.75" hidden="false" customHeight="false" outlineLevel="0" collapsed="false">
      <c r="A172" s="12" t="str">
        <f aca="false">IF((AA172&gt;=4), "Y", "N")</f>
        <v>Y</v>
      </c>
      <c r="B172" s="74"/>
      <c r="C172" s="26" t="s">
        <v>7679</v>
      </c>
      <c r="D172" s="24"/>
      <c r="E172" s="17"/>
      <c r="F172" s="17"/>
      <c r="G172" s="17"/>
      <c r="H172" s="17"/>
      <c r="I172" s="26" t="s">
        <v>209</v>
      </c>
      <c r="J172" s="32"/>
      <c r="K172" s="17"/>
      <c r="L172" s="17"/>
      <c r="M172" s="17"/>
      <c r="N172" s="17"/>
      <c r="O172" s="17"/>
      <c r="P172" s="59" t="s">
        <v>7515</v>
      </c>
      <c r="Q172" s="12"/>
      <c r="R172" s="12"/>
      <c r="S172" s="12"/>
      <c r="T172" s="12"/>
      <c r="U172" s="12"/>
      <c r="V172" s="12"/>
      <c r="Z172" s="12"/>
      <c r="AA172" s="12" t="n">
        <v>5</v>
      </c>
      <c r="AB172" s="12"/>
      <c r="AC172" s="12"/>
      <c r="AD172" s="12"/>
      <c r="AE172" s="12"/>
    </row>
    <row r="173" customFormat="false" ht="15.75" hidden="false" customHeight="false" outlineLevel="0" collapsed="false">
      <c r="A173" s="12" t="str">
        <f aca="false">IF((AA173&gt;=4), "Y", "N")</f>
        <v>Y</v>
      </c>
      <c r="B173" s="74"/>
      <c r="C173" s="26" t="s">
        <v>7680</v>
      </c>
      <c r="D173" s="24"/>
      <c r="E173" s="17"/>
      <c r="F173" s="17"/>
      <c r="G173" s="17"/>
      <c r="H173" s="17"/>
      <c r="I173" s="26" t="s">
        <v>209</v>
      </c>
      <c r="J173" s="32"/>
      <c r="K173" s="17"/>
      <c r="L173" s="17"/>
      <c r="M173" s="17"/>
      <c r="N173" s="17"/>
      <c r="O173" s="17"/>
      <c r="P173" s="59" t="s">
        <v>7515</v>
      </c>
      <c r="Q173" s="12"/>
      <c r="R173" s="12"/>
      <c r="S173" s="12"/>
      <c r="T173" s="12"/>
      <c r="U173" s="12"/>
      <c r="V173" s="12"/>
      <c r="Z173" s="12"/>
      <c r="AA173" s="12" t="n">
        <v>5</v>
      </c>
      <c r="AB173" s="12"/>
      <c r="AC173" s="12"/>
      <c r="AD173" s="12"/>
      <c r="AE173" s="12"/>
    </row>
    <row r="174" customFormat="false" ht="15.75" hidden="false" customHeight="false" outlineLevel="0" collapsed="false">
      <c r="A174" s="12" t="str">
        <f aca="false">IF((AA174&gt;=4), "Y", "N")</f>
        <v>Y</v>
      </c>
      <c r="B174" s="74"/>
      <c r="C174" s="26" t="s">
        <v>7681</v>
      </c>
      <c r="D174" s="24"/>
      <c r="E174" s="17"/>
      <c r="F174" s="17"/>
      <c r="G174" s="17"/>
      <c r="H174" s="17"/>
      <c r="I174" s="26" t="s">
        <v>209</v>
      </c>
      <c r="J174" s="32"/>
      <c r="K174" s="17"/>
      <c r="L174" s="17"/>
      <c r="M174" s="17"/>
      <c r="N174" s="17"/>
      <c r="O174" s="17"/>
      <c r="P174" s="59" t="s">
        <v>7515</v>
      </c>
      <c r="Q174" s="12"/>
      <c r="R174" s="12"/>
      <c r="S174" s="12"/>
      <c r="T174" s="12"/>
      <c r="U174" s="12"/>
      <c r="V174" s="12"/>
      <c r="Z174" s="12"/>
      <c r="AA174" s="12" t="n">
        <v>5</v>
      </c>
      <c r="AB174" s="12"/>
      <c r="AC174" s="12"/>
      <c r="AD174" s="12"/>
      <c r="AE174" s="12"/>
    </row>
    <row r="175" customFormat="false" ht="15.75" hidden="false" customHeight="false" outlineLevel="0" collapsed="false">
      <c r="A175" s="12" t="str">
        <f aca="false">IF((AA175&gt;=4), "Y", "N")</f>
        <v>Y</v>
      </c>
      <c r="B175" s="74"/>
      <c r="C175" s="26" t="s">
        <v>7682</v>
      </c>
      <c r="D175" s="24"/>
      <c r="E175" s="17"/>
      <c r="F175" s="17"/>
      <c r="G175" s="17"/>
      <c r="H175" s="17"/>
      <c r="I175" s="26" t="s">
        <v>209</v>
      </c>
      <c r="J175" s="32"/>
      <c r="K175" s="17"/>
      <c r="L175" s="17"/>
      <c r="M175" s="17"/>
      <c r="N175" s="17"/>
      <c r="O175" s="17"/>
      <c r="P175" s="59" t="s">
        <v>7515</v>
      </c>
      <c r="Q175" s="12"/>
      <c r="R175" s="12"/>
      <c r="S175" s="12"/>
      <c r="T175" s="12"/>
      <c r="U175" s="12"/>
      <c r="V175" s="12"/>
      <c r="Z175" s="12"/>
      <c r="AA175" s="12" t="n">
        <v>5</v>
      </c>
      <c r="AB175" s="12"/>
      <c r="AC175" s="12"/>
      <c r="AD175" s="12"/>
      <c r="AE175" s="12"/>
    </row>
    <row r="176" customFormat="false" ht="15.75" hidden="false" customHeight="false" outlineLevel="0" collapsed="false">
      <c r="A176" s="12" t="str">
        <f aca="false">IF((AA176&gt;=4), "Y", "N")</f>
        <v>Y</v>
      </c>
      <c r="B176" s="74"/>
      <c r="C176" s="26" t="s">
        <v>7683</v>
      </c>
      <c r="D176" s="24"/>
      <c r="E176" s="17"/>
      <c r="F176" s="17"/>
      <c r="G176" s="17"/>
      <c r="H176" s="17"/>
      <c r="I176" s="26" t="s">
        <v>209</v>
      </c>
      <c r="J176" s="32"/>
      <c r="K176" s="17"/>
      <c r="L176" s="17"/>
      <c r="M176" s="17"/>
      <c r="N176" s="17"/>
      <c r="O176" s="17"/>
      <c r="P176" s="59" t="s">
        <v>7515</v>
      </c>
      <c r="Q176" s="12"/>
      <c r="R176" s="12"/>
      <c r="S176" s="12"/>
      <c r="T176" s="12"/>
      <c r="U176" s="12"/>
      <c r="V176" s="12"/>
      <c r="Z176" s="12"/>
      <c r="AA176" s="12" t="n">
        <v>5</v>
      </c>
      <c r="AB176" s="12"/>
      <c r="AC176" s="12"/>
      <c r="AD176" s="12"/>
      <c r="AE176" s="12"/>
    </row>
    <row r="177" customFormat="false" ht="15.75" hidden="false" customHeight="false" outlineLevel="0" collapsed="false">
      <c r="A177" s="12" t="str">
        <f aca="false">IF((AA177&gt;=4), "Y", "N")</f>
        <v>Y</v>
      </c>
      <c r="B177" s="74"/>
      <c r="C177" s="26" t="s">
        <v>7684</v>
      </c>
      <c r="D177" s="24"/>
      <c r="E177" s="17"/>
      <c r="F177" s="17"/>
      <c r="G177" s="17"/>
      <c r="H177" s="17"/>
      <c r="I177" s="26" t="s">
        <v>209</v>
      </c>
      <c r="J177" s="32"/>
      <c r="K177" s="17"/>
      <c r="L177" s="17"/>
      <c r="M177" s="17"/>
      <c r="N177" s="17"/>
      <c r="O177" s="17"/>
      <c r="P177" s="59" t="s">
        <v>7515</v>
      </c>
      <c r="Q177" s="12"/>
      <c r="R177" s="12"/>
      <c r="S177" s="12"/>
      <c r="T177" s="12"/>
      <c r="U177" s="12"/>
      <c r="V177" s="12"/>
      <c r="Z177" s="12"/>
      <c r="AA177" s="12" t="n">
        <v>5</v>
      </c>
      <c r="AB177" s="12"/>
      <c r="AC177" s="12"/>
      <c r="AD177" s="12"/>
      <c r="AE177" s="12"/>
    </row>
    <row r="178" customFormat="false" ht="15.75" hidden="false" customHeight="false" outlineLevel="0" collapsed="false">
      <c r="A178" s="12" t="str">
        <f aca="false">IF((AA178&gt;=4), "Y", "N")</f>
        <v>Y</v>
      </c>
      <c r="B178" s="74"/>
      <c r="C178" s="26" t="s">
        <v>7685</v>
      </c>
      <c r="D178" s="24"/>
      <c r="E178" s="17"/>
      <c r="F178" s="17"/>
      <c r="G178" s="17"/>
      <c r="H178" s="17"/>
      <c r="I178" s="26" t="s">
        <v>209</v>
      </c>
      <c r="J178" s="32"/>
      <c r="K178" s="17"/>
      <c r="L178" s="17"/>
      <c r="M178" s="17"/>
      <c r="N178" s="17"/>
      <c r="O178" s="17"/>
      <c r="P178" s="59" t="s">
        <v>7515</v>
      </c>
      <c r="Q178" s="12"/>
      <c r="R178" s="12"/>
      <c r="S178" s="12"/>
      <c r="T178" s="12"/>
      <c r="U178" s="12"/>
      <c r="V178" s="12"/>
      <c r="Z178" s="12"/>
      <c r="AA178" s="12" t="n">
        <v>5</v>
      </c>
      <c r="AB178" s="12"/>
      <c r="AC178" s="12"/>
      <c r="AD178" s="12"/>
      <c r="AE178" s="12"/>
    </row>
    <row r="179" customFormat="false" ht="15.75" hidden="false" customHeight="false" outlineLevel="0" collapsed="false">
      <c r="A179" s="12" t="str">
        <f aca="false">IF((AA179&gt;=4), "Y", "N")</f>
        <v>Y</v>
      </c>
      <c r="B179" s="74"/>
      <c r="C179" s="26" t="s">
        <v>7686</v>
      </c>
      <c r="D179" s="24"/>
      <c r="E179" s="17"/>
      <c r="F179" s="17"/>
      <c r="G179" s="17"/>
      <c r="H179" s="17"/>
      <c r="I179" s="26" t="s">
        <v>209</v>
      </c>
      <c r="J179" s="32"/>
      <c r="K179" s="17"/>
      <c r="L179" s="17"/>
      <c r="M179" s="17"/>
      <c r="N179" s="17"/>
      <c r="O179" s="17"/>
      <c r="P179" s="59" t="s">
        <v>7515</v>
      </c>
      <c r="Q179" s="12"/>
      <c r="R179" s="12"/>
      <c r="S179" s="12"/>
      <c r="T179" s="12"/>
      <c r="U179" s="12"/>
      <c r="V179" s="12"/>
      <c r="Z179" s="12"/>
      <c r="AA179" s="12" t="n">
        <v>5</v>
      </c>
      <c r="AB179" s="12"/>
      <c r="AC179" s="12"/>
      <c r="AD179" s="12"/>
      <c r="AE179" s="12"/>
    </row>
    <row r="180" customFormat="false" ht="15.75" hidden="false" customHeight="false" outlineLevel="0" collapsed="false">
      <c r="A180" s="12" t="str">
        <f aca="false">IF((AA180&gt;=4), "Y", "N")</f>
        <v>Y</v>
      </c>
      <c r="B180" s="74"/>
      <c r="C180" s="26" t="s">
        <v>7687</v>
      </c>
      <c r="D180" s="24"/>
      <c r="E180" s="17"/>
      <c r="F180" s="17"/>
      <c r="G180" s="17"/>
      <c r="H180" s="17"/>
      <c r="I180" s="26" t="s">
        <v>209</v>
      </c>
      <c r="J180" s="32"/>
      <c r="K180" s="17"/>
      <c r="L180" s="17"/>
      <c r="M180" s="17"/>
      <c r="N180" s="17"/>
      <c r="O180" s="17"/>
      <c r="P180" s="59" t="s">
        <v>7515</v>
      </c>
      <c r="Q180" s="12"/>
      <c r="R180" s="12"/>
      <c r="S180" s="12"/>
      <c r="T180" s="12"/>
      <c r="U180" s="12"/>
      <c r="V180" s="12"/>
      <c r="Z180" s="12"/>
      <c r="AA180" s="12" t="n">
        <v>5</v>
      </c>
      <c r="AB180" s="12"/>
      <c r="AC180" s="12"/>
      <c r="AD180" s="12"/>
      <c r="AE180" s="12"/>
    </row>
    <row r="181" customFormat="false" ht="15.75" hidden="false" customHeight="false" outlineLevel="0" collapsed="false">
      <c r="A181" s="12" t="str">
        <f aca="false">IF((AA181&gt;=4), "Y", "N")</f>
        <v>Y</v>
      </c>
      <c r="B181" s="74"/>
      <c r="C181" s="26" t="s">
        <v>7688</v>
      </c>
      <c r="D181" s="24"/>
      <c r="E181" s="17"/>
      <c r="F181" s="17"/>
      <c r="G181" s="17"/>
      <c r="H181" s="17"/>
      <c r="I181" s="26" t="s">
        <v>209</v>
      </c>
      <c r="J181" s="32"/>
      <c r="K181" s="17"/>
      <c r="L181" s="17"/>
      <c r="M181" s="17"/>
      <c r="N181" s="17"/>
      <c r="O181" s="17"/>
      <c r="P181" s="59" t="s">
        <v>7515</v>
      </c>
      <c r="Q181" s="12"/>
      <c r="R181" s="12"/>
      <c r="S181" s="12"/>
      <c r="T181" s="12"/>
      <c r="U181" s="12"/>
      <c r="V181" s="12"/>
      <c r="Z181" s="12"/>
      <c r="AA181" s="12" t="n">
        <v>5</v>
      </c>
      <c r="AB181" s="12"/>
      <c r="AC181" s="12"/>
      <c r="AD181" s="12"/>
      <c r="AE181" s="12"/>
    </row>
    <row r="182" customFormat="false" ht="15.75" hidden="false" customHeight="false" outlineLevel="0" collapsed="false">
      <c r="A182" s="12" t="str">
        <f aca="false">IF((AA182&gt;=4), "Y", "N")</f>
        <v>Y</v>
      </c>
      <c r="B182" s="74"/>
      <c r="C182" s="26" t="s">
        <v>7689</v>
      </c>
      <c r="D182" s="24"/>
      <c r="E182" s="17"/>
      <c r="F182" s="17"/>
      <c r="G182" s="17"/>
      <c r="H182" s="17"/>
      <c r="I182" s="26" t="s">
        <v>209</v>
      </c>
      <c r="J182" s="32"/>
      <c r="K182" s="17"/>
      <c r="L182" s="17"/>
      <c r="M182" s="17"/>
      <c r="N182" s="17"/>
      <c r="O182" s="17"/>
      <c r="P182" s="59" t="s">
        <v>7515</v>
      </c>
      <c r="Q182" s="12"/>
      <c r="R182" s="12"/>
      <c r="S182" s="12"/>
      <c r="T182" s="12"/>
      <c r="U182" s="12"/>
      <c r="V182" s="12"/>
      <c r="Z182" s="12"/>
      <c r="AA182" s="12" t="n">
        <v>5</v>
      </c>
      <c r="AB182" s="12"/>
      <c r="AC182" s="12"/>
      <c r="AD182" s="12"/>
      <c r="AE182" s="12"/>
    </row>
    <row r="183" customFormat="false" ht="15.75" hidden="false" customHeight="false" outlineLevel="0" collapsed="false">
      <c r="A183" s="12" t="str">
        <f aca="false">IF((AA183&gt;=4), "Y", "N")</f>
        <v>Y</v>
      </c>
      <c r="B183" s="74"/>
      <c r="C183" s="26" t="s">
        <v>7690</v>
      </c>
      <c r="D183" s="24"/>
      <c r="E183" s="17"/>
      <c r="F183" s="17"/>
      <c r="G183" s="17"/>
      <c r="H183" s="17"/>
      <c r="I183" s="26" t="s">
        <v>209</v>
      </c>
      <c r="J183" s="32"/>
      <c r="K183" s="17"/>
      <c r="L183" s="17"/>
      <c r="M183" s="17"/>
      <c r="N183" s="17"/>
      <c r="O183" s="17"/>
      <c r="P183" s="59" t="s">
        <v>7515</v>
      </c>
      <c r="Q183" s="12"/>
      <c r="R183" s="12"/>
      <c r="S183" s="12"/>
      <c r="T183" s="12"/>
      <c r="U183" s="12"/>
      <c r="V183" s="12"/>
      <c r="Z183" s="12"/>
      <c r="AA183" s="12" t="n">
        <v>5</v>
      </c>
      <c r="AB183" s="12"/>
      <c r="AC183" s="12"/>
      <c r="AD183" s="12"/>
      <c r="AE183" s="12"/>
    </row>
    <row r="184" customFormat="false" ht="15.75" hidden="false" customHeight="false" outlineLevel="0" collapsed="false">
      <c r="A184" s="12" t="str">
        <f aca="false">IF((AA184&gt;=4), "Y", "N")</f>
        <v>Y</v>
      </c>
      <c r="B184" s="74"/>
      <c r="C184" s="26" t="s">
        <v>7691</v>
      </c>
      <c r="D184" s="24"/>
      <c r="E184" s="17"/>
      <c r="F184" s="17"/>
      <c r="G184" s="17"/>
      <c r="H184" s="17"/>
      <c r="I184" s="26" t="s">
        <v>209</v>
      </c>
      <c r="J184" s="32"/>
      <c r="K184" s="17"/>
      <c r="L184" s="17"/>
      <c r="M184" s="17"/>
      <c r="N184" s="17"/>
      <c r="O184" s="17"/>
      <c r="P184" s="59" t="s">
        <v>7515</v>
      </c>
      <c r="Q184" s="12"/>
      <c r="R184" s="12"/>
      <c r="S184" s="12"/>
      <c r="T184" s="12"/>
      <c r="U184" s="12"/>
      <c r="V184" s="12"/>
      <c r="Z184" s="12"/>
      <c r="AA184" s="12" t="n">
        <v>5</v>
      </c>
      <c r="AB184" s="12"/>
      <c r="AC184" s="12"/>
      <c r="AD184" s="12"/>
      <c r="AE184" s="12"/>
    </row>
    <row r="185" customFormat="false" ht="15.75" hidden="false" customHeight="false" outlineLevel="0" collapsed="false">
      <c r="A185" s="12" t="str">
        <f aca="false">IF((AA185&gt;=4), "Y", "N")</f>
        <v>Y</v>
      </c>
      <c r="B185" s="74"/>
      <c r="C185" s="26" t="s">
        <v>7692</v>
      </c>
      <c r="D185" s="24"/>
      <c r="E185" s="17"/>
      <c r="F185" s="17"/>
      <c r="G185" s="17"/>
      <c r="H185" s="17"/>
      <c r="I185" s="26" t="s">
        <v>209</v>
      </c>
      <c r="J185" s="32"/>
      <c r="K185" s="17"/>
      <c r="L185" s="17"/>
      <c r="M185" s="17"/>
      <c r="N185" s="17"/>
      <c r="O185" s="17"/>
      <c r="P185" s="59" t="s">
        <v>7515</v>
      </c>
      <c r="Q185" s="12"/>
      <c r="R185" s="12"/>
      <c r="S185" s="12"/>
      <c r="T185" s="12"/>
      <c r="U185" s="12"/>
      <c r="V185" s="12"/>
      <c r="Z185" s="12"/>
      <c r="AA185" s="12" t="n">
        <v>5</v>
      </c>
      <c r="AB185" s="12"/>
      <c r="AC185" s="12"/>
      <c r="AD185" s="12"/>
      <c r="AE185" s="12"/>
    </row>
    <row r="186" customFormat="false" ht="15.75" hidden="false" customHeight="false" outlineLevel="0" collapsed="false">
      <c r="A186" s="12" t="str">
        <f aca="false">IF((AA186&gt;=4), "Y", "N")</f>
        <v>Y</v>
      </c>
      <c r="B186" s="74"/>
      <c r="C186" s="26" t="s">
        <v>7693</v>
      </c>
      <c r="D186" s="24"/>
      <c r="E186" s="17"/>
      <c r="F186" s="17"/>
      <c r="G186" s="17"/>
      <c r="H186" s="17"/>
      <c r="I186" s="26" t="s">
        <v>209</v>
      </c>
      <c r="J186" s="32"/>
      <c r="K186" s="17"/>
      <c r="L186" s="17"/>
      <c r="M186" s="17"/>
      <c r="N186" s="17"/>
      <c r="O186" s="17"/>
      <c r="P186" s="59" t="s">
        <v>7515</v>
      </c>
      <c r="Q186" s="12"/>
      <c r="R186" s="12"/>
      <c r="S186" s="12"/>
      <c r="T186" s="12"/>
      <c r="U186" s="12"/>
      <c r="V186" s="12"/>
      <c r="Z186" s="12"/>
      <c r="AA186" s="12" t="n">
        <v>5</v>
      </c>
      <c r="AB186" s="12"/>
      <c r="AC186" s="12"/>
      <c r="AD186" s="12"/>
      <c r="AE186" s="12"/>
    </row>
    <row r="187" customFormat="false" ht="15.75" hidden="false" customHeight="false" outlineLevel="0" collapsed="false">
      <c r="A187" s="12" t="str">
        <f aca="false">IF((AA187&gt;=4), "Y", "N")</f>
        <v>Y</v>
      </c>
      <c r="B187" s="74"/>
      <c r="C187" s="26" t="s">
        <v>7694</v>
      </c>
      <c r="D187" s="24"/>
      <c r="E187" s="17"/>
      <c r="F187" s="17"/>
      <c r="G187" s="17"/>
      <c r="H187" s="17"/>
      <c r="I187" s="26" t="s">
        <v>209</v>
      </c>
      <c r="J187" s="32"/>
      <c r="K187" s="17"/>
      <c r="L187" s="17"/>
      <c r="M187" s="17"/>
      <c r="N187" s="17"/>
      <c r="O187" s="17"/>
      <c r="P187" s="59" t="s">
        <v>7515</v>
      </c>
      <c r="Q187" s="12"/>
      <c r="R187" s="12"/>
      <c r="S187" s="12"/>
      <c r="T187" s="12"/>
      <c r="U187" s="12"/>
      <c r="V187" s="12"/>
      <c r="Z187" s="12"/>
      <c r="AA187" s="12" t="n">
        <v>5</v>
      </c>
      <c r="AB187" s="12"/>
      <c r="AC187" s="12"/>
      <c r="AD187" s="12"/>
      <c r="AE187" s="12"/>
    </row>
    <row r="188" customFormat="false" ht="15.75" hidden="false" customHeight="false" outlineLevel="0" collapsed="false">
      <c r="A188" s="12" t="str">
        <f aca="false">IF((AA188&gt;=4), "Y", "N")</f>
        <v>Y</v>
      </c>
      <c r="B188" s="74"/>
      <c r="C188" s="26" t="s">
        <v>7695</v>
      </c>
      <c r="D188" s="24"/>
      <c r="E188" s="17"/>
      <c r="F188" s="17"/>
      <c r="G188" s="17"/>
      <c r="H188" s="17"/>
      <c r="I188" s="26" t="s">
        <v>209</v>
      </c>
      <c r="J188" s="32"/>
      <c r="K188" s="17"/>
      <c r="L188" s="17"/>
      <c r="M188" s="17"/>
      <c r="N188" s="17"/>
      <c r="O188" s="17"/>
      <c r="P188" s="59" t="s">
        <v>7515</v>
      </c>
      <c r="Q188" s="12"/>
      <c r="R188" s="12"/>
      <c r="S188" s="12"/>
      <c r="T188" s="12"/>
      <c r="U188" s="12"/>
      <c r="V188" s="12"/>
      <c r="Z188" s="12"/>
      <c r="AA188" s="12" t="n">
        <v>5</v>
      </c>
      <c r="AB188" s="12"/>
      <c r="AC188" s="12"/>
      <c r="AD188" s="12"/>
      <c r="AE188" s="12"/>
    </row>
    <row r="189" customFormat="false" ht="15.75" hidden="false" customHeight="false" outlineLevel="0" collapsed="false">
      <c r="A189" s="12" t="str">
        <f aca="false">IF((AA189&gt;=4), "Y", "N")</f>
        <v>Y</v>
      </c>
      <c r="B189" s="74"/>
      <c r="C189" s="26" t="s">
        <v>7696</v>
      </c>
      <c r="D189" s="24"/>
      <c r="E189" s="17"/>
      <c r="F189" s="17"/>
      <c r="G189" s="17"/>
      <c r="H189" s="17"/>
      <c r="I189" s="26" t="s">
        <v>209</v>
      </c>
      <c r="J189" s="32"/>
      <c r="K189" s="17"/>
      <c r="L189" s="17"/>
      <c r="M189" s="17"/>
      <c r="N189" s="17"/>
      <c r="O189" s="17"/>
      <c r="P189" s="59" t="s">
        <v>7515</v>
      </c>
      <c r="Q189" s="12"/>
      <c r="R189" s="12"/>
      <c r="S189" s="12"/>
      <c r="T189" s="12"/>
      <c r="U189" s="12"/>
      <c r="V189" s="12"/>
      <c r="Z189" s="12"/>
      <c r="AA189" s="12" t="n">
        <v>5</v>
      </c>
      <c r="AB189" s="12"/>
      <c r="AC189" s="12"/>
      <c r="AD189" s="12"/>
      <c r="AE189" s="12"/>
    </row>
    <row r="190" customFormat="false" ht="15.75" hidden="false" customHeight="false" outlineLevel="0" collapsed="false">
      <c r="A190" s="12" t="str">
        <f aca="false">IF((AA190&gt;=4), "Y", "N")</f>
        <v>Y</v>
      </c>
      <c r="B190" s="74"/>
      <c r="C190" s="26" t="s">
        <v>7697</v>
      </c>
      <c r="D190" s="24"/>
      <c r="E190" s="17"/>
      <c r="F190" s="17"/>
      <c r="G190" s="17"/>
      <c r="H190" s="17"/>
      <c r="I190" s="26" t="s">
        <v>209</v>
      </c>
      <c r="J190" s="32"/>
      <c r="K190" s="17"/>
      <c r="L190" s="17"/>
      <c r="M190" s="17"/>
      <c r="N190" s="17"/>
      <c r="O190" s="17"/>
      <c r="P190" s="59" t="s">
        <v>7515</v>
      </c>
      <c r="Q190" s="12"/>
      <c r="R190" s="12"/>
      <c r="S190" s="12"/>
      <c r="T190" s="12"/>
      <c r="U190" s="12"/>
      <c r="V190" s="12"/>
      <c r="Z190" s="12"/>
      <c r="AA190" s="12" t="n">
        <v>5</v>
      </c>
      <c r="AB190" s="12"/>
      <c r="AC190" s="12"/>
      <c r="AD190" s="12"/>
      <c r="AE190" s="12"/>
    </row>
    <row r="191" customFormat="false" ht="15.75" hidden="false" customHeight="false" outlineLevel="0" collapsed="false">
      <c r="A191" s="12" t="str">
        <f aca="false">IF((AA191&gt;=4), "Y", "N")</f>
        <v>Y</v>
      </c>
      <c r="B191" s="74"/>
      <c r="C191" s="26" t="s">
        <v>7698</v>
      </c>
      <c r="D191" s="24"/>
      <c r="E191" s="17"/>
      <c r="F191" s="17"/>
      <c r="G191" s="17"/>
      <c r="H191" s="17"/>
      <c r="I191" s="26" t="s">
        <v>209</v>
      </c>
      <c r="J191" s="32"/>
      <c r="K191" s="17"/>
      <c r="L191" s="17"/>
      <c r="M191" s="17"/>
      <c r="N191" s="17"/>
      <c r="O191" s="17"/>
      <c r="P191" s="59" t="s">
        <v>7515</v>
      </c>
      <c r="Q191" s="12"/>
      <c r="R191" s="12"/>
      <c r="S191" s="12"/>
      <c r="T191" s="12"/>
      <c r="U191" s="12"/>
      <c r="V191" s="12"/>
      <c r="Z191" s="12"/>
      <c r="AA191" s="12" t="n">
        <v>5</v>
      </c>
      <c r="AB191" s="12"/>
      <c r="AC191" s="12"/>
      <c r="AD191" s="12"/>
      <c r="AE191" s="12"/>
    </row>
    <row r="192" customFormat="false" ht="15.75" hidden="false" customHeight="false" outlineLevel="0" collapsed="false">
      <c r="A192" s="12" t="str">
        <f aca="false">IF((AA192&gt;=4), "Y", "N")</f>
        <v>Y</v>
      </c>
      <c r="B192" s="74"/>
      <c r="C192" s="26" t="s">
        <v>7699</v>
      </c>
      <c r="D192" s="24"/>
      <c r="E192" s="17"/>
      <c r="F192" s="17"/>
      <c r="G192" s="17"/>
      <c r="H192" s="17"/>
      <c r="I192" s="26" t="s">
        <v>209</v>
      </c>
      <c r="J192" s="32"/>
      <c r="K192" s="17"/>
      <c r="L192" s="17"/>
      <c r="M192" s="17"/>
      <c r="N192" s="17"/>
      <c r="O192" s="17"/>
      <c r="P192" s="59" t="s">
        <v>7515</v>
      </c>
      <c r="Q192" s="12"/>
      <c r="R192" s="12"/>
      <c r="S192" s="12"/>
      <c r="T192" s="12"/>
      <c r="U192" s="12"/>
      <c r="V192" s="12"/>
      <c r="Z192" s="12"/>
      <c r="AA192" s="12" t="n">
        <v>5</v>
      </c>
      <c r="AB192" s="12"/>
      <c r="AC192" s="12"/>
      <c r="AD192" s="12"/>
      <c r="AE192" s="12"/>
    </row>
    <row r="193" customFormat="false" ht="15.75" hidden="false" customHeight="false" outlineLevel="0" collapsed="false">
      <c r="A193" s="12" t="str">
        <f aca="false">IF((AA193&gt;=4), "Y", "N")</f>
        <v>Y</v>
      </c>
      <c r="B193" s="74"/>
      <c r="C193" s="26" t="s">
        <v>7700</v>
      </c>
      <c r="D193" s="24"/>
      <c r="E193" s="17"/>
      <c r="F193" s="17"/>
      <c r="G193" s="17"/>
      <c r="H193" s="17"/>
      <c r="I193" s="26" t="s">
        <v>209</v>
      </c>
      <c r="J193" s="32"/>
      <c r="K193" s="17"/>
      <c r="L193" s="17"/>
      <c r="M193" s="17"/>
      <c r="N193" s="17"/>
      <c r="O193" s="17"/>
      <c r="P193" s="59" t="s">
        <v>7515</v>
      </c>
      <c r="Q193" s="12"/>
      <c r="R193" s="12"/>
      <c r="S193" s="12"/>
      <c r="T193" s="12"/>
      <c r="U193" s="12"/>
      <c r="V193" s="12"/>
      <c r="Z193" s="12"/>
      <c r="AA193" s="12" t="n">
        <v>5</v>
      </c>
      <c r="AB193" s="12"/>
      <c r="AC193" s="12"/>
      <c r="AD193" s="12"/>
      <c r="AE193" s="12"/>
    </row>
    <row r="194" customFormat="false" ht="15.75" hidden="false" customHeight="false" outlineLevel="0" collapsed="false">
      <c r="A194" s="12" t="str">
        <f aca="false">IF((AA194&gt;=4), "Y", "N")</f>
        <v>Y</v>
      </c>
      <c r="B194" s="74"/>
      <c r="C194" s="26" t="s">
        <v>7701</v>
      </c>
      <c r="D194" s="24"/>
      <c r="E194" s="17"/>
      <c r="F194" s="17"/>
      <c r="G194" s="17"/>
      <c r="H194" s="17"/>
      <c r="I194" s="26" t="s">
        <v>209</v>
      </c>
      <c r="J194" s="32"/>
      <c r="K194" s="17"/>
      <c r="L194" s="17"/>
      <c r="M194" s="17"/>
      <c r="N194" s="17"/>
      <c r="O194" s="17"/>
      <c r="P194" s="59" t="s">
        <v>7515</v>
      </c>
      <c r="Q194" s="12"/>
      <c r="R194" s="12"/>
      <c r="S194" s="12"/>
      <c r="T194" s="12"/>
      <c r="U194" s="12"/>
      <c r="V194" s="12"/>
      <c r="Z194" s="12"/>
      <c r="AA194" s="12" t="n">
        <v>5</v>
      </c>
      <c r="AB194" s="12"/>
      <c r="AC194" s="12"/>
      <c r="AD194" s="12"/>
      <c r="AE194" s="12"/>
    </row>
    <row r="195" customFormat="false" ht="15.75" hidden="false" customHeight="false" outlineLevel="0" collapsed="false">
      <c r="A195" s="12" t="str">
        <f aca="false">IF((AA195&gt;=4), "Y", "N")</f>
        <v>Y</v>
      </c>
      <c r="B195" s="74"/>
      <c r="C195" s="26" t="s">
        <v>7702</v>
      </c>
      <c r="D195" s="24"/>
      <c r="E195" s="17"/>
      <c r="F195" s="17"/>
      <c r="G195" s="17"/>
      <c r="H195" s="17"/>
      <c r="I195" s="26" t="s">
        <v>209</v>
      </c>
      <c r="J195" s="32"/>
      <c r="K195" s="17"/>
      <c r="L195" s="17"/>
      <c r="M195" s="17"/>
      <c r="N195" s="17"/>
      <c r="O195" s="17"/>
      <c r="P195" s="59" t="s">
        <v>7515</v>
      </c>
      <c r="Q195" s="12"/>
      <c r="R195" s="12"/>
      <c r="S195" s="12"/>
      <c r="T195" s="12"/>
      <c r="U195" s="12"/>
      <c r="V195" s="12"/>
      <c r="Z195" s="12"/>
      <c r="AA195" s="12" t="n">
        <v>5</v>
      </c>
      <c r="AB195" s="12"/>
      <c r="AC195" s="12"/>
      <c r="AD195" s="12"/>
      <c r="AE195" s="12"/>
    </row>
    <row r="196" customFormat="false" ht="15.75" hidden="false" customHeight="false" outlineLevel="0" collapsed="false">
      <c r="A196" s="12" t="str">
        <f aca="false">IF((AA196&gt;=4), "Y", "N")</f>
        <v>Y</v>
      </c>
      <c r="B196" s="74"/>
      <c r="C196" s="26" t="s">
        <v>7703</v>
      </c>
      <c r="D196" s="24"/>
      <c r="E196" s="17"/>
      <c r="F196" s="17"/>
      <c r="G196" s="17"/>
      <c r="H196" s="17"/>
      <c r="I196" s="26" t="s">
        <v>209</v>
      </c>
      <c r="J196" s="32"/>
      <c r="K196" s="17"/>
      <c r="L196" s="17"/>
      <c r="M196" s="17"/>
      <c r="N196" s="17"/>
      <c r="O196" s="17"/>
      <c r="P196" s="59" t="s">
        <v>7515</v>
      </c>
      <c r="Q196" s="12"/>
      <c r="R196" s="12"/>
      <c r="S196" s="12"/>
      <c r="T196" s="12"/>
      <c r="U196" s="12"/>
      <c r="V196" s="12"/>
      <c r="Z196" s="12"/>
      <c r="AA196" s="12" t="n">
        <v>5</v>
      </c>
      <c r="AB196" s="12"/>
      <c r="AC196" s="12"/>
      <c r="AD196" s="12"/>
      <c r="AE196" s="12"/>
    </row>
    <row r="197" customFormat="false" ht="15.75" hidden="false" customHeight="false" outlineLevel="0" collapsed="false">
      <c r="A197" s="12" t="str">
        <f aca="false">IF((AA197&gt;=4), "Y", "N")</f>
        <v>Y</v>
      </c>
      <c r="B197" s="74"/>
      <c r="C197" s="26" t="s">
        <v>7704</v>
      </c>
      <c r="D197" s="24"/>
      <c r="E197" s="17"/>
      <c r="F197" s="17"/>
      <c r="G197" s="17"/>
      <c r="H197" s="17"/>
      <c r="I197" s="26" t="s">
        <v>209</v>
      </c>
      <c r="J197" s="32"/>
      <c r="K197" s="17"/>
      <c r="L197" s="17"/>
      <c r="M197" s="17"/>
      <c r="N197" s="17"/>
      <c r="O197" s="17"/>
      <c r="P197" s="59" t="s">
        <v>7515</v>
      </c>
      <c r="Q197" s="12"/>
      <c r="R197" s="12"/>
      <c r="S197" s="12"/>
      <c r="T197" s="12"/>
      <c r="U197" s="12"/>
      <c r="V197" s="12"/>
      <c r="Z197" s="12"/>
      <c r="AA197" s="12" t="n">
        <v>5</v>
      </c>
      <c r="AB197" s="12"/>
      <c r="AC197" s="12"/>
      <c r="AD197" s="12"/>
      <c r="AE197" s="12"/>
    </row>
    <row r="198" customFormat="false" ht="15.75" hidden="false" customHeight="false" outlineLevel="0" collapsed="false">
      <c r="A198" s="12" t="str">
        <f aca="false">IF((AA198&gt;=4), "Y", "N")</f>
        <v>Y</v>
      </c>
      <c r="B198" s="74"/>
      <c r="C198" s="26" t="s">
        <v>7705</v>
      </c>
      <c r="D198" s="24"/>
      <c r="E198" s="17"/>
      <c r="F198" s="17"/>
      <c r="G198" s="17"/>
      <c r="H198" s="17"/>
      <c r="I198" s="26" t="s">
        <v>209</v>
      </c>
      <c r="J198" s="32"/>
      <c r="K198" s="17"/>
      <c r="L198" s="17"/>
      <c r="M198" s="17"/>
      <c r="N198" s="17"/>
      <c r="O198" s="17"/>
      <c r="P198" s="59" t="s">
        <v>7515</v>
      </c>
      <c r="Q198" s="12"/>
      <c r="R198" s="12"/>
      <c r="S198" s="12"/>
      <c r="T198" s="12"/>
      <c r="U198" s="12"/>
      <c r="V198" s="12"/>
      <c r="Z198" s="12"/>
      <c r="AA198" s="12" t="n">
        <v>5</v>
      </c>
      <c r="AB198" s="12"/>
      <c r="AC198" s="12"/>
      <c r="AD198" s="12"/>
      <c r="AE198" s="12"/>
    </row>
    <row r="199" customFormat="false" ht="15.75" hidden="false" customHeight="false" outlineLevel="0" collapsed="false">
      <c r="A199" s="12" t="str">
        <f aca="false">IF((AA199&gt;=4), "Y", "N")</f>
        <v>Y</v>
      </c>
      <c r="B199" s="74"/>
      <c r="C199" s="26" t="s">
        <v>7706</v>
      </c>
      <c r="D199" s="24"/>
      <c r="E199" s="17"/>
      <c r="F199" s="17"/>
      <c r="G199" s="17"/>
      <c r="H199" s="17"/>
      <c r="I199" s="26" t="s">
        <v>209</v>
      </c>
      <c r="J199" s="32"/>
      <c r="K199" s="17"/>
      <c r="L199" s="17"/>
      <c r="M199" s="17"/>
      <c r="N199" s="17"/>
      <c r="O199" s="17"/>
      <c r="P199" s="59" t="s">
        <v>7515</v>
      </c>
      <c r="Q199" s="12"/>
      <c r="R199" s="12"/>
      <c r="S199" s="12"/>
      <c r="T199" s="12"/>
      <c r="U199" s="12"/>
      <c r="V199" s="12"/>
      <c r="Z199" s="12"/>
      <c r="AA199" s="12" t="n">
        <v>5</v>
      </c>
      <c r="AB199" s="12"/>
      <c r="AC199" s="12"/>
      <c r="AD199" s="12"/>
      <c r="AE199" s="12"/>
    </row>
    <row r="200" customFormat="false" ht="15.75" hidden="false" customHeight="false" outlineLevel="0" collapsed="false">
      <c r="A200" s="12" t="str">
        <f aca="false">IF((AA200&gt;=4), "Y", "N")</f>
        <v>Y</v>
      </c>
      <c r="B200" s="74"/>
      <c r="C200" s="26" t="s">
        <v>7707</v>
      </c>
      <c r="D200" s="24"/>
      <c r="E200" s="17"/>
      <c r="F200" s="17"/>
      <c r="G200" s="17"/>
      <c r="H200" s="17"/>
      <c r="I200" s="26" t="s">
        <v>209</v>
      </c>
      <c r="J200" s="32"/>
      <c r="K200" s="17"/>
      <c r="L200" s="17"/>
      <c r="M200" s="17"/>
      <c r="N200" s="17"/>
      <c r="O200" s="17"/>
      <c r="P200" s="59" t="s">
        <v>7515</v>
      </c>
      <c r="Q200" s="12"/>
      <c r="R200" s="12"/>
      <c r="S200" s="12"/>
      <c r="T200" s="12"/>
      <c r="U200" s="12"/>
      <c r="V200" s="12"/>
      <c r="Z200" s="12"/>
      <c r="AA200" s="12" t="n">
        <v>5</v>
      </c>
      <c r="AB200" s="12"/>
      <c r="AC200" s="12"/>
      <c r="AD200" s="12"/>
      <c r="AE200" s="12"/>
    </row>
    <row r="201" customFormat="false" ht="15.75" hidden="false" customHeight="false" outlineLevel="0" collapsed="false">
      <c r="A201" s="12" t="str">
        <f aca="false">IF((AA201&gt;=4), "Y", "N")</f>
        <v>Y</v>
      </c>
      <c r="B201" s="74"/>
      <c r="C201" s="26" t="s">
        <v>7708</v>
      </c>
      <c r="D201" s="24"/>
      <c r="E201" s="17"/>
      <c r="F201" s="17"/>
      <c r="G201" s="17"/>
      <c r="H201" s="17"/>
      <c r="I201" s="26" t="s">
        <v>209</v>
      </c>
      <c r="J201" s="32"/>
      <c r="K201" s="17"/>
      <c r="L201" s="17"/>
      <c r="M201" s="17"/>
      <c r="N201" s="17"/>
      <c r="O201" s="17"/>
      <c r="P201" s="59" t="s">
        <v>7515</v>
      </c>
      <c r="Q201" s="12"/>
      <c r="R201" s="12"/>
      <c r="S201" s="12"/>
      <c r="T201" s="12"/>
      <c r="U201" s="12"/>
      <c r="V201" s="12"/>
      <c r="Z201" s="12"/>
      <c r="AA201" s="12" t="n">
        <v>5</v>
      </c>
      <c r="AB201" s="12"/>
      <c r="AC201" s="12"/>
      <c r="AD201" s="12"/>
      <c r="AE201" s="12"/>
    </row>
    <row r="202" customFormat="false" ht="15.75" hidden="false" customHeight="false" outlineLevel="0" collapsed="false">
      <c r="A202" s="12" t="str">
        <f aca="false">IF((AA202&gt;=4), "Y", "N")</f>
        <v>Y</v>
      </c>
      <c r="B202" s="74"/>
      <c r="C202" s="26" t="s">
        <v>7709</v>
      </c>
      <c r="D202" s="24"/>
      <c r="E202" s="17"/>
      <c r="F202" s="17"/>
      <c r="G202" s="17"/>
      <c r="H202" s="17"/>
      <c r="I202" s="26" t="s">
        <v>209</v>
      </c>
      <c r="J202" s="32"/>
      <c r="K202" s="17"/>
      <c r="L202" s="17"/>
      <c r="M202" s="17"/>
      <c r="N202" s="17"/>
      <c r="O202" s="17"/>
      <c r="P202" s="59" t="s">
        <v>7515</v>
      </c>
      <c r="Q202" s="12"/>
      <c r="R202" s="12"/>
      <c r="S202" s="12"/>
      <c r="T202" s="12"/>
      <c r="U202" s="12"/>
      <c r="V202" s="12"/>
      <c r="Z202" s="12"/>
      <c r="AA202" s="12" t="n">
        <v>5</v>
      </c>
      <c r="AB202" s="12"/>
      <c r="AC202" s="12"/>
      <c r="AD202" s="12"/>
      <c r="AE202" s="12"/>
    </row>
    <row r="203" customFormat="false" ht="15.75" hidden="false" customHeight="false" outlineLevel="0" collapsed="false">
      <c r="A203" s="12" t="str">
        <f aca="false">IF((AA203&gt;=4), "Y", "N")</f>
        <v>Y</v>
      </c>
      <c r="B203" s="74"/>
      <c r="C203" s="26" t="s">
        <v>7710</v>
      </c>
      <c r="D203" s="24"/>
      <c r="E203" s="17"/>
      <c r="F203" s="17"/>
      <c r="G203" s="17"/>
      <c r="H203" s="17"/>
      <c r="I203" s="26" t="s">
        <v>209</v>
      </c>
      <c r="J203" s="32"/>
      <c r="K203" s="17"/>
      <c r="L203" s="17"/>
      <c r="M203" s="17"/>
      <c r="N203" s="17"/>
      <c r="O203" s="17"/>
      <c r="P203" s="59" t="s">
        <v>7515</v>
      </c>
      <c r="Q203" s="12"/>
      <c r="R203" s="12"/>
      <c r="S203" s="12"/>
      <c r="T203" s="12"/>
      <c r="U203" s="12"/>
      <c r="V203" s="12"/>
      <c r="Z203" s="12"/>
      <c r="AA203" s="12" t="n">
        <v>5</v>
      </c>
      <c r="AB203" s="12"/>
      <c r="AC203" s="12"/>
      <c r="AD203" s="12"/>
      <c r="AE203" s="12"/>
    </row>
    <row r="204" customFormat="false" ht="15.75" hidden="false" customHeight="false" outlineLevel="0" collapsed="false">
      <c r="A204" s="12" t="str">
        <f aca="false">IF((AA204&gt;=4), "Y", "N")</f>
        <v>Y</v>
      </c>
      <c r="B204" s="74"/>
      <c r="C204" s="26" t="s">
        <v>7711</v>
      </c>
      <c r="D204" s="24"/>
      <c r="E204" s="17"/>
      <c r="F204" s="17"/>
      <c r="G204" s="17"/>
      <c r="H204" s="17"/>
      <c r="I204" s="26" t="s">
        <v>209</v>
      </c>
      <c r="J204" s="32"/>
      <c r="K204" s="17"/>
      <c r="L204" s="17"/>
      <c r="M204" s="17"/>
      <c r="N204" s="17"/>
      <c r="O204" s="17"/>
      <c r="P204" s="59" t="s">
        <v>7515</v>
      </c>
      <c r="Q204" s="12"/>
      <c r="R204" s="12"/>
      <c r="S204" s="12"/>
      <c r="T204" s="12"/>
      <c r="U204" s="12"/>
      <c r="V204" s="12"/>
      <c r="Z204" s="12"/>
      <c r="AA204" s="12" t="n">
        <v>5</v>
      </c>
      <c r="AB204" s="12"/>
      <c r="AC204" s="12"/>
      <c r="AD204" s="12"/>
      <c r="AE204" s="12"/>
    </row>
    <row r="205" customFormat="false" ht="15.75" hidden="false" customHeight="false" outlineLevel="0" collapsed="false">
      <c r="A205" s="12" t="str">
        <f aca="false">IF((AA205&gt;=4), "Y", "N")</f>
        <v>Y</v>
      </c>
      <c r="B205" s="74"/>
      <c r="C205" s="26" t="s">
        <v>7712</v>
      </c>
      <c r="D205" s="24"/>
      <c r="E205" s="17"/>
      <c r="F205" s="17"/>
      <c r="G205" s="17"/>
      <c r="H205" s="17"/>
      <c r="I205" s="26" t="s">
        <v>209</v>
      </c>
      <c r="J205" s="32"/>
      <c r="K205" s="17"/>
      <c r="L205" s="17"/>
      <c r="M205" s="17"/>
      <c r="N205" s="17"/>
      <c r="O205" s="17"/>
      <c r="P205" s="59" t="s">
        <v>7515</v>
      </c>
      <c r="Q205" s="12"/>
      <c r="R205" s="12"/>
      <c r="S205" s="12"/>
      <c r="T205" s="12"/>
      <c r="U205" s="12"/>
      <c r="V205" s="12"/>
      <c r="Z205" s="12"/>
      <c r="AA205" s="12" t="n">
        <v>5</v>
      </c>
      <c r="AB205" s="12"/>
      <c r="AC205" s="12"/>
      <c r="AD205" s="12"/>
      <c r="AE205" s="12"/>
    </row>
    <row r="206" customFormat="false" ht="15.75" hidden="false" customHeight="false" outlineLevel="0" collapsed="false">
      <c r="A206" s="12" t="str">
        <f aca="false">IF((AA206&gt;=4), "Y", "N")</f>
        <v>Y</v>
      </c>
      <c r="B206" s="74"/>
      <c r="C206" s="26" t="s">
        <v>7713</v>
      </c>
      <c r="D206" s="24"/>
      <c r="E206" s="17"/>
      <c r="F206" s="17"/>
      <c r="G206" s="17"/>
      <c r="H206" s="17"/>
      <c r="I206" s="26" t="s">
        <v>209</v>
      </c>
      <c r="J206" s="32"/>
      <c r="K206" s="17"/>
      <c r="L206" s="17"/>
      <c r="M206" s="17"/>
      <c r="N206" s="17"/>
      <c r="O206" s="17"/>
      <c r="P206" s="59" t="s">
        <v>7515</v>
      </c>
      <c r="Q206" s="12"/>
      <c r="R206" s="12"/>
      <c r="S206" s="12"/>
      <c r="T206" s="12"/>
      <c r="U206" s="12"/>
      <c r="V206" s="12"/>
      <c r="Z206" s="12"/>
      <c r="AA206" s="12" t="n">
        <v>5</v>
      </c>
      <c r="AB206" s="12"/>
      <c r="AC206" s="12"/>
      <c r="AD206" s="12"/>
      <c r="AE206" s="12"/>
    </row>
    <row r="207" customFormat="false" ht="15.75" hidden="false" customHeight="false" outlineLevel="0" collapsed="false">
      <c r="A207" s="12" t="str">
        <f aca="false">IF((AA207&gt;=4), "Y", "N")</f>
        <v>Y</v>
      </c>
      <c r="B207" s="74"/>
      <c r="C207" s="26" t="s">
        <v>7714</v>
      </c>
      <c r="D207" s="24"/>
      <c r="E207" s="17"/>
      <c r="F207" s="17"/>
      <c r="G207" s="17"/>
      <c r="H207" s="17"/>
      <c r="I207" s="26" t="s">
        <v>209</v>
      </c>
      <c r="J207" s="32"/>
      <c r="K207" s="17"/>
      <c r="L207" s="17"/>
      <c r="M207" s="17"/>
      <c r="N207" s="17"/>
      <c r="O207" s="17"/>
      <c r="P207" s="59" t="s">
        <v>7515</v>
      </c>
      <c r="Q207" s="12"/>
      <c r="R207" s="12"/>
      <c r="S207" s="12"/>
      <c r="T207" s="12"/>
      <c r="U207" s="12"/>
      <c r="V207" s="12"/>
      <c r="Z207" s="12"/>
      <c r="AA207" s="12" t="n">
        <v>5</v>
      </c>
      <c r="AB207" s="12"/>
      <c r="AC207" s="12"/>
      <c r="AD207" s="12"/>
      <c r="AE207" s="12"/>
    </row>
    <row r="208" customFormat="false" ht="15.75" hidden="false" customHeight="false" outlineLevel="0" collapsed="false">
      <c r="A208" s="12" t="str">
        <f aca="false">IF((AA208&gt;=4), "Y", "N")</f>
        <v>Y</v>
      </c>
      <c r="B208" s="74"/>
      <c r="C208" s="26" t="s">
        <v>7715</v>
      </c>
      <c r="D208" s="24"/>
      <c r="E208" s="17"/>
      <c r="F208" s="17"/>
      <c r="G208" s="17"/>
      <c r="H208" s="17"/>
      <c r="I208" s="26" t="s">
        <v>209</v>
      </c>
      <c r="J208" s="32"/>
      <c r="K208" s="17"/>
      <c r="L208" s="17"/>
      <c r="M208" s="17"/>
      <c r="N208" s="17"/>
      <c r="O208" s="17"/>
      <c r="P208" s="59" t="s">
        <v>7515</v>
      </c>
      <c r="Q208" s="12"/>
      <c r="R208" s="12"/>
      <c r="S208" s="12"/>
      <c r="T208" s="12"/>
      <c r="U208" s="12"/>
      <c r="V208" s="12"/>
      <c r="Z208" s="12"/>
      <c r="AA208" s="12" t="n">
        <v>5</v>
      </c>
      <c r="AB208" s="12"/>
      <c r="AC208" s="12"/>
      <c r="AD208" s="12"/>
      <c r="AE208" s="12"/>
    </row>
    <row r="209" customFormat="false" ht="15.75" hidden="false" customHeight="false" outlineLevel="0" collapsed="false">
      <c r="A209" s="12" t="str">
        <f aca="false">IF((AA209&gt;=4), "Y", "N")</f>
        <v>Y</v>
      </c>
      <c r="B209" s="74"/>
      <c r="C209" s="26" t="s">
        <v>7716</v>
      </c>
      <c r="D209" s="24"/>
      <c r="E209" s="17"/>
      <c r="F209" s="17"/>
      <c r="G209" s="17"/>
      <c r="H209" s="17"/>
      <c r="I209" s="26" t="s">
        <v>209</v>
      </c>
      <c r="J209" s="32"/>
      <c r="K209" s="17"/>
      <c r="L209" s="17"/>
      <c r="M209" s="17"/>
      <c r="N209" s="17"/>
      <c r="O209" s="17"/>
      <c r="P209" s="59" t="s">
        <v>7515</v>
      </c>
      <c r="Q209" s="12"/>
      <c r="R209" s="12"/>
      <c r="S209" s="12"/>
      <c r="T209" s="12"/>
      <c r="U209" s="12"/>
      <c r="V209" s="12"/>
      <c r="Z209" s="12"/>
      <c r="AA209" s="12" t="n">
        <v>5</v>
      </c>
      <c r="AB209" s="12"/>
      <c r="AC209" s="12"/>
      <c r="AD209" s="12"/>
      <c r="AE209" s="12"/>
    </row>
    <row r="210" customFormat="false" ht="15.75" hidden="false" customHeight="false" outlineLevel="0" collapsed="false">
      <c r="A210" s="12" t="str">
        <f aca="false">IF((AA210&gt;=4), "Y", "N")</f>
        <v>Y</v>
      </c>
      <c r="B210" s="74"/>
      <c r="C210" s="26" t="s">
        <v>7717</v>
      </c>
      <c r="D210" s="24"/>
      <c r="E210" s="17"/>
      <c r="F210" s="17"/>
      <c r="G210" s="17"/>
      <c r="H210" s="17"/>
      <c r="I210" s="26" t="s">
        <v>209</v>
      </c>
      <c r="J210" s="32"/>
      <c r="K210" s="17"/>
      <c r="L210" s="17"/>
      <c r="M210" s="17"/>
      <c r="N210" s="17"/>
      <c r="O210" s="17"/>
      <c r="P210" s="59" t="s">
        <v>7515</v>
      </c>
      <c r="Q210" s="12"/>
      <c r="R210" s="12"/>
      <c r="S210" s="12"/>
      <c r="T210" s="12"/>
      <c r="U210" s="12"/>
      <c r="V210" s="12"/>
      <c r="Z210" s="12"/>
      <c r="AA210" s="12" t="n">
        <v>5</v>
      </c>
      <c r="AB210" s="12"/>
      <c r="AC210" s="12"/>
      <c r="AD210" s="12"/>
      <c r="AE210" s="12"/>
    </row>
    <row r="211" customFormat="false" ht="15.75" hidden="false" customHeight="false" outlineLevel="0" collapsed="false">
      <c r="A211" s="12" t="str">
        <f aca="false">IF((AA211&gt;=4), "Y", "N")</f>
        <v>Y</v>
      </c>
      <c r="B211" s="74"/>
      <c r="C211" s="26" t="s">
        <v>7718</v>
      </c>
      <c r="D211" s="24"/>
      <c r="E211" s="17"/>
      <c r="F211" s="17"/>
      <c r="G211" s="17"/>
      <c r="H211" s="17"/>
      <c r="I211" s="26" t="s">
        <v>209</v>
      </c>
      <c r="J211" s="32"/>
      <c r="K211" s="17"/>
      <c r="L211" s="17"/>
      <c r="M211" s="17"/>
      <c r="N211" s="17"/>
      <c r="O211" s="17"/>
      <c r="P211" s="59" t="s">
        <v>7515</v>
      </c>
      <c r="Q211" s="12"/>
      <c r="R211" s="12"/>
      <c r="S211" s="12"/>
      <c r="T211" s="12"/>
      <c r="U211" s="12"/>
      <c r="V211" s="12"/>
      <c r="Z211" s="12"/>
      <c r="AA211" s="12" t="n">
        <v>5</v>
      </c>
      <c r="AB211" s="12"/>
      <c r="AC211" s="12"/>
      <c r="AD211" s="12"/>
      <c r="AE211" s="12"/>
    </row>
    <row r="212" customFormat="false" ht="15.75" hidden="false" customHeight="false" outlineLevel="0" collapsed="false">
      <c r="A212" s="12" t="str">
        <f aca="false">IF((AA212&gt;=4), "Y", "N")</f>
        <v>Y</v>
      </c>
      <c r="B212" s="74"/>
      <c r="C212" s="26" t="s">
        <v>7719</v>
      </c>
      <c r="D212" s="24"/>
      <c r="E212" s="17"/>
      <c r="F212" s="17"/>
      <c r="G212" s="17"/>
      <c r="H212" s="17"/>
      <c r="I212" s="26" t="s">
        <v>209</v>
      </c>
      <c r="J212" s="32"/>
      <c r="K212" s="17"/>
      <c r="L212" s="17"/>
      <c r="M212" s="17"/>
      <c r="N212" s="17"/>
      <c r="O212" s="17"/>
      <c r="P212" s="59" t="s">
        <v>7515</v>
      </c>
      <c r="Q212" s="12"/>
      <c r="R212" s="12"/>
      <c r="S212" s="12"/>
      <c r="T212" s="12"/>
      <c r="U212" s="12"/>
      <c r="V212" s="12"/>
      <c r="Z212" s="12"/>
      <c r="AA212" s="12" t="n">
        <v>5</v>
      </c>
      <c r="AB212" s="12"/>
      <c r="AC212" s="12"/>
      <c r="AD212" s="12"/>
      <c r="AE212" s="12"/>
    </row>
    <row r="213" customFormat="false" ht="15.75" hidden="false" customHeight="false" outlineLevel="0" collapsed="false">
      <c r="A213" s="12" t="str">
        <f aca="false">IF((AA213&gt;=4), "Y", "N")</f>
        <v>Y</v>
      </c>
      <c r="B213" s="74"/>
      <c r="C213" s="26" t="s">
        <v>7720</v>
      </c>
      <c r="D213" s="24"/>
      <c r="E213" s="17"/>
      <c r="F213" s="17"/>
      <c r="G213" s="17"/>
      <c r="H213" s="17"/>
      <c r="I213" s="26" t="s">
        <v>209</v>
      </c>
      <c r="J213" s="32"/>
      <c r="K213" s="17"/>
      <c r="L213" s="17"/>
      <c r="M213" s="17"/>
      <c r="N213" s="17"/>
      <c r="O213" s="17"/>
      <c r="P213" s="59" t="s">
        <v>7515</v>
      </c>
      <c r="Q213" s="12"/>
      <c r="R213" s="12"/>
      <c r="S213" s="12"/>
      <c r="T213" s="12"/>
      <c r="U213" s="12"/>
      <c r="V213" s="12"/>
      <c r="Z213" s="12"/>
      <c r="AA213" s="12" t="n">
        <v>5</v>
      </c>
      <c r="AB213" s="12"/>
      <c r="AC213" s="12"/>
      <c r="AD213" s="12"/>
      <c r="AE213" s="12"/>
    </row>
    <row r="214" customFormat="false" ht="15.75" hidden="false" customHeight="false" outlineLevel="0" collapsed="false">
      <c r="A214" s="12" t="str">
        <f aca="false">IF((AA214&gt;=4), "Y", "N")</f>
        <v>Y</v>
      </c>
      <c r="B214" s="74"/>
      <c r="C214" s="26" t="s">
        <v>7721</v>
      </c>
      <c r="D214" s="24"/>
      <c r="E214" s="17"/>
      <c r="F214" s="17"/>
      <c r="G214" s="17"/>
      <c r="H214" s="17"/>
      <c r="I214" s="26" t="s">
        <v>209</v>
      </c>
      <c r="J214" s="32"/>
      <c r="K214" s="17"/>
      <c r="L214" s="17"/>
      <c r="M214" s="17"/>
      <c r="N214" s="17"/>
      <c r="O214" s="17"/>
      <c r="P214" s="59" t="s">
        <v>7515</v>
      </c>
      <c r="Q214" s="12"/>
      <c r="R214" s="12"/>
      <c r="S214" s="12"/>
      <c r="T214" s="12"/>
      <c r="U214" s="12"/>
      <c r="V214" s="12"/>
      <c r="Z214" s="12"/>
      <c r="AA214" s="12" t="n">
        <v>5</v>
      </c>
      <c r="AB214" s="12"/>
      <c r="AC214" s="12"/>
      <c r="AD214" s="12"/>
      <c r="AE214" s="12"/>
    </row>
    <row r="215" customFormat="false" ht="15.75" hidden="false" customHeight="false" outlineLevel="0" collapsed="false">
      <c r="A215" s="12" t="str">
        <f aca="false">IF((AA215&gt;=4), "Y", "N")</f>
        <v>Y</v>
      </c>
      <c r="B215" s="74"/>
      <c r="C215" s="26" t="s">
        <v>7722</v>
      </c>
      <c r="D215" s="24"/>
      <c r="E215" s="17"/>
      <c r="F215" s="17"/>
      <c r="G215" s="17"/>
      <c r="H215" s="17"/>
      <c r="I215" s="26" t="s">
        <v>209</v>
      </c>
      <c r="J215" s="32"/>
      <c r="K215" s="17"/>
      <c r="L215" s="17"/>
      <c r="M215" s="17"/>
      <c r="N215" s="17"/>
      <c r="O215" s="17"/>
      <c r="P215" s="59" t="s">
        <v>7515</v>
      </c>
      <c r="Q215" s="12"/>
      <c r="R215" s="12"/>
      <c r="S215" s="12"/>
      <c r="T215" s="12"/>
      <c r="U215" s="12"/>
      <c r="V215" s="12"/>
      <c r="Z215" s="12"/>
      <c r="AA215" s="12" t="n">
        <v>5</v>
      </c>
      <c r="AB215" s="12"/>
      <c r="AC215" s="12"/>
      <c r="AD215" s="12"/>
      <c r="AE215" s="12"/>
    </row>
    <row r="216" customFormat="false" ht="15.75" hidden="false" customHeight="false" outlineLevel="0" collapsed="false">
      <c r="A216" s="12" t="str">
        <f aca="false">IF((AA216&gt;=4), "Y", "N")</f>
        <v>Y</v>
      </c>
      <c r="B216" s="74"/>
      <c r="C216" s="26" t="s">
        <v>7723</v>
      </c>
      <c r="D216" s="24"/>
      <c r="E216" s="17"/>
      <c r="F216" s="17"/>
      <c r="G216" s="17"/>
      <c r="H216" s="17"/>
      <c r="I216" s="26" t="s">
        <v>209</v>
      </c>
      <c r="J216" s="32"/>
      <c r="K216" s="17"/>
      <c r="L216" s="17"/>
      <c r="M216" s="17"/>
      <c r="N216" s="17"/>
      <c r="O216" s="17"/>
      <c r="P216" s="59" t="s">
        <v>7515</v>
      </c>
      <c r="Q216" s="12"/>
      <c r="R216" s="12"/>
      <c r="S216" s="12"/>
      <c r="T216" s="12"/>
      <c r="U216" s="12"/>
      <c r="V216" s="12"/>
      <c r="Z216" s="12"/>
      <c r="AA216" s="12" t="n">
        <v>5</v>
      </c>
      <c r="AB216" s="12"/>
      <c r="AC216" s="12"/>
      <c r="AD216" s="12"/>
      <c r="AE216" s="12"/>
    </row>
    <row r="217" customFormat="false" ht="15.75" hidden="false" customHeight="false" outlineLevel="0" collapsed="false">
      <c r="A217" s="12" t="str">
        <f aca="false">IF((AA217&gt;=4), "Y", "N")</f>
        <v>Y</v>
      </c>
      <c r="B217" s="74"/>
      <c r="C217" s="125" t="s">
        <v>7724</v>
      </c>
      <c r="D217" s="24"/>
      <c r="E217" s="17"/>
      <c r="F217" s="17"/>
      <c r="G217" s="17"/>
      <c r="H217" s="17"/>
      <c r="I217" s="26" t="s">
        <v>209</v>
      </c>
      <c r="J217" s="32"/>
      <c r="K217" s="17"/>
      <c r="L217" s="17"/>
      <c r="M217" s="17"/>
      <c r="N217" s="17"/>
      <c r="O217" s="17"/>
      <c r="P217" s="59" t="s">
        <v>7515</v>
      </c>
      <c r="Q217" s="12"/>
      <c r="R217" s="12"/>
      <c r="S217" s="12"/>
      <c r="T217" s="12"/>
      <c r="U217" s="12"/>
      <c r="V217" s="12"/>
      <c r="Z217" s="12"/>
      <c r="AA217" s="12" t="n">
        <v>5</v>
      </c>
      <c r="AB217" s="12"/>
      <c r="AC217" s="12"/>
      <c r="AD217" s="12"/>
      <c r="AE217" s="12"/>
    </row>
    <row r="218" customFormat="false" ht="15.75" hidden="false" customHeight="false" outlineLevel="0" collapsed="false">
      <c r="A218" s="12" t="str">
        <f aca="false">IF((AA218&gt;=4), "Y", "N")</f>
        <v>Y</v>
      </c>
      <c r="B218" s="74"/>
      <c r="C218" s="26" t="s">
        <v>7725</v>
      </c>
      <c r="D218" s="24"/>
      <c r="E218" s="17"/>
      <c r="F218" s="17"/>
      <c r="G218" s="17"/>
      <c r="H218" s="17"/>
      <c r="I218" s="26" t="s">
        <v>209</v>
      </c>
      <c r="J218" s="32"/>
      <c r="K218" s="17"/>
      <c r="L218" s="17"/>
      <c r="M218" s="17"/>
      <c r="N218" s="17"/>
      <c r="O218" s="17"/>
      <c r="P218" s="59" t="s">
        <v>7515</v>
      </c>
      <c r="Q218" s="12"/>
      <c r="R218" s="12"/>
      <c r="S218" s="12"/>
      <c r="T218" s="12"/>
      <c r="U218" s="12"/>
      <c r="V218" s="12"/>
      <c r="Z218" s="12"/>
      <c r="AA218" s="12" t="n">
        <v>5</v>
      </c>
      <c r="AB218" s="12"/>
      <c r="AC218" s="12"/>
      <c r="AD218" s="12"/>
      <c r="AE218" s="12"/>
    </row>
    <row r="219" customFormat="false" ht="15.75" hidden="false" customHeight="false" outlineLevel="0" collapsed="false">
      <c r="A219" s="12" t="str">
        <f aca="false">IF((AA219&gt;=4), "Y", "N")</f>
        <v>Y</v>
      </c>
      <c r="B219" s="74"/>
      <c r="C219" s="26" t="s">
        <v>7726</v>
      </c>
      <c r="D219" s="24"/>
      <c r="E219" s="17"/>
      <c r="F219" s="17"/>
      <c r="G219" s="17"/>
      <c r="H219" s="17"/>
      <c r="I219" s="26" t="s">
        <v>209</v>
      </c>
      <c r="J219" s="32"/>
      <c r="K219" s="17"/>
      <c r="L219" s="17"/>
      <c r="M219" s="17"/>
      <c r="N219" s="17"/>
      <c r="O219" s="17"/>
      <c r="P219" s="59" t="s">
        <v>7515</v>
      </c>
      <c r="Q219" s="12"/>
      <c r="R219" s="12"/>
      <c r="S219" s="12"/>
      <c r="T219" s="12"/>
      <c r="U219" s="12"/>
      <c r="V219" s="12"/>
      <c r="Z219" s="12"/>
      <c r="AA219" s="12" t="n">
        <v>5</v>
      </c>
      <c r="AB219" s="12"/>
      <c r="AC219" s="12"/>
      <c r="AD219" s="12"/>
      <c r="AE219" s="12"/>
    </row>
    <row r="220" customFormat="false" ht="15.75" hidden="false" customHeight="false" outlineLevel="0" collapsed="false">
      <c r="A220" s="12" t="str">
        <f aca="false">IF((AA220&gt;=4), "Y", "N")</f>
        <v>Y</v>
      </c>
      <c r="B220" s="74"/>
      <c r="C220" s="26" t="s">
        <v>7727</v>
      </c>
      <c r="D220" s="24"/>
      <c r="E220" s="17"/>
      <c r="F220" s="17"/>
      <c r="G220" s="17"/>
      <c r="H220" s="17"/>
      <c r="I220" s="26" t="s">
        <v>209</v>
      </c>
      <c r="J220" s="32"/>
      <c r="K220" s="17"/>
      <c r="L220" s="17"/>
      <c r="M220" s="17"/>
      <c r="N220" s="17"/>
      <c r="O220" s="17"/>
      <c r="P220" s="59" t="s">
        <v>7515</v>
      </c>
      <c r="Q220" s="12"/>
      <c r="R220" s="12"/>
      <c r="S220" s="12"/>
      <c r="T220" s="12"/>
      <c r="U220" s="12"/>
      <c r="V220" s="12"/>
      <c r="Z220" s="12"/>
      <c r="AA220" s="12" t="n">
        <v>5</v>
      </c>
      <c r="AB220" s="12"/>
      <c r="AC220" s="12"/>
      <c r="AD220" s="12"/>
      <c r="AE220" s="12"/>
    </row>
    <row r="221" customFormat="false" ht="15.75" hidden="false" customHeight="false" outlineLevel="0" collapsed="false">
      <c r="A221" s="12" t="str">
        <f aca="false">IF((AA221&gt;=4), "Y", "N")</f>
        <v>Y</v>
      </c>
      <c r="B221" s="74"/>
      <c r="C221" s="26" t="s">
        <v>7728</v>
      </c>
      <c r="D221" s="24"/>
      <c r="E221" s="17"/>
      <c r="F221" s="17"/>
      <c r="G221" s="17"/>
      <c r="H221" s="17"/>
      <c r="I221" s="26" t="s">
        <v>209</v>
      </c>
      <c r="J221" s="32"/>
      <c r="K221" s="17"/>
      <c r="L221" s="17"/>
      <c r="M221" s="17"/>
      <c r="N221" s="17"/>
      <c r="O221" s="17"/>
      <c r="P221" s="59" t="s">
        <v>7515</v>
      </c>
      <c r="Q221" s="12"/>
      <c r="R221" s="12"/>
      <c r="S221" s="12"/>
      <c r="T221" s="12"/>
      <c r="U221" s="12"/>
      <c r="V221" s="12"/>
      <c r="Z221" s="12"/>
      <c r="AA221" s="12" t="n">
        <v>5</v>
      </c>
      <c r="AB221" s="12"/>
      <c r="AC221" s="12"/>
      <c r="AD221" s="12"/>
      <c r="AE221" s="12"/>
    </row>
    <row r="222" customFormat="false" ht="15.75" hidden="false" customHeight="false" outlineLevel="0" collapsed="false">
      <c r="A222" s="12" t="str">
        <f aca="false">IF((AA222&gt;=4), "Y", "N")</f>
        <v>Y</v>
      </c>
      <c r="B222" s="74"/>
      <c r="C222" s="26" t="s">
        <v>7729</v>
      </c>
      <c r="D222" s="24"/>
      <c r="E222" s="17"/>
      <c r="F222" s="17"/>
      <c r="G222" s="17"/>
      <c r="H222" s="17"/>
      <c r="I222" s="26" t="s">
        <v>209</v>
      </c>
      <c r="J222" s="32"/>
      <c r="K222" s="17"/>
      <c r="L222" s="17"/>
      <c r="M222" s="17"/>
      <c r="N222" s="17"/>
      <c r="O222" s="17"/>
      <c r="P222" s="59" t="s">
        <v>7515</v>
      </c>
      <c r="Q222" s="12"/>
      <c r="R222" s="12"/>
      <c r="S222" s="12"/>
      <c r="T222" s="12"/>
      <c r="U222" s="12"/>
      <c r="V222" s="12"/>
      <c r="Z222" s="12"/>
      <c r="AA222" s="12" t="n">
        <v>5</v>
      </c>
      <c r="AB222" s="12"/>
      <c r="AC222" s="12"/>
      <c r="AD222" s="12"/>
      <c r="AE222" s="12"/>
    </row>
    <row r="223" customFormat="false" ht="15.75" hidden="false" customHeight="false" outlineLevel="0" collapsed="false">
      <c r="A223" s="12" t="str">
        <f aca="false">IF((AA223&gt;=4), "Y", "N")</f>
        <v>Y</v>
      </c>
      <c r="B223" s="74"/>
      <c r="C223" s="26" t="s">
        <v>7730</v>
      </c>
      <c r="D223" s="24"/>
      <c r="E223" s="17"/>
      <c r="F223" s="17"/>
      <c r="G223" s="17"/>
      <c r="H223" s="17"/>
      <c r="I223" s="26" t="s">
        <v>209</v>
      </c>
      <c r="J223" s="32"/>
      <c r="K223" s="17"/>
      <c r="L223" s="17"/>
      <c r="M223" s="17"/>
      <c r="N223" s="17"/>
      <c r="O223" s="17"/>
      <c r="P223" s="59" t="s">
        <v>7515</v>
      </c>
      <c r="Q223" s="12"/>
      <c r="R223" s="12"/>
      <c r="S223" s="12"/>
      <c r="T223" s="12"/>
      <c r="U223" s="12"/>
      <c r="V223" s="12"/>
      <c r="Z223" s="12"/>
      <c r="AA223" s="12" t="n">
        <v>5</v>
      </c>
      <c r="AB223" s="12"/>
      <c r="AC223" s="12"/>
      <c r="AD223" s="12"/>
      <c r="AE223" s="12"/>
    </row>
    <row r="224" customFormat="false" ht="15.75" hidden="false" customHeight="false" outlineLevel="0" collapsed="false">
      <c r="A224" s="12" t="str">
        <f aca="false">IF((AA224&gt;=4), "Y", "N")</f>
        <v>Y</v>
      </c>
      <c r="B224" s="74"/>
      <c r="C224" s="26" t="s">
        <v>7731</v>
      </c>
      <c r="D224" s="24"/>
      <c r="E224" s="17"/>
      <c r="F224" s="17"/>
      <c r="G224" s="17"/>
      <c r="H224" s="17"/>
      <c r="I224" s="26" t="s">
        <v>209</v>
      </c>
      <c r="J224" s="32"/>
      <c r="K224" s="17"/>
      <c r="L224" s="17"/>
      <c r="M224" s="17"/>
      <c r="N224" s="17"/>
      <c r="O224" s="17"/>
      <c r="P224" s="59" t="s">
        <v>7515</v>
      </c>
      <c r="Q224" s="12"/>
      <c r="R224" s="12"/>
      <c r="S224" s="12"/>
      <c r="T224" s="12"/>
      <c r="U224" s="12"/>
      <c r="V224" s="12"/>
      <c r="Z224" s="12"/>
      <c r="AA224" s="12" t="n">
        <v>5</v>
      </c>
      <c r="AB224" s="12"/>
      <c r="AC224" s="12"/>
      <c r="AD224" s="12"/>
      <c r="AE224" s="12"/>
    </row>
    <row r="225" customFormat="false" ht="15.75" hidden="false" customHeight="false" outlineLevel="0" collapsed="false">
      <c r="A225" s="12" t="str">
        <f aca="false">IF((AA225&gt;=4), "Y", "N")</f>
        <v>Y</v>
      </c>
      <c r="B225" s="74"/>
      <c r="C225" s="26" t="s">
        <v>7732</v>
      </c>
      <c r="D225" s="24"/>
      <c r="E225" s="17"/>
      <c r="F225" s="17"/>
      <c r="G225" s="17"/>
      <c r="H225" s="17"/>
      <c r="I225" s="26" t="s">
        <v>209</v>
      </c>
      <c r="J225" s="32"/>
      <c r="K225" s="17"/>
      <c r="L225" s="17"/>
      <c r="M225" s="17"/>
      <c r="N225" s="17"/>
      <c r="O225" s="17"/>
      <c r="P225" s="59" t="s">
        <v>7515</v>
      </c>
      <c r="Q225" s="12"/>
      <c r="R225" s="12"/>
      <c r="S225" s="12"/>
      <c r="T225" s="12"/>
      <c r="U225" s="12"/>
      <c r="V225" s="12"/>
      <c r="Z225" s="12"/>
      <c r="AA225" s="12" t="n">
        <v>5</v>
      </c>
      <c r="AB225" s="12"/>
      <c r="AC225" s="12"/>
      <c r="AD225" s="12"/>
      <c r="AE225" s="12"/>
    </row>
    <row r="226" customFormat="false" ht="15.75" hidden="false" customHeight="false" outlineLevel="0" collapsed="false">
      <c r="A226" s="12" t="str">
        <f aca="false">IF((AA226&gt;=4), "Y", "N")</f>
        <v>Y</v>
      </c>
      <c r="B226" s="74"/>
      <c r="C226" s="26" t="s">
        <v>7733</v>
      </c>
      <c r="D226" s="24"/>
      <c r="E226" s="17"/>
      <c r="F226" s="17"/>
      <c r="G226" s="17"/>
      <c r="H226" s="17"/>
      <c r="I226" s="26" t="s">
        <v>209</v>
      </c>
      <c r="J226" s="32"/>
      <c r="K226" s="17"/>
      <c r="L226" s="17"/>
      <c r="M226" s="17"/>
      <c r="N226" s="17"/>
      <c r="O226" s="17"/>
      <c r="P226" s="59" t="s">
        <v>7515</v>
      </c>
      <c r="Q226" s="12"/>
      <c r="R226" s="12"/>
      <c r="S226" s="12"/>
      <c r="T226" s="12"/>
      <c r="U226" s="12"/>
      <c r="V226" s="12"/>
      <c r="Z226" s="12"/>
      <c r="AA226" s="12" t="n">
        <v>5</v>
      </c>
      <c r="AB226" s="12"/>
      <c r="AC226" s="12"/>
      <c r="AD226" s="12"/>
      <c r="AE226" s="12"/>
    </row>
    <row r="227" customFormat="false" ht="15.75" hidden="false" customHeight="false" outlineLevel="0" collapsed="false">
      <c r="A227" s="12" t="str">
        <f aca="false">IF((AA227&gt;=4), "Y", "N")</f>
        <v>Y</v>
      </c>
      <c r="B227" s="74"/>
      <c r="C227" s="26" t="s">
        <v>7734</v>
      </c>
      <c r="D227" s="24"/>
      <c r="E227" s="17"/>
      <c r="F227" s="17"/>
      <c r="G227" s="17"/>
      <c r="H227" s="17"/>
      <c r="I227" s="26" t="s">
        <v>209</v>
      </c>
      <c r="J227" s="32"/>
      <c r="K227" s="17"/>
      <c r="L227" s="17"/>
      <c r="M227" s="17"/>
      <c r="N227" s="17"/>
      <c r="O227" s="17"/>
      <c r="P227" s="59" t="s">
        <v>7515</v>
      </c>
      <c r="Q227" s="12"/>
      <c r="R227" s="12"/>
      <c r="S227" s="12"/>
      <c r="T227" s="12"/>
      <c r="U227" s="12"/>
      <c r="V227" s="12"/>
      <c r="Z227" s="12"/>
      <c r="AA227" s="12" t="n">
        <v>5</v>
      </c>
      <c r="AB227" s="12"/>
      <c r="AC227" s="12"/>
      <c r="AD227" s="12"/>
      <c r="AE227" s="12"/>
    </row>
    <row r="228" customFormat="false" ht="15.75" hidden="false" customHeight="false" outlineLevel="0" collapsed="false">
      <c r="A228" s="12" t="str">
        <f aca="false">IF((AA228&gt;=4), "Y", "N")</f>
        <v>Y</v>
      </c>
      <c r="B228" s="74"/>
      <c r="C228" s="26" t="s">
        <v>7735</v>
      </c>
      <c r="D228" s="24"/>
      <c r="E228" s="17"/>
      <c r="F228" s="17"/>
      <c r="G228" s="17"/>
      <c r="H228" s="17"/>
      <c r="I228" s="26" t="s">
        <v>209</v>
      </c>
      <c r="J228" s="32"/>
      <c r="K228" s="17"/>
      <c r="L228" s="17"/>
      <c r="M228" s="17"/>
      <c r="N228" s="17"/>
      <c r="O228" s="17"/>
      <c r="P228" s="59" t="s">
        <v>7515</v>
      </c>
      <c r="Q228" s="12"/>
      <c r="R228" s="12"/>
      <c r="S228" s="12"/>
      <c r="T228" s="12"/>
      <c r="U228" s="12"/>
      <c r="V228" s="12"/>
      <c r="Z228" s="12"/>
      <c r="AA228" s="12" t="n">
        <v>5</v>
      </c>
      <c r="AB228" s="12"/>
      <c r="AC228" s="12"/>
      <c r="AD228" s="12"/>
      <c r="AE228" s="12"/>
    </row>
    <row r="229" customFormat="false" ht="15.75" hidden="false" customHeight="false" outlineLevel="0" collapsed="false">
      <c r="A229" s="12" t="str">
        <f aca="false">IF((AA229&gt;=4), "Y", "N")</f>
        <v>Y</v>
      </c>
      <c r="B229" s="74"/>
      <c r="C229" s="26" t="s">
        <v>7736</v>
      </c>
      <c r="D229" s="24"/>
      <c r="E229" s="17"/>
      <c r="F229" s="17"/>
      <c r="G229" s="17"/>
      <c r="H229" s="17"/>
      <c r="I229" s="26" t="s">
        <v>209</v>
      </c>
      <c r="J229" s="32"/>
      <c r="K229" s="17"/>
      <c r="L229" s="17"/>
      <c r="M229" s="17"/>
      <c r="N229" s="17"/>
      <c r="O229" s="17"/>
      <c r="P229" s="59" t="s">
        <v>7515</v>
      </c>
      <c r="Q229" s="12"/>
      <c r="R229" s="12"/>
      <c r="S229" s="12"/>
      <c r="T229" s="12"/>
      <c r="U229" s="12"/>
      <c r="V229" s="12"/>
      <c r="Z229" s="12"/>
      <c r="AA229" s="12" t="n">
        <v>5</v>
      </c>
      <c r="AB229" s="12"/>
      <c r="AC229" s="12"/>
      <c r="AD229" s="12"/>
      <c r="AE229" s="12"/>
    </row>
    <row r="230" customFormat="false" ht="15.75" hidden="false" customHeight="false" outlineLevel="0" collapsed="false">
      <c r="A230" s="12" t="str">
        <f aca="false">IF((AA230&gt;=4), "Y", "N")</f>
        <v>Y</v>
      </c>
      <c r="B230" s="74"/>
      <c r="C230" s="26" t="s">
        <v>7737</v>
      </c>
      <c r="D230" s="24"/>
      <c r="E230" s="17"/>
      <c r="F230" s="17"/>
      <c r="G230" s="17"/>
      <c r="H230" s="17"/>
      <c r="I230" s="26" t="s">
        <v>209</v>
      </c>
      <c r="J230" s="32"/>
      <c r="K230" s="17"/>
      <c r="L230" s="17"/>
      <c r="M230" s="17"/>
      <c r="N230" s="17"/>
      <c r="O230" s="17"/>
      <c r="P230" s="59" t="s">
        <v>7515</v>
      </c>
      <c r="Q230" s="12"/>
      <c r="R230" s="12"/>
      <c r="S230" s="12"/>
      <c r="T230" s="12"/>
      <c r="U230" s="12"/>
      <c r="V230" s="12"/>
      <c r="Z230" s="12"/>
      <c r="AA230" s="12" t="n">
        <v>5</v>
      </c>
      <c r="AB230" s="12"/>
      <c r="AC230" s="12"/>
      <c r="AD230" s="12"/>
      <c r="AE230" s="12"/>
    </row>
    <row r="231" customFormat="false" ht="15.75" hidden="false" customHeight="false" outlineLevel="0" collapsed="false">
      <c r="A231" s="12" t="str">
        <f aca="false">IF((AA231&gt;=4), "Y", "N")</f>
        <v>Y</v>
      </c>
      <c r="B231" s="74"/>
      <c r="C231" s="26" t="s">
        <v>7738</v>
      </c>
      <c r="D231" s="24"/>
      <c r="E231" s="17"/>
      <c r="F231" s="17"/>
      <c r="G231" s="17"/>
      <c r="H231" s="17"/>
      <c r="I231" s="26" t="s">
        <v>209</v>
      </c>
      <c r="J231" s="32"/>
      <c r="K231" s="17"/>
      <c r="L231" s="17"/>
      <c r="M231" s="17"/>
      <c r="N231" s="17"/>
      <c r="O231" s="17"/>
      <c r="P231" s="59" t="s">
        <v>7515</v>
      </c>
      <c r="Q231" s="12"/>
      <c r="R231" s="12"/>
      <c r="S231" s="12"/>
      <c r="T231" s="12"/>
      <c r="U231" s="12"/>
      <c r="V231" s="12"/>
      <c r="Z231" s="12"/>
      <c r="AA231" s="12" t="n">
        <v>5</v>
      </c>
      <c r="AB231" s="12"/>
      <c r="AC231" s="12"/>
      <c r="AD231" s="12"/>
      <c r="AE231" s="12"/>
    </row>
    <row r="232" customFormat="false" ht="15.75" hidden="false" customHeight="false" outlineLevel="0" collapsed="false">
      <c r="A232" s="12" t="str">
        <f aca="false">IF((AA232&gt;=4), "Y", "N")</f>
        <v>Y</v>
      </c>
      <c r="B232" s="74"/>
      <c r="C232" s="26" t="s">
        <v>7739</v>
      </c>
      <c r="D232" s="24"/>
      <c r="E232" s="17"/>
      <c r="F232" s="17"/>
      <c r="G232" s="17"/>
      <c r="H232" s="17"/>
      <c r="I232" s="26" t="s">
        <v>209</v>
      </c>
      <c r="J232" s="32"/>
      <c r="K232" s="17"/>
      <c r="L232" s="17"/>
      <c r="M232" s="17"/>
      <c r="N232" s="17"/>
      <c r="O232" s="17"/>
      <c r="P232" s="59" t="s">
        <v>7515</v>
      </c>
      <c r="Q232" s="12"/>
      <c r="R232" s="12"/>
      <c r="S232" s="12"/>
      <c r="T232" s="12"/>
      <c r="U232" s="12"/>
      <c r="V232" s="12"/>
      <c r="Z232" s="12"/>
      <c r="AA232" s="12" t="n">
        <v>5</v>
      </c>
      <c r="AB232" s="12"/>
      <c r="AC232" s="12"/>
      <c r="AD232" s="12"/>
      <c r="AE232" s="12"/>
    </row>
    <row r="233" customFormat="false" ht="15.75" hidden="false" customHeight="false" outlineLevel="0" collapsed="false">
      <c r="A233" s="12" t="str">
        <f aca="false">IF((AA233&gt;=4), "Y", "N")</f>
        <v>Y</v>
      </c>
      <c r="B233" s="74"/>
      <c r="C233" s="26" t="s">
        <v>7740</v>
      </c>
      <c r="D233" s="24"/>
      <c r="E233" s="17"/>
      <c r="F233" s="17"/>
      <c r="G233" s="17"/>
      <c r="H233" s="17"/>
      <c r="I233" s="26" t="s">
        <v>209</v>
      </c>
      <c r="J233" s="32"/>
      <c r="K233" s="17"/>
      <c r="L233" s="17"/>
      <c r="M233" s="17"/>
      <c r="N233" s="17"/>
      <c r="O233" s="17"/>
      <c r="P233" s="59" t="s">
        <v>7515</v>
      </c>
      <c r="Q233" s="12"/>
      <c r="R233" s="12"/>
      <c r="S233" s="12"/>
      <c r="T233" s="12"/>
      <c r="U233" s="12"/>
      <c r="V233" s="12"/>
      <c r="Z233" s="12"/>
      <c r="AA233" s="12" t="n">
        <v>5</v>
      </c>
      <c r="AB233" s="12"/>
      <c r="AC233" s="12"/>
      <c r="AD233" s="12"/>
      <c r="AE233" s="12"/>
    </row>
    <row r="234" customFormat="false" ht="15.75" hidden="false" customHeight="false" outlineLevel="0" collapsed="false">
      <c r="A234" s="12" t="str">
        <f aca="false">IF((AA234&gt;=4), "Y", "N")</f>
        <v>Y</v>
      </c>
      <c r="B234" s="74"/>
      <c r="C234" s="26" t="s">
        <v>7741</v>
      </c>
      <c r="D234" s="24"/>
      <c r="E234" s="17"/>
      <c r="F234" s="17"/>
      <c r="G234" s="17"/>
      <c r="H234" s="17"/>
      <c r="I234" s="26" t="s">
        <v>209</v>
      </c>
      <c r="J234" s="32"/>
      <c r="K234" s="17"/>
      <c r="L234" s="17"/>
      <c r="M234" s="17"/>
      <c r="N234" s="17"/>
      <c r="O234" s="17"/>
      <c r="P234" s="59" t="s">
        <v>7515</v>
      </c>
      <c r="Q234" s="12"/>
      <c r="R234" s="12"/>
      <c r="S234" s="12"/>
      <c r="T234" s="12"/>
      <c r="U234" s="12"/>
      <c r="V234" s="12"/>
      <c r="Z234" s="12"/>
      <c r="AA234" s="12" t="n">
        <v>5</v>
      </c>
      <c r="AB234" s="12"/>
      <c r="AC234" s="12"/>
      <c r="AD234" s="12"/>
      <c r="AE234" s="12"/>
    </row>
    <row r="235" customFormat="false" ht="15.75" hidden="false" customHeight="false" outlineLevel="0" collapsed="false">
      <c r="A235" s="12" t="str">
        <f aca="false">IF((AA235&gt;=4), "Y", "N")</f>
        <v>Y</v>
      </c>
      <c r="B235" s="74"/>
      <c r="C235" s="26" t="s">
        <v>7742</v>
      </c>
      <c r="D235" s="24"/>
      <c r="E235" s="17"/>
      <c r="F235" s="17"/>
      <c r="G235" s="17"/>
      <c r="H235" s="17"/>
      <c r="I235" s="26" t="s">
        <v>209</v>
      </c>
      <c r="J235" s="32"/>
      <c r="K235" s="17"/>
      <c r="L235" s="17"/>
      <c r="M235" s="17"/>
      <c r="N235" s="17"/>
      <c r="O235" s="17"/>
      <c r="P235" s="59" t="s">
        <v>7515</v>
      </c>
      <c r="Q235" s="12"/>
      <c r="R235" s="12"/>
      <c r="S235" s="12"/>
      <c r="T235" s="12"/>
      <c r="U235" s="12"/>
      <c r="V235" s="12"/>
      <c r="Z235" s="12"/>
      <c r="AA235" s="12" t="n">
        <v>5</v>
      </c>
      <c r="AB235" s="12"/>
      <c r="AC235" s="12"/>
      <c r="AD235" s="12"/>
      <c r="AE235" s="12"/>
    </row>
    <row r="236" customFormat="false" ht="15.75" hidden="false" customHeight="false" outlineLevel="0" collapsed="false">
      <c r="A236" s="12" t="str">
        <f aca="false">IF((AA236&gt;=4), "Y", "N")</f>
        <v>Y</v>
      </c>
      <c r="B236" s="74"/>
      <c r="C236" s="26" t="s">
        <v>7743</v>
      </c>
      <c r="D236" s="24"/>
      <c r="E236" s="17"/>
      <c r="F236" s="17"/>
      <c r="G236" s="17"/>
      <c r="H236" s="17"/>
      <c r="I236" s="26" t="s">
        <v>209</v>
      </c>
      <c r="J236" s="32"/>
      <c r="K236" s="17"/>
      <c r="L236" s="17"/>
      <c r="M236" s="17"/>
      <c r="N236" s="17"/>
      <c r="O236" s="17"/>
      <c r="P236" s="59" t="s">
        <v>7515</v>
      </c>
      <c r="Q236" s="12"/>
      <c r="R236" s="12"/>
      <c r="S236" s="12"/>
      <c r="T236" s="12"/>
      <c r="U236" s="12"/>
      <c r="V236" s="12"/>
      <c r="Z236" s="12"/>
      <c r="AA236" s="12" t="n">
        <v>5</v>
      </c>
      <c r="AB236" s="12"/>
      <c r="AC236" s="12"/>
      <c r="AD236" s="12"/>
      <c r="AE236" s="12"/>
    </row>
    <row r="237" customFormat="false" ht="15.75" hidden="false" customHeight="false" outlineLevel="0" collapsed="false">
      <c r="A237" s="12" t="str">
        <f aca="false">IF((AA237&gt;=4), "Y", "N")</f>
        <v>Y</v>
      </c>
      <c r="B237" s="74"/>
      <c r="C237" s="26" t="s">
        <v>7744</v>
      </c>
      <c r="D237" s="24"/>
      <c r="E237" s="17"/>
      <c r="F237" s="17"/>
      <c r="G237" s="17"/>
      <c r="H237" s="17"/>
      <c r="I237" s="26" t="s">
        <v>209</v>
      </c>
      <c r="J237" s="32"/>
      <c r="K237" s="17"/>
      <c r="L237" s="17"/>
      <c r="M237" s="17"/>
      <c r="N237" s="17"/>
      <c r="O237" s="17"/>
      <c r="P237" s="59" t="s">
        <v>7515</v>
      </c>
      <c r="Q237" s="12"/>
      <c r="R237" s="12"/>
      <c r="S237" s="12"/>
      <c r="T237" s="12"/>
      <c r="U237" s="12"/>
      <c r="V237" s="12"/>
      <c r="Z237" s="12"/>
      <c r="AA237" s="12" t="n">
        <v>5</v>
      </c>
      <c r="AB237" s="12"/>
      <c r="AC237" s="12"/>
      <c r="AD237" s="12"/>
      <c r="AE237" s="12"/>
    </row>
    <row r="238" customFormat="false" ht="15.75" hidden="false" customHeight="false" outlineLevel="0" collapsed="false">
      <c r="A238" s="12" t="str">
        <f aca="false">IF((AA238&gt;=4), "Y", "N")</f>
        <v>Y</v>
      </c>
      <c r="B238" s="74"/>
      <c r="C238" s="26" t="s">
        <v>7745</v>
      </c>
      <c r="D238" s="24"/>
      <c r="E238" s="17"/>
      <c r="F238" s="17"/>
      <c r="G238" s="17"/>
      <c r="H238" s="17"/>
      <c r="I238" s="26" t="s">
        <v>209</v>
      </c>
      <c r="J238" s="32"/>
      <c r="K238" s="17"/>
      <c r="L238" s="17"/>
      <c r="M238" s="17"/>
      <c r="N238" s="17"/>
      <c r="O238" s="17"/>
      <c r="P238" s="59" t="s">
        <v>7515</v>
      </c>
      <c r="Q238" s="12"/>
      <c r="R238" s="12"/>
      <c r="S238" s="12"/>
      <c r="T238" s="12"/>
      <c r="U238" s="12"/>
      <c r="V238" s="12"/>
      <c r="Z238" s="12"/>
      <c r="AA238" s="12" t="n">
        <v>5</v>
      </c>
      <c r="AB238" s="12"/>
      <c r="AC238" s="12"/>
      <c r="AD238" s="12"/>
      <c r="AE238" s="12"/>
    </row>
    <row r="239" customFormat="false" ht="15.75" hidden="false" customHeight="false" outlineLevel="0" collapsed="false">
      <c r="A239" s="12" t="str">
        <f aca="false">IF((AA239&gt;=4), "Y", "N")</f>
        <v>Y</v>
      </c>
      <c r="B239" s="74"/>
      <c r="C239" s="26" t="s">
        <v>7746</v>
      </c>
      <c r="D239" s="24"/>
      <c r="E239" s="17"/>
      <c r="F239" s="17"/>
      <c r="G239" s="17"/>
      <c r="H239" s="17"/>
      <c r="I239" s="26" t="s">
        <v>209</v>
      </c>
      <c r="J239" s="32"/>
      <c r="K239" s="17"/>
      <c r="L239" s="17"/>
      <c r="M239" s="17"/>
      <c r="N239" s="17"/>
      <c r="O239" s="17"/>
      <c r="P239" s="59" t="s">
        <v>7515</v>
      </c>
      <c r="Q239" s="12"/>
      <c r="R239" s="12"/>
      <c r="S239" s="12"/>
      <c r="T239" s="12"/>
      <c r="U239" s="12"/>
      <c r="V239" s="12"/>
      <c r="Z239" s="12"/>
      <c r="AA239" s="12" t="n">
        <v>5</v>
      </c>
      <c r="AB239" s="12"/>
      <c r="AC239" s="12"/>
      <c r="AD239" s="12"/>
      <c r="AE239" s="12"/>
    </row>
    <row r="240" customFormat="false" ht="15.75" hidden="false" customHeight="false" outlineLevel="0" collapsed="false">
      <c r="A240" s="12" t="str">
        <f aca="false">IF((AA240&gt;=4), "Y", "N")</f>
        <v>Y</v>
      </c>
      <c r="B240" s="74"/>
      <c r="C240" s="26" t="s">
        <v>7747</v>
      </c>
      <c r="D240" s="24"/>
      <c r="E240" s="17"/>
      <c r="F240" s="17"/>
      <c r="G240" s="17"/>
      <c r="H240" s="17"/>
      <c r="I240" s="26" t="s">
        <v>209</v>
      </c>
      <c r="J240" s="32"/>
      <c r="K240" s="17"/>
      <c r="L240" s="17"/>
      <c r="M240" s="17"/>
      <c r="N240" s="17"/>
      <c r="O240" s="17"/>
      <c r="P240" s="59" t="s">
        <v>7515</v>
      </c>
      <c r="Q240" s="12"/>
      <c r="R240" s="12"/>
      <c r="S240" s="12"/>
      <c r="T240" s="12"/>
      <c r="U240" s="12"/>
      <c r="V240" s="12"/>
      <c r="Z240" s="12"/>
      <c r="AA240" s="12" t="n">
        <v>5</v>
      </c>
      <c r="AB240" s="12"/>
      <c r="AC240" s="12"/>
      <c r="AD240" s="12"/>
      <c r="AE240" s="12"/>
    </row>
    <row r="241" customFormat="false" ht="15.75" hidden="false" customHeight="false" outlineLevel="0" collapsed="false">
      <c r="A241" s="12" t="str">
        <f aca="false">IF((AA241&gt;=4), "Y", "N")</f>
        <v>Y</v>
      </c>
      <c r="B241" s="74"/>
      <c r="C241" s="26" t="s">
        <v>7748</v>
      </c>
      <c r="D241" s="24"/>
      <c r="E241" s="17"/>
      <c r="F241" s="17"/>
      <c r="G241" s="17"/>
      <c r="H241" s="17"/>
      <c r="I241" s="26" t="s">
        <v>209</v>
      </c>
      <c r="J241" s="32"/>
      <c r="K241" s="17"/>
      <c r="L241" s="17"/>
      <c r="M241" s="17"/>
      <c r="N241" s="17"/>
      <c r="O241" s="17"/>
      <c r="P241" s="59" t="s">
        <v>7515</v>
      </c>
      <c r="Q241" s="12"/>
      <c r="R241" s="12"/>
      <c r="S241" s="12"/>
      <c r="T241" s="12"/>
      <c r="U241" s="12"/>
      <c r="V241" s="12"/>
      <c r="Z241" s="12"/>
      <c r="AA241" s="12" t="n">
        <v>5</v>
      </c>
      <c r="AB241" s="12"/>
      <c r="AC241" s="12"/>
      <c r="AD241" s="12"/>
      <c r="AE241" s="12"/>
    </row>
    <row r="242" customFormat="false" ht="15.75" hidden="false" customHeight="false" outlineLevel="0" collapsed="false">
      <c r="A242" s="12" t="str">
        <f aca="false">IF((AA242&gt;=4), "Y", "N")</f>
        <v>Y</v>
      </c>
      <c r="B242" s="74"/>
      <c r="C242" s="26" t="s">
        <v>7749</v>
      </c>
      <c r="D242" s="24"/>
      <c r="E242" s="17"/>
      <c r="F242" s="17"/>
      <c r="G242" s="17"/>
      <c r="H242" s="17"/>
      <c r="I242" s="26" t="s">
        <v>209</v>
      </c>
      <c r="J242" s="32"/>
      <c r="K242" s="17"/>
      <c r="L242" s="17"/>
      <c r="M242" s="17"/>
      <c r="N242" s="17"/>
      <c r="O242" s="17"/>
      <c r="P242" s="59" t="s">
        <v>7515</v>
      </c>
      <c r="Q242" s="12"/>
      <c r="R242" s="12"/>
      <c r="S242" s="12"/>
      <c r="T242" s="12"/>
      <c r="U242" s="12"/>
      <c r="V242" s="12"/>
      <c r="Z242" s="12"/>
      <c r="AA242" s="12" t="n">
        <v>5</v>
      </c>
      <c r="AB242" s="12"/>
      <c r="AC242" s="12"/>
      <c r="AD242" s="12"/>
      <c r="AE242" s="12"/>
    </row>
    <row r="243" customFormat="false" ht="15.75" hidden="false" customHeight="false" outlineLevel="0" collapsed="false">
      <c r="A243" s="12" t="str">
        <f aca="false">IF((AA243&gt;=4), "Y", "N")</f>
        <v>Y</v>
      </c>
      <c r="B243" s="74"/>
      <c r="C243" s="26" t="s">
        <v>7750</v>
      </c>
      <c r="D243" s="24"/>
      <c r="E243" s="17"/>
      <c r="F243" s="17"/>
      <c r="G243" s="17"/>
      <c r="H243" s="17"/>
      <c r="I243" s="26" t="s">
        <v>209</v>
      </c>
      <c r="J243" s="32"/>
      <c r="K243" s="17"/>
      <c r="L243" s="17"/>
      <c r="M243" s="17"/>
      <c r="N243" s="17"/>
      <c r="O243" s="17"/>
      <c r="P243" s="59" t="s">
        <v>7515</v>
      </c>
      <c r="Q243" s="12"/>
      <c r="R243" s="12"/>
      <c r="S243" s="12"/>
      <c r="T243" s="12"/>
      <c r="U243" s="12"/>
      <c r="V243" s="12"/>
      <c r="Z243" s="12"/>
      <c r="AA243" s="12" t="n">
        <v>5</v>
      </c>
      <c r="AB243" s="12"/>
      <c r="AC243" s="12"/>
      <c r="AD243" s="12"/>
      <c r="AE243" s="12"/>
    </row>
    <row r="244" customFormat="false" ht="15.75" hidden="false" customHeight="false" outlineLevel="0" collapsed="false">
      <c r="A244" s="12" t="str">
        <f aca="false">IF((AA244&gt;=4), "Y", "N")</f>
        <v>Y</v>
      </c>
      <c r="B244" s="74"/>
      <c r="C244" s="26" t="s">
        <v>7751</v>
      </c>
      <c r="D244" s="24"/>
      <c r="E244" s="17"/>
      <c r="F244" s="17"/>
      <c r="G244" s="17"/>
      <c r="H244" s="17"/>
      <c r="I244" s="26" t="s">
        <v>209</v>
      </c>
      <c r="J244" s="32"/>
      <c r="K244" s="17"/>
      <c r="L244" s="17"/>
      <c r="M244" s="17"/>
      <c r="N244" s="17"/>
      <c r="O244" s="17"/>
      <c r="P244" s="59" t="s">
        <v>7515</v>
      </c>
      <c r="Q244" s="12"/>
      <c r="R244" s="12"/>
      <c r="S244" s="12"/>
      <c r="T244" s="12"/>
      <c r="U244" s="12"/>
      <c r="V244" s="12"/>
      <c r="Z244" s="12"/>
      <c r="AA244" s="12" t="n">
        <v>5</v>
      </c>
      <c r="AB244" s="12"/>
      <c r="AC244" s="12"/>
      <c r="AD244" s="12"/>
      <c r="AE244" s="12"/>
    </row>
    <row r="245" customFormat="false" ht="15.75" hidden="false" customHeight="false" outlineLevel="0" collapsed="false">
      <c r="A245" s="12" t="str">
        <f aca="false">IF((AA245&gt;=4), "Y", "N")</f>
        <v>Y</v>
      </c>
      <c r="B245" s="74"/>
      <c r="C245" s="26" t="s">
        <v>7752</v>
      </c>
      <c r="D245" s="24"/>
      <c r="E245" s="17"/>
      <c r="F245" s="17"/>
      <c r="G245" s="17"/>
      <c r="H245" s="17"/>
      <c r="I245" s="26" t="s">
        <v>209</v>
      </c>
      <c r="J245" s="32"/>
      <c r="K245" s="17"/>
      <c r="L245" s="17"/>
      <c r="M245" s="17"/>
      <c r="N245" s="17"/>
      <c r="O245" s="17"/>
      <c r="P245" s="59" t="s">
        <v>7515</v>
      </c>
      <c r="Q245" s="12"/>
      <c r="R245" s="12"/>
      <c r="S245" s="12"/>
      <c r="T245" s="12"/>
      <c r="U245" s="12"/>
      <c r="V245" s="12"/>
      <c r="Z245" s="12"/>
      <c r="AA245" s="12" t="n">
        <v>5</v>
      </c>
      <c r="AB245" s="12"/>
      <c r="AC245" s="12"/>
      <c r="AD245" s="12"/>
      <c r="AE245" s="12"/>
    </row>
    <row r="246" customFormat="false" ht="15.75" hidden="false" customHeight="false" outlineLevel="0" collapsed="false">
      <c r="A246" s="12" t="str">
        <f aca="false">IF((AA246&gt;=4), "Y", "N")</f>
        <v>Y</v>
      </c>
      <c r="B246" s="74"/>
      <c r="C246" s="26" t="s">
        <v>7753</v>
      </c>
      <c r="D246" s="24"/>
      <c r="E246" s="17"/>
      <c r="F246" s="17"/>
      <c r="G246" s="17"/>
      <c r="H246" s="17"/>
      <c r="I246" s="26" t="s">
        <v>209</v>
      </c>
      <c r="J246" s="32"/>
      <c r="K246" s="17"/>
      <c r="L246" s="17"/>
      <c r="M246" s="17"/>
      <c r="N246" s="17"/>
      <c r="O246" s="17"/>
      <c r="P246" s="59" t="s">
        <v>7515</v>
      </c>
      <c r="Q246" s="12"/>
      <c r="R246" s="12"/>
      <c r="S246" s="12"/>
      <c r="T246" s="12"/>
      <c r="U246" s="12"/>
      <c r="V246" s="12"/>
      <c r="Z246" s="12"/>
      <c r="AA246" s="12" t="n">
        <v>5</v>
      </c>
      <c r="AB246" s="12"/>
      <c r="AC246" s="12"/>
      <c r="AD246" s="12"/>
      <c r="AE246" s="12"/>
    </row>
    <row r="247" customFormat="false" ht="15.75" hidden="false" customHeight="false" outlineLevel="0" collapsed="false">
      <c r="A247" s="12" t="str">
        <f aca="false">IF((AA247&gt;=4), "Y", "N")</f>
        <v>Y</v>
      </c>
      <c r="B247" s="74"/>
      <c r="C247" s="26" t="s">
        <v>7754</v>
      </c>
      <c r="D247" s="24"/>
      <c r="E247" s="17"/>
      <c r="F247" s="17"/>
      <c r="G247" s="17"/>
      <c r="H247" s="17"/>
      <c r="I247" s="26" t="s">
        <v>209</v>
      </c>
      <c r="J247" s="32"/>
      <c r="K247" s="17"/>
      <c r="L247" s="17"/>
      <c r="M247" s="17"/>
      <c r="N247" s="17"/>
      <c r="O247" s="17"/>
      <c r="P247" s="59" t="s">
        <v>7515</v>
      </c>
      <c r="Q247" s="12"/>
      <c r="R247" s="12"/>
      <c r="S247" s="12"/>
      <c r="T247" s="12"/>
      <c r="U247" s="12"/>
      <c r="V247" s="12"/>
      <c r="Z247" s="12"/>
      <c r="AA247" s="12" t="n">
        <v>5</v>
      </c>
      <c r="AB247" s="12"/>
      <c r="AC247" s="12"/>
      <c r="AD247" s="12"/>
      <c r="AE247" s="12"/>
    </row>
    <row r="248" customFormat="false" ht="15.75" hidden="false" customHeight="false" outlineLevel="0" collapsed="false">
      <c r="A248" s="12" t="str">
        <f aca="false">IF((AA248&gt;=4), "Y", "N")</f>
        <v>Y</v>
      </c>
      <c r="B248" s="74"/>
      <c r="C248" s="26" t="s">
        <v>7755</v>
      </c>
      <c r="D248" s="24"/>
      <c r="E248" s="17"/>
      <c r="F248" s="17"/>
      <c r="G248" s="17"/>
      <c r="H248" s="17"/>
      <c r="I248" s="26" t="s">
        <v>209</v>
      </c>
      <c r="J248" s="32"/>
      <c r="K248" s="17"/>
      <c r="L248" s="17"/>
      <c r="M248" s="17"/>
      <c r="N248" s="17"/>
      <c r="O248" s="17"/>
      <c r="P248" s="59" t="s">
        <v>7515</v>
      </c>
      <c r="Q248" s="12"/>
      <c r="R248" s="12"/>
      <c r="S248" s="12"/>
      <c r="T248" s="12"/>
      <c r="U248" s="12"/>
      <c r="V248" s="12"/>
      <c r="Z248" s="12"/>
      <c r="AA248" s="12" t="n">
        <v>5</v>
      </c>
      <c r="AB248" s="12"/>
      <c r="AC248" s="12"/>
      <c r="AD248" s="12"/>
      <c r="AE248" s="12"/>
    </row>
    <row r="249" customFormat="false" ht="15.75" hidden="false" customHeight="false" outlineLevel="0" collapsed="false">
      <c r="A249" s="12" t="str">
        <f aca="false">IF((AA249&gt;=4), "Y", "N")</f>
        <v>Y</v>
      </c>
      <c r="B249" s="74"/>
      <c r="C249" s="125" t="s">
        <v>7756</v>
      </c>
      <c r="D249" s="24"/>
      <c r="E249" s="17"/>
      <c r="F249" s="17"/>
      <c r="G249" s="17"/>
      <c r="H249" s="17"/>
      <c r="I249" s="26" t="s">
        <v>209</v>
      </c>
      <c r="J249" s="32"/>
      <c r="K249" s="17"/>
      <c r="L249" s="17"/>
      <c r="M249" s="17"/>
      <c r="N249" s="17"/>
      <c r="O249" s="17"/>
      <c r="P249" s="59" t="s">
        <v>7515</v>
      </c>
      <c r="Q249" s="12"/>
      <c r="R249" s="12"/>
      <c r="S249" s="12"/>
      <c r="T249" s="12"/>
      <c r="U249" s="12"/>
      <c r="V249" s="12"/>
      <c r="Z249" s="12"/>
      <c r="AA249" s="12" t="n">
        <v>5</v>
      </c>
      <c r="AB249" s="12"/>
      <c r="AC249" s="12"/>
      <c r="AD249" s="12"/>
      <c r="AE249" s="12"/>
    </row>
    <row r="250" customFormat="false" ht="15.75" hidden="false" customHeight="false" outlineLevel="0" collapsed="false">
      <c r="A250" s="12" t="str">
        <f aca="false">IF((AA250&gt;=4), "Y", "N")</f>
        <v>Y</v>
      </c>
      <c r="B250" s="74"/>
      <c r="C250" s="26" t="s">
        <v>7757</v>
      </c>
      <c r="D250" s="24"/>
      <c r="E250" s="17"/>
      <c r="F250" s="17"/>
      <c r="G250" s="17"/>
      <c r="H250" s="17"/>
      <c r="I250" s="26" t="s">
        <v>209</v>
      </c>
      <c r="J250" s="32"/>
      <c r="K250" s="17"/>
      <c r="L250" s="17"/>
      <c r="M250" s="17"/>
      <c r="N250" s="17"/>
      <c r="O250" s="17"/>
      <c r="P250" s="59" t="s">
        <v>7515</v>
      </c>
      <c r="Q250" s="12"/>
      <c r="R250" s="12"/>
      <c r="S250" s="12"/>
      <c r="T250" s="12"/>
      <c r="U250" s="12"/>
      <c r="V250" s="12"/>
      <c r="Z250" s="12"/>
      <c r="AA250" s="12" t="n">
        <v>5</v>
      </c>
      <c r="AB250" s="12"/>
      <c r="AC250" s="12"/>
      <c r="AD250" s="12"/>
      <c r="AE250" s="12"/>
    </row>
    <row r="251" customFormat="false" ht="15.75" hidden="false" customHeight="false" outlineLevel="0" collapsed="false">
      <c r="A251" s="12" t="str">
        <f aca="false">IF((AA251&gt;=4), "Y", "N")</f>
        <v>Y</v>
      </c>
      <c r="B251" s="74"/>
      <c r="C251" s="26" t="s">
        <v>7758</v>
      </c>
      <c r="D251" s="24"/>
      <c r="E251" s="17"/>
      <c r="F251" s="17"/>
      <c r="G251" s="17"/>
      <c r="H251" s="17"/>
      <c r="I251" s="26" t="s">
        <v>209</v>
      </c>
      <c r="J251" s="32"/>
      <c r="K251" s="17"/>
      <c r="L251" s="17"/>
      <c r="M251" s="17"/>
      <c r="N251" s="17"/>
      <c r="O251" s="17"/>
      <c r="P251" s="59" t="s">
        <v>7515</v>
      </c>
      <c r="Q251" s="12"/>
      <c r="R251" s="12"/>
      <c r="S251" s="12"/>
      <c r="T251" s="12"/>
      <c r="U251" s="12"/>
      <c r="V251" s="12"/>
      <c r="Z251" s="12"/>
      <c r="AA251" s="12" t="n">
        <v>5</v>
      </c>
      <c r="AB251" s="12"/>
      <c r="AC251" s="12"/>
      <c r="AD251" s="12"/>
      <c r="AE251" s="12"/>
    </row>
    <row r="252" customFormat="false" ht="15.75" hidden="false" customHeight="false" outlineLevel="0" collapsed="false">
      <c r="A252" s="12" t="str">
        <f aca="false">IF((AA252&gt;=4), "Y", "N")</f>
        <v>Y</v>
      </c>
      <c r="B252" s="74"/>
      <c r="C252" s="26" t="s">
        <v>7759</v>
      </c>
      <c r="D252" s="24"/>
      <c r="E252" s="17"/>
      <c r="F252" s="17"/>
      <c r="G252" s="17"/>
      <c r="H252" s="17"/>
      <c r="I252" s="26" t="s">
        <v>209</v>
      </c>
      <c r="J252" s="32"/>
      <c r="K252" s="17"/>
      <c r="L252" s="17"/>
      <c r="M252" s="17"/>
      <c r="N252" s="17"/>
      <c r="O252" s="17"/>
      <c r="P252" s="59" t="s">
        <v>7515</v>
      </c>
      <c r="Q252" s="12"/>
      <c r="R252" s="12"/>
      <c r="S252" s="12"/>
      <c r="T252" s="12"/>
      <c r="U252" s="12"/>
      <c r="V252" s="12"/>
      <c r="Z252" s="12"/>
      <c r="AA252" s="12" t="n">
        <v>5</v>
      </c>
      <c r="AB252" s="12"/>
      <c r="AC252" s="12"/>
      <c r="AD252" s="12"/>
      <c r="AE252" s="12"/>
    </row>
    <row r="253" customFormat="false" ht="15.75" hidden="false" customHeight="false" outlineLevel="0" collapsed="false">
      <c r="A253" s="12" t="str">
        <f aca="false">IF((AA253&gt;=4), "Y", "N")</f>
        <v>Y</v>
      </c>
      <c r="B253" s="74"/>
      <c r="C253" s="26" t="s">
        <v>7760</v>
      </c>
      <c r="D253" s="24"/>
      <c r="E253" s="17"/>
      <c r="F253" s="17"/>
      <c r="G253" s="17"/>
      <c r="H253" s="17"/>
      <c r="I253" s="26" t="s">
        <v>209</v>
      </c>
      <c r="J253" s="32"/>
      <c r="K253" s="17"/>
      <c r="L253" s="17"/>
      <c r="M253" s="17"/>
      <c r="N253" s="17"/>
      <c r="O253" s="17"/>
      <c r="P253" s="59" t="s">
        <v>7515</v>
      </c>
      <c r="Q253" s="12"/>
      <c r="R253" s="12"/>
      <c r="S253" s="12"/>
      <c r="T253" s="12"/>
      <c r="U253" s="12"/>
      <c r="V253" s="12"/>
      <c r="Z253" s="12"/>
      <c r="AA253" s="12" t="n">
        <v>5</v>
      </c>
      <c r="AB253" s="12"/>
      <c r="AC253" s="12"/>
      <c r="AD253" s="12"/>
      <c r="AE253" s="12"/>
    </row>
    <row r="254" customFormat="false" ht="15.75" hidden="false" customHeight="false" outlineLevel="0" collapsed="false">
      <c r="A254" s="12" t="str">
        <f aca="false">IF((AA254&gt;=4), "Y", "N")</f>
        <v>Y</v>
      </c>
      <c r="B254" s="74"/>
      <c r="C254" s="26" t="s">
        <v>7761</v>
      </c>
      <c r="D254" s="24"/>
      <c r="E254" s="17"/>
      <c r="F254" s="17"/>
      <c r="G254" s="17"/>
      <c r="H254" s="17"/>
      <c r="I254" s="26" t="s">
        <v>209</v>
      </c>
      <c r="J254" s="32"/>
      <c r="K254" s="17"/>
      <c r="L254" s="17"/>
      <c r="M254" s="17"/>
      <c r="N254" s="17"/>
      <c r="O254" s="17"/>
      <c r="P254" s="59" t="s">
        <v>7515</v>
      </c>
      <c r="Q254" s="12"/>
      <c r="R254" s="12"/>
      <c r="S254" s="12"/>
      <c r="T254" s="12"/>
      <c r="U254" s="12"/>
      <c r="V254" s="12"/>
      <c r="Z254" s="12"/>
      <c r="AA254" s="12" t="n">
        <v>5</v>
      </c>
      <c r="AB254" s="12"/>
      <c r="AC254" s="12"/>
      <c r="AD254" s="12"/>
      <c r="AE254" s="12"/>
    </row>
    <row r="255" customFormat="false" ht="15.75" hidden="false" customHeight="false" outlineLevel="0" collapsed="false">
      <c r="A255" s="12" t="str">
        <f aca="false">IF((AA255&gt;=4), "Y", "N")</f>
        <v>Y</v>
      </c>
      <c r="B255" s="74"/>
      <c r="C255" s="26" t="s">
        <v>7762</v>
      </c>
      <c r="D255" s="24"/>
      <c r="E255" s="17"/>
      <c r="F255" s="17"/>
      <c r="G255" s="17"/>
      <c r="H255" s="17"/>
      <c r="I255" s="26" t="s">
        <v>209</v>
      </c>
      <c r="J255" s="32"/>
      <c r="K255" s="17"/>
      <c r="L255" s="17"/>
      <c r="M255" s="17"/>
      <c r="N255" s="17"/>
      <c r="O255" s="17"/>
      <c r="P255" s="59" t="s">
        <v>7515</v>
      </c>
      <c r="Q255" s="12"/>
      <c r="R255" s="12"/>
      <c r="S255" s="12"/>
      <c r="T255" s="12"/>
      <c r="U255" s="12"/>
      <c r="V255" s="12"/>
      <c r="Z255" s="12"/>
      <c r="AA255" s="12" t="n">
        <v>5</v>
      </c>
      <c r="AB255" s="12"/>
      <c r="AC255" s="12"/>
      <c r="AD255" s="12"/>
      <c r="AE255" s="12"/>
    </row>
    <row r="256" customFormat="false" ht="15.75" hidden="false" customHeight="false" outlineLevel="0" collapsed="false">
      <c r="A256" s="12" t="str">
        <f aca="false">IF((AA256&gt;=4), "Y", "N")</f>
        <v>Y</v>
      </c>
      <c r="B256" s="74"/>
      <c r="C256" s="26" t="s">
        <v>7763</v>
      </c>
      <c r="D256" s="24"/>
      <c r="E256" s="17"/>
      <c r="F256" s="17"/>
      <c r="G256" s="17"/>
      <c r="H256" s="17"/>
      <c r="I256" s="26" t="s">
        <v>209</v>
      </c>
      <c r="J256" s="32"/>
      <c r="K256" s="17"/>
      <c r="L256" s="17"/>
      <c r="M256" s="17"/>
      <c r="N256" s="17"/>
      <c r="O256" s="17"/>
      <c r="P256" s="59" t="s">
        <v>7515</v>
      </c>
      <c r="Q256" s="12"/>
      <c r="R256" s="12"/>
      <c r="S256" s="12"/>
      <c r="T256" s="12"/>
      <c r="U256" s="12"/>
      <c r="V256" s="12"/>
      <c r="Z256" s="12"/>
      <c r="AA256" s="12" t="n">
        <v>5</v>
      </c>
      <c r="AB256" s="12"/>
      <c r="AC256" s="12"/>
      <c r="AD256" s="12"/>
      <c r="AE256" s="12"/>
    </row>
    <row r="257" customFormat="false" ht="15.75" hidden="false" customHeight="false" outlineLevel="0" collapsed="false">
      <c r="A257" s="12" t="str">
        <f aca="false">IF((AA257&gt;=4), "Y", "N")</f>
        <v>Y</v>
      </c>
      <c r="B257" s="74"/>
      <c r="C257" s="125" t="s">
        <v>7764</v>
      </c>
      <c r="D257" s="24"/>
      <c r="E257" s="17"/>
      <c r="F257" s="17"/>
      <c r="G257" s="17"/>
      <c r="H257" s="17"/>
      <c r="I257" s="26" t="s">
        <v>209</v>
      </c>
      <c r="J257" s="32"/>
      <c r="K257" s="17"/>
      <c r="L257" s="17"/>
      <c r="M257" s="17"/>
      <c r="N257" s="17"/>
      <c r="O257" s="17"/>
      <c r="P257" s="59" t="s">
        <v>7515</v>
      </c>
      <c r="Q257" s="12"/>
      <c r="R257" s="12"/>
      <c r="S257" s="12"/>
      <c r="T257" s="12"/>
      <c r="U257" s="12"/>
      <c r="V257" s="12"/>
      <c r="Z257" s="12"/>
      <c r="AA257" s="12" t="n">
        <v>5</v>
      </c>
      <c r="AB257" s="12"/>
      <c r="AC257" s="12"/>
      <c r="AD257" s="12"/>
      <c r="AE257" s="12"/>
    </row>
    <row r="258" customFormat="false" ht="15.75" hidden="false" customHeight="false" outlineLevel="0" collapsed="false">
      <c r="A258" s="12" t="str">
        <f aca="false">IF((AA258&gt;=4), "Y", "N")</f>
        <v>Y</v>
      </c>
      <c r="B258" s="74"/>
      <c r="C258" s="26" t="s">
        <v>7765</v>
      </c>
      <c r="D258" s="24"/>
      <c r="E258" s="17"/>
      <c r="F258" s="17"/>
      <c r="G258" s="17"/>
      <c r="H258" s="17"/>
      <c r="I258" s="26" t="s">
        <v>209</v>
      </c>
      <c r="J258" s="32"/>
      <c r="K258" s="17"/>
      <c r="L258" s="17"/>
      <c r="M258" s="17"/>
      <c r="N258" s="17"/>
      <c r="O258" s="17"/>
      <c r="P258" s="59" t="s">
        <v>7515</v>
      </c>
      <c r="Q258" s="12"/>
      <c r="R258" s="12"/>
      <c r="S258" s="12"/>
      <c r="T258" s="12"/>
      <c r="U258" s="12"/>
      <c r="V258" s="12"/>
      <c r="Z258" s="12"/>
      <c r="AA258" s="12" t="n">
        <v>5</v>
      </c>
      <c r="AB258" s="12"/>
      <c r="AC258" s="12"/>
      <c r="AD258" s="12"/>
      <c r="AE258" s="12"/>
    </row>
    <row r="259" customFormat="false" ht="15.75" hidden="false" customHeight="false" outlineLevel="0" collapsed="false">
      <c r="A259" s="12" t="str">
        <f aca="false">IF((AA259&gt;=4), "Y", "N")</f>
        <v>Y</v>
      </c>
      <c r="B259" s="74"/>
      <c r="C259" s="26" t="s">
        <v>7766</v>
      </c>
      <c r="D259" s="24"/>
      <c r="E259" s="17"/>
      <c r="F259" s="17"/>
      <c r="G259" s="17"/>
      <c r="H259" s="17"/>
      <c r="I259" s="26" t="s">
        <v>209</v>
      </c>
      <c r="J259" s="32"/>
      <c r="K259" s="17"/>
      <c r="L259" s="17"/>
      <c r="M259" s="17"/>
      <c r="N259" s="17"/>
      <c r="O259" s="17"/>
      <c r="P259" s="59" t="s">
        <v>7515</v>
      </c>
      <c r="Q259" s="12"/>
      <c r="R259" s="12"/>
      <c r="S259" s="12"/>
      <c r="T259" s="12"/>
      <c r="U259" s="12"/>
      <c r="V259" s="12"/>
      <c r="Z259" s="12"/>
      <c r="AA259" s="12" t="n">
        <v>5</v>
      </c>
      <c r="AB259" s="12"/>
      <c r="AC259" s="12"/>
      <c r="AD259" s="12"/>
      <c r="AE259" s="12"/>
    </row>
    <row r="260" customFormat="false" ht="15.75" hidden="false" customHeight="false" outlineLevel="0" collapsed="false">
      <c r="A260" s="12" t="str">
        <f aca="false">IF((AA260&gt;=4), "Y", "N")</f>
        <v>Y</v>
      </c>
      <c r="B260" s="74"/>
      <c r="C260" s="26" t="s">
        <v>7767</v>
      </c>
      <c r="D260" s="24"/>
      <c r="E260" s="17"/>
      <c r="F260" s="17"/>
      <c r="G260" s="17"/>
      <c r="H260" s="17"/>
      <c r="I260" s="26" t="s">
        <v>209</v>
      </c>
      <c r="J260" s="32"/>
      <c r="K260" s="17"/>
      <c r="L260" s="17"/>
      <c r="M260" s="17"/>
      <c r="N260" s="17"/>
      <c r="O260" s="17"/>
      <c r="P260" s="59" t="s">
        <v>7515</v>
      </c>
      <c r="Q260" s="12"/>
      <c r="R260" s="12"/>
      <c r="S260" s="12"/>
      <c r="T260" s="12"/>
      <c r="U260" s="12"/>
      <c r="V260" s="12"/>
      <c r="Z260" s="12"/>
      <c r="AA260" s="12" t="n">
        <v>5</v>
      </c>
      <c r="AB260" s="12"/>
      <c r="AC260" s="12"/>
      <c r="AD260" s="12"/>
      <c r="AE260" s="12"/>
    </row>
    <row r="261" customFormat="false" ht="15.75" hidden="false" customHeight="false" outlineLevel="0" collapsed="false">
      <c r="A261" s="12" t="str">
        <f aca="false">IF((AA261&gt;=4), "Y", "N")</f>
        <v>Y</v>
      </c>
      <c r="B261" s="74"/>
      <c r="C261" s="26" t="s">
        <v>7768</v>
      </c>
      <c r="D261" s="24"/>
      <c r="E261" s="17"/>
      <c r="F261" s="17"/>
      <c r="G261" s="17"/>
      <c r="H261" s="17"/>
      <c r="I261" s="26" t="s">
        <v>209</v>
      </c>
      <c r="J261" s="32"/>
      <c r="K261" s="17"/>
      <c r="L261" s="17"/>
      <c r="M261" s="17"/>
      <c r="N261" s="17"/>
      <c r="O261" s="17"/>
      <c r="P261" s="59" t="s">
        <v>7515</v>
      </c>
      <c r="Q261" s="12"/>
      <c r="R261" s="12"/>
      <c r="S261" s="12"/>
      <c r="T261" s="12"/>
      <c r="U261" s="12"/>
      <c r="V261" s="12"/>
      <c r="Z261" s="12"/>
      <c r="AA261" s="12" t="n">
        <v>5</v>
      </c>
      <c r="AB261" s="12"/>
      <c r="AC261" s="12"/>
      <c r="AD261" s="12"/>
      <c r="AE261" s="12"/>
    </row>
    <row r="262" customFormat="false" ht="15.75" hidden="false" customHeight="false" outlineLevel="0" collapsed="false">
      <c r="A262" s="12" t="str">
        <f aca="false">IF((AA262&gt;=4), "Y", "N")</f>
        <v>Y</v>
      </c>
      <c r="B262" s="74"/>
      <c r="C262" s="26" t="s">
        <v>7769</v>
      </c>
      <c r="D262" s="24"/>
      <c r="E262" s="17"/>
      <c r="F262" s="17"/>
      <c r="G262" s="17"/>
      <c r="H262" s="17"/>
      <c r="I262" s="26" t="s">
        <v>209</v>
      </c>
      <c r="J262" s="32"/>
      <c r="K262" s="17"/>
      <c r="L262" s="17"/>
      <c r="M262" s="17"/>
      <c r="N262" s="17"/>
      <c r="O262" s="17"/>
      <c r="P262" s="59" t="s">
        <v>7515</v>
      </c>
      <c r="Q262" s="12"/>
      <c r="R262" s="12"/>
      <c r="S262" s="12"/>
      <c r="T262" s="12"/>
      <c r="U262" s="12"/>
      <c r="V262" s="12"/>
      <c r="Z262" s="12"/>
      <c r="AA262" s="12" t="n">
        <v>5</v>
      </c>
      <c r="AB262" s="12"/>
      <c r="AC262" s="12"/>
      <c r="AD262" s="12"/>
      <c r="AE262" s="12"/>
    </row>
    <row r="263" customFormat="false" ht="15.75" hidden="false" customHeight="false" outlineLevel="0" collapsed="false">
      <c r="A263" s="12" t="str">
        <f aca="false">IF((AA263&gt;=4), "Y", "N")</f>
        <v>Y</v>
      </c>
      <c r="B263" s="74"/>
      <c r="C263" s="26" t="s">
        <v>7770</v>
      </c>
      <c r="D263" s="24"/>
      <c r="E263" s="17"/>
      <c r="F263" s="17"/>
      <c r="G263" s="17"/>
      <c r="H263" s="17"/>
      <c r="I263" s="26" t="s">
        <v>209</v>
      </c>
      <c r="J263" s="32"/>
      <c r="K263" s="17"/>
      <c r="L263" s="17"/>
      <c r="M263" s="17"/>
      <c r="N263" s="17"/>
      <c r="O263" s="17"/>
      <c r="P263" s="59" t="s">
        <v>7515</v>
      </c>
      <c r="Q263" s="12"/>
      <c r="R263" s="12"/>
      <c r="S263" s="12"/>
      <c r="T263" s="12"/>
      <c r="U263" s="12"/>
      <c r="V263" s="12"/>
      <c r="Z263" s="12"/>
      <c r="AA263" s="12" t="n">
        <v>5</v>
      </c>
      <c r="AB263" s="12"/>
      <c r="AC263" s="12"/>
      <c r="AD263" s="12"/>
      <c r="AE263" s="12"/>
    </row>
    <row r="264" customFormat="false" ht="15.75" hidden="false" customHeight="false" outlineLevel="0" collapsed="false">
      <c r="A264" s="12" t="str">
        <f aca="false">IF((AA264&gt;=4), "Y", "N")</f>
        <v>Y</v>
      </c>
      <c r="B264" s="74"/>
      <c r="C264" s="26" t="s">
        <v>7771</v>
      </c>
      <c r="D264" s="24"/>
      <c r="E264" s="17"/>
      <c r="F264" s="17"/>
      <c r="G264" s="17"/>
      <c r="H264" s="17"/>
      <c r="I264" s="26" t="s">
        <v>209</v>
      </c>
      <c r="J264" s="32"/>
      <c r="K264" s="17"/>
      <c r="L264" s="17"/>
      <c r="M264" s="17"/>
      <c r="N264" s="17"/>
      <c r="O264" s="17"/>
      <c r="P264" s="59" t="s">
        <v>7515</v>
      </c>
      <c r="Q264" s="12"/>
      <c r="R264" s="12"/>
      <c r="S264" s="12"/>
      <c r="T264" s="12"/>
      <c r="U264" s="12"/>
      <c r="V264" s="12"/>
      <c r="Z264" s="12"/>
      <c r="AA264" s="12" t="n">
        <v>5</v>
      </c>
      <c r="AB264" s="12"/>
      <c r="AC264" s="12"/>
      <c r="AD264" s="12"/>
      <c r="AE264" s="12"/>
    </row>
    <row r="265" customFormat="false" ht="15.75" hidden="false" customHeight="false" outlineLevel="0" collapsed="false">
      <c r="A265" s="12" t="str">
        <f aca="false">IF((AA265&gt;=4), "Y", "N")</f>
        <v>Y</v>
      </c>
      <c r="B265" s="74"/>
      <c r="C265" s="26" t="s">
        <v>7772</v>
      </c>
      <c r="D265" s="24"/>
      <c r="E265" s="17"/>
      <c r="F265" s="17"/>
      <c r="G265" s="17"/>
      <c r="H265" s="17"/>
      <c r="I265" s="26" t="s">
        <v>209</v>
      </c>
      <c r="J265" s="32"/>
      <c r="K265" s="17"/>
      <c r="L265" s="17"/>
      <c r="M265" s="17"/>
      <c r="N265" s="17"/>
      <c r="O265" s="17"/>
      <c r="P265" s="59" t="s">
        <v>7515</v>
      </c>
      <c r="Q265" s="12"/>
      <c r="R265" s="12"/>
      <c r="S265" s="12"/>
      <c r="T265" s="12"/>
      <c r="U265" s="12"/>
      <c r="V265" s="12"/>
      <c r="Z265" s="12"/>
      <c r="AA265" s="12" t="n">
        <v>5</v>
      </c>
      <c r="AB265" s="12"/>
      <c r="AC265" s="12"/>
      <c r="AD265" s="12"/>
      <c r="AE265" s="12"/>
    </row>
    <row r="266" customFormat="false" ht="15.75" hidden="false" customHeight="false" outlineLevel="0" collapsed="false">
      <c r="A266" s="12" t="str">
        <f aca="false">IF((AA266&gt;=4), "Y", "N")</f>
        <v>Y</v>
      </c>
      <c r="B266" s="74"/>
      <c r="C266" s="26" t="s">
        <v>7773</v>
      </c>
      <c r="D266" s="24"/>
      <c r="E266" s="17"/>
      <c r="F266" s="17"/>
      <c r="G266" s="17"/>
      <c r="H266" s="17"/>
      <c r="I266" s="26" t="s">
        <v>209</v>
      </c>
      <c r="J266" s="32"/>
      <c r="K266" s="17"/>
      <c r="L266" s="17"/>
      <c r="M266" s="17"/>
      <c r="N266" s="17"/>
      <c r="O266" s="17"/>
      <c r="P266" s="59" t="s">
        <v>7515</v>
      </c>
      <c r="Q266" s="12"/>
      <c r="R266" s="12"/>
      <c r="S266" s="12"/>
      <c r="T266" s="12"/>
      <c r="U266" s="12"/>
      <c r="V266" s="12"/>
      <c r="Z266" s="12"/>
      <c r="AA266" s="12" t="n">
        <v>5</v>
      </c>
      <c r="AB266" s="12"/>
      <c r="AC266" s="12"/>
      <c r="AD266" s="12"/>
      <c r="AE266" s="12"/>
    </row>
    <row r="267" customFormat="false" ht="15.75" hidden="false" customHeight="false" outlineLevel="0" collapsed="false">
      <c r="A267" s="12" t="str">
        <f aca="false">IF((AA267&gt;=4), "Y", "N")</f>
        <v>Y</v>
      </c>
      <c r="B267" s="74"/>
      <c r="C267" s="26" t="s">
        <v>7774</v>
      </c>
      <c r="D267" s="24"/>
      <c r="E267" s="17"/>
      <c r="F267" s="17"/>
      <c r="G267" s="17"/>
      <c r="H267" s="17"/>
      <c r="I267" s="26" t="s">
        <v>209</v>
      </c>
      <c r="J267" s="32"/>
      <c r="K267" s="17"/>
      <c r="L267" s="17"/>
      <c r="M267" s="17"/>
      <c r="N267" s="17"/>
      <c r="O267" s="17"/>
      <c r="P267" s="59" t="s">
        <v>7515</v>
      </c>
      <c r="Q267" s="12"/>
      <c r="R267" s="12"/>
      <c r="S267" s="12"/>
      <c r="T267" s="12"/>
      <c r="U267" s="12"/>
      <c r="V267" s="12"/>
      <c r="Z267" s="12"/>
      <c r="AA267" s="12" t="n">
        <v>5</v>
      </c>
      <c r="AB267" s="12"/>
      <c r="AC267" s="12"/>
      <c r="AD267" s="12"/>
      <c r="AE267" s="12"/>
    </row>
    <row r="268" customFormat="false" ht="15.75" hidden="false" customHeight="false" outlineLevel="0" collapsed="false">
      <c r="A268" s="12" t="str">
        <f aca="false">IF((AA268&gt;=4), "Y", "N")</f>
        <v>Y</v>
      </c>
      <c r="B268" s="74"/>
      <c r="C268" s="26" t="s">
        <v>7775</v>
      </c>
      <c r="D268" s="24"/>
      <c r="E268" s="17"/>
      <c r="F268" s="17"/>
      <c r="G268" s="17"/>
      <c r="H268" s="17"/>
      <c r="I268" s="26" t="s">
        <v>209</v>
      </c>
      <c r="J268" s="32"/>
      <c r="K268" s="17"/>
      <c r="L268" s="17"/>
      <c r="M268" s="17"/>
      <c r="N268" s="17"/>
      <c r="O268" s="17"/>
      <c r="P268" s="59" t="s">
        <v>7515</v>
      </c>
      <c r="Q268" s="12"/>
      <c r="R268" s="12"/>
      <c r="S268" s="12"/>
      <c r="T268" s="12"/>
      <c r="U268" s="12"/>
      <c r="V268" s="12"/>
      <c r="Z268" s="12"/>
      <c r="AA268" s="12" t="n">
        <v>5</v>
      </c>
      <c r="AB268" s="12"/>
      <c r="AC268" s="12"/>
      <c r="AD268" s="12"/>
      <c r="AE268" s="12"/>
    </row>
    <row r="269" customFormat="false" ht="15.75" hidden="false" customHeight="false" outlineLevel="0" collapsed="false">
      <c r="A269" s="12" t="str">
        <f aca="false">IF((AA269&gt;=4), "Y", "N")</f>
        <v>Y</v>
      </c>
      <c r="B269" s="74"/>
      <c r="C269" s="26" t="s">
        <v>7776</v>
      </c>
      <c r="D269" s="24"/>
      <c r="E269" s="17"/>
      <c r="F269" s="17"/>
      <c r="G269" s="17"/>
      <c r="H269" s="17"/>
      <c r="I269" s="26" t="s">
        <v>209</v>
      </c>
      <c r="J269" s="32"/>
      <c r="K269" s="17"/>
      <c r="L269" s="17"/>
      <c r="M269" s="17"/>
      <c r="N269" s="17"/>
      <c r="O269" s="17"/>
      <c r="P269" s="59" t="s">
        <v>7515</v>
      </c>
      <c r="Q269" s="12"/>
      <c r="R269" s="12"/>
      <c r="S269" s="12"/>
      <c r="T269" s="12"/>
      <c r="U269" s="12"/>
      <c r="V269" s="12"/>
      <c r="Z269" s="12"/>
      <c r="AA269" s="12" t="n">
        <v>5</v>
      </c>
      <c r="AB269" s="12"/>
      <c r="AC269" s="12"/>
      <c r="AD269" s="12"/>
      <c r="AE269" s="12"/>
    </row>
    <row r="270" customFormat="false" ht="15.75" hidden="false" customHeight="false" outlineLevel="0" collapsed="false">
      <c r="A270" s="12" t="str">
        <f aca="false">IF((AA270&gt;=4), "Y", "N")</f>
        <v>Y</v>
      </c>
      <c r="B270" s="74"/>
      <c r="C270" s="26" t="s">
        <v>7777</v>
      </c>
      <c r="D270" s="24"/>
      <c r="E270" s="17"/>
      <c r="F270" s="17"/>
      <c r="G270" s="17"/>
      <c r="H270" s="17"/>
      <c r="I270" s="26" t="s">
        <v>209</v>
      </c>
      <c r="J270" s="32"/>
      <c r="K270" s="17"/>
      <c r="L270" s="17"/>
      <c r="M270" s="17"/>
      <c r="N270" s="17"/>
      <c r="O270" s="17"/>
      <c r="P270" s="59" t="s">
        <v>7515</v>
      </c>
      <c r="Q270" s="12"/>
      <c r="R270" s="12"/>
      <c r="S270" s="12"/>
      <c r="T270" s="12"/>
      <c r="U270" s="12"/>
      <c r="V270" s="12"/>
      <c r="Z270" s="12"/>
      <c r="AA270" s="12" t="n">
        <v>5</v>
      </c>
      <c r="AB270" s="12"/>
      <c r="AC270" s="12"/>
      <c r="AD270" s="12"/>
      <c r="AE270" s="12"/>
    </row>
    <row r="271" customFormat="false" ht="15.75" hidden="false" customHeight="false" outlineLevel="0" collapsed="false">
      <c r="A271" s="12" t="str">
        <f aca="false">IF((AA271&gt;=4), "Y", "N")</f>
        <v>Y</v>
      </c>
      <c r="B271" s="74"/>
      <c r="C271" s="26" t="s">
        <v>7778</v>
      </c>
      <c r="D271" s="24"/>
      <c r="E271" s="17"/>
      <c r="F271" s="17"/>
      <c r="G271" s="17"/>
      <c r="H271" s="17"/>
      <c r="I271" s="26" t="s">
        <v>209</v>
      </c>
      <c r="J271" s="32"/>
      <c r="K271" s="17"/>
      <c r="L271" s="17"/>
      <c r="M271" s="17"/>
      <c r="N271" s="17"/>
      <c r="O271" s="17"/>
      <c r="P271" s="59" t="s">
        <v>7515</v>
      </c>
      <c r="Q271" s="12"/>
      <c r="R271" s="12"/>
      <c r="S271" s="12"/>
      <c r="T271" s="12"/>
      <c r="U271" s="12"/>
      <c r="V271" s="12"/>
      <c r="Z271" s="12"/>
      <c r="AA271" s="12" t="n">
        <v>5</v>
      </c>
      <c r="AB271" s="12"/>
      <c r="AC271" s="12"/>
      <c r="AD271" s="12"/>
      <c r="AE271" s="12"/>
    </row>
    <row r="272" customFormat="false" ht="15.75" hidden="false" customHeight="false" outlineLevel="0" collapsed="false">
      <c r="A272" s="12" t="str">
        <f aca="false">IF((AA272&gt;=4), "Y", "N")</f>
        <v>Y</v>
      </c>
      <c r="B272" s="74"/>
      <c r="C272" s="26" t="s">
        <v>7779</v>
      </c>
      <c r="D272" s="24"/>
      <c r="E272" s="17"/>
      <c r="F272" s="17"/>
      <c r="G272" s="17"/>
      <c r="H272" s="17"/>
      <c r="I272" s="26" t="s">
        <v>209</v>
      </c>
      <c r="J272" s="32"/>
      <c r="K272" s="17"/>
      <c r="L272" s="17"/>
      <c r="M272" s="17"/>
      <c r="N272" s="17"/>
      <c r="O272" s="17"/>
      <c r="P272" s="59" t="s">
        <v>7515</v>
      </c>
      <c r="Q272" s="12"/>
      <c r="R272" s="12"/>
      <c r="S272" s="12"/>
      <c r="T272" s="12"/>
      <c r="U272" s="12"/>
      <c r="V272" s="12"/>
      <c r="Z272" s="12"/>
      <c r="AA272" s="12" t="n">
        <v>5</v>
      </c>
      <c r="AB272" s="12"/>
      <c r="AC272" s="12"/>
      <c r="AD272" s="12"/>
      <c r="AE272" s="12"/>
    </row>
    <row r="273" customFormat="false" ht="15.75" hidden="false" customHeight="false" outlineLevel="0" collapsed="false">
      <c r="A273" s="12" t="str">
        <f aca="false">IF((AA273&gt;=4), "Y", "N")</f>
        <v>Y</v>
      </c>
      <c r="B273" s="74"/>
      <c r="C273" s="26" t="s">
        <v>7780</v>
      </c>
      <c r="D273" s="24"/>
      <c r="E273" s="17"/>
      <c r="F273" s="17"/>
      <c r="G273" s="17"/>
      <c r="H273" s="17"/>
      <c r="I273" s="26" t="s">
        <v>209</v>
      </c>
      <c r="J273" s="32"/>
      <c r="K273" s="17"/>
      <c r="L273" s="17"/>
      <c r="M273" s="17"/>
      <c r="N273" s="17"/>
      <c r="O273" s="17"/>
      <c r="P273" s="59" t="s">
        <v>7515</v>
      </c>
      <c r="Q273" s="12"/>
      <c r="R273" s="12"/>
      <c r="S273" s="12"/>
      <c r="T273" s="12"/>
      <c r="U273" s="12"/>
      <c r="V273" s="12"/>
      <c r="Z273" s="12"/>
      <c r="AA273" s="12" t="n">
        <v>5</v>
      </c>
      <c r="AB273" s="12"/>
      <c r="AC273" s="12"/>
      <c r="AD273" s="12"/>
      <c r="AE273" s="12"/>
    </row>
    <row r="274" customFormat="false" ht="15.75" hidden="false" customHeight="false" outlineLevel="0" collapsed="false">
      <c r="A274" s="12" t="str">
        <f aca="false">IF((AA274&gt;=4), "Y", "N")</f>
        <v>Y</v>
      </c>
      <c r="B274" s="74"/>
      <c r="C274" s="26" t="s">
        <v>7781</v>
      </c>
      <c r="D274" s="24"/>
      <c r="E274" s="17"/>
      <c r="F274" s="17"/>
      <c r="G274" s="17"/>
      <c r="H274" s="17"/>
      <c r="I274" s="26" t="s">
        <v>209</v>
      </c>
      <c r="J274" s="32"/>
      <c r="K274" s="17"/>
      <c r="L274" s="17"/>
      <c r="M274" s="17"/>
      <c r="N274" s="17"/>
      <c r="O274" s="17"/>
      <c r="P274" s="59" t="s">
        <v>7515</v>
      </c>
      <c r="Q274" s="12"/>
      <c r="R274" s="12"/>
      <c r="S274" s="12"/>
      <c r="T274" s="12"/>
      <c r="U274" s="12"/>
      <c r="V274" s="12"/>
      <c r="Z274" s="12"/>
      <c r="AA274" s="12" t="n">
        <v>5</v>
      </c>
      <c r="AB274" s="12"/>
      <c r="AC274" s="12"/>
      <c r="AD274" s="12"/>
      <c r="AE274" s="12"/>
    </row>
    <row r="275" customFormat="false" ht="15.75" hidden="false" customHeight="false" outlineLevel="0" collapsed="false">
      <c r="A275" s="12" t="str">
        <f aca="false">IF((AA275&gt;=4), "Y", "N")</f>
        <v>Y</v>
      </c>
      <c r="B275" s="74"/>
      <c r="C275" s="26" t="s">
        <v>7782</v>
      </c>
      <c r="D275" s="24"/>
      <c r="E275" s="17"/>
      <c r="F275" s="17"/>
      <c r="G275" s="17"/>
      <c r="H275" s="17"/>
      <c r="I275" s="26" t="s">
        <v>209</v>
      </c>
      <c r="J275" s="32"/>
      <c r="K275" s="17"/>
      <c r="L275" s="17"/>
      <c r="M275" s="17"/>
      <c r="N275" s="17"/>
      <c r="O275" s="17"/>
      <c r="P275" s="59" t="s">
        <v>7515</v>
      </c>
      <c r="Q275" s="12"/>
      <c r="R275" s="12"/>
      <c r="S275" s="12"/>
      <c r="T275" s="12"/>
      <c r="U275" s="12"/>
      <c r="V275" s="12"/>
      <c r="Z275" s="12"/>
      <c r="AA275" s="12" t="n">
        <v>5</v>
      </c>
      <c r="AB275" s="12"/>
      <c r="AC275" s="12"/>
      <c r="AD275" s="12"/>
      <c r="AE275" s="12"/>
    </row>
    <row r="276" customFormat="false" ht="15.75" hidden="false" customHeight="false" outlineLevel="0" collapsed="false">
      <c r="A276" s="12" t="str">
        <f aca="false">IF((AA276&gt;=4), "Y", "N")</f>
        <v>Y</v>
      </c>
      <c r="B276" s="74"/>
      <c r="C276" s="26" t="s">
        <v>7783</v>
      </c>
      <c r="D276" s="24"/>
      <c r="E276" s="17"/>
      <c r="F276" s="17"/>
      <c r="G276" s="17"/>
      <c r="H276" s="17"/>
      <c r="I276" s="26" t="s">
        <v>209</v>
      </c>
      <c r="J276" s="32"/>
      <c r="K276" s="17"/>
      <c r="L276" s="17"/>
      <c r="M276" s="17"/>
      <c r="N276" s="17"/>
      <c r="O276" s="17"/>
      <c r="P276" s="59" t="s">
        <v>7515</v>
      </c>
      <c r="Q276" s="12"/>
      <c r="R276" s="12"/>
      <c r="S276" s="12"/>
      <c r="T276" s="12"/>
      <c r="U276" s="12"/>
      <c r="V276" s="12"/>
      <c r="Z276" s="12"/>
      <c r="AA276" s="12" t="n">
        <v>5</v>
      </c>
      <c r="AB276" s="12"/>
      <c r="AC276" s="12"/>
      <c r="AD276" s="12"/>
      <c r="AE276" s="12"/>
    </row>
    <row r="277" customFormat="false" ht="15.75" hidden="false" customHeight="false" outlineLevel="0" collapsed="false">
      <c r="A277" s="12" t="str">
        <f aca="false">IF((AA277&gt;=4), "Y", "N")</f>
        <v>Y</v>
      </c>
      <c r="B277" s="74"/>
      <c r="C277" s="26" t="s">
        <v>7784</v>
      </c>
      <c r="D277" s="24"/>
      <c r="E277" s="17"/>
      <c r="F277" s="17"/>
      <c r="G277" s="17"/>
      <c r="H277" s="17"/>
      <c r="I277" s="26" t="s">
        <v>209</v>
      </c>
      <c r="J277" s="32"/>
      <c r="K277" s="17"/>
      <c r="L277" s="17"/>
      <c r="M277" s="17"/>
      <c r="N277" s="17"/>
      <c r="O277" s="17"/>
      <c r="P277" s="59" t="s">
        <v>7515</v>
      </c>
      <c r="Q277" s="12"/>
      <c r="R277" s="12"/>
      <c r="S277" s="12"/>
      <c r="T277" s="12"/>
      <c r="U277" s="12"/>
      <c r="V277" s="12"/>
      <c r="Z277" s="12"/>
      <c r="AA277" s="12" t="n">
        <v>5</v>
      </c>
      <c r="AB277" s="12"/>
      <c r="AC277" s="12"/>
      <c r="AD277" s="12"/>
      <c r="AE277" s="12"/>
    </row>
    <row r="278" customFormat="false" ht="15.75" hidden="false" customHeight="false" outlineLevel="0" collapsed="false">
      <c r="A278" s="12" t="str">
        <f aca="false">IF((AA278&gt;=4), "Y", "N")</f>
        <v>Y</v>
      </c>
      <c r="B278" s="74"/>
      <c r="C278" s="26" t="s">
        <v>7785</v>
      </c>
      <c r="D278" s="24"/>
      <c r="E278" s="17"/>
      <c r="F278" s="17"/>
      <c r="G278" s="17"/>
      <c r="H278" s="17"/>
      <c r="I278" s="26" t="s">
        <v>209</v>
      </c>
      <c r="J278" s="32"/>
      <c r="K278" s="17"/>
      <c r="L278" s="17"/>
      <c r="M278" s="17"/>
      <c r="N278" s="17"/>
      <c r="O278" s="17"/>
      <c r="P278" s="59" t="s">
        <v>7515</v>
      </c>
      <c r="Q278" s="12"/>
      <c r="R278" s="12"/>
      <c r="S278" s="12"/>
      <c r="T278" s="12"/>
      <c r="U278" s="12"/>
      <c r="V278" s="12"/>
      <c r="Z278" s="12"/>
      <c r="AA278" s="12" t="n">
        <v>5</v>
      </c>
      <c r="AB278" s="12"/>
      <c r="AC278" s="12"/>
      <c r="AD278" s="12"/>
      <c r="AE278" s="12"/>
    </row>
    <row r="279" customFormat="false" ht="15.75" hidden="false" customHeight="false" outlineLevel="0" collapsed="false">
      <c r="A279" s="12" t="str">
        <f aca="false">IF((AA279&gt;=4), "Y", "N")</f>
        <v>Y</v>
      </c>
      <c r="B279" s="74"/>
      <c r="C279" s="26" t="s">
        <v>7786</v>
      </c>
      <c r="D279" s="24"/>
      <c r="E279" s="17"/>
      <c r="F279" s="17"/>
      <c r="G279" s="17"/>
      <c r="H279" s="17"/>
      <c r="I279" s="26" t="s">
        <v>209</v>
      </c>
      <c r="J279" s="32"/>
      <c r="K279" s="17"/>
      <c r="L279" s="17"/>
      <c r="M279" s="17"/>
      <c r="N279" s="17"/>
      <c r="O279" s="17"/>
      <c r="P279" s="59" t="s">
        <v>7515</v>
      </c>
      <c r="Q279" s="12"/>
      <c r="R279" s="12"/>
      <c r="S279" s="12"/>
      <c r="T279" s="12"/>
      <c r="U279" s="12"/>
      <c r="V279" s="12"/>
      <c r="Z279" s="12"/>
      <c r="AA279" s="12" t="n">
        <v>5</v>
      </c>
      <c r="AB279" s="12"/>
      <c r="AC279" s="12"/>
      <c r="AD279" s="12"/>
      <c r="AE279" s="12"/>
    </row>
    <row r="280" customFormat="false" ht="15.75" hidden="false" customHeight="false" outlineLevel="0" collapsed="false">
      <c r="A280" s="12" t="str">
        <f aca="false">IF((AA280&gt;=4), "Y", "N")</f>
        <v>Y</v>
      </c>
      <c r="B280" s="74"/>
      <c r="C280" s="26" t="s">
        <v>7787</v>
      </c>
      <c r="D280" s="24"/>
      <c r="E280" s="17"/>
      <c r="F280" s="17"/>
      <c r="G280" s="17"/>
      <c r="H280" s="17"/>
      <c r="I280" s="26" t="s">
        <v>209</v>
      </c>
      <c r="J280" s="32"/>
      <c r="K280" s="17"/>
      <c r="L280" s="17"/>
      <c r="M280" s="17"/>
      <c r="N280" s="17"/>
      <c r="O280" s="17"/>
      <c r="P280" s="59" t="s">
        <v>7515</v>
      </c>
      <c r="Q280" s="12"/>
      <c r="R280" s="12"/>
      <c r="S280" s="12"/>
      <c r="T280" s="12"/>
      <c r="U280" s="12"/>
      <c r="V280" s="12"/>
      <c r="Z280" s="12"/>
      <c r="AA280" s="12" t="n">
        <v>5</v>
      </c>
      <c r="AB280" s="12"/>
      <c r="AC280" s="12"/>
      <c r="AD280" s="12"/>
      <c r="AE280" s="12"/>
    </row>
    <row r="281" customFormat="false" ht="15.75" hidden="false" customHeight="false" outlineLevel="0" collapsed="false">
      <c r="A281" s="12" t="str">
        <f aca="false">IF((AA281&gt;=4), "Y", "N")</f>
        <v>Y</v>
      </c>
      <c r="B281" s="74"/>
      <c r="C281" s="26" t="s">
        <v>7788</v>
      </c>
      <c r="D281" s="24"/>
      <c r="E281" s="17"/>
      <c r="F281" s="17"/>
      <c r="G281" s="17"/>
      <c r="H281" s="17"/>
      <c r="I281" s="26" t="s">
        <v>209</v>
      </c>
      <c r="J281" s="32"/>
      <c r="K281" s="17"/>
      <c r="L281" s="17"/>
      <c r="M281" s="17"/>
      <c r="N281" s="17"/>
      <c r="O281" s="17"/>
      <c r="P281" s="59" t="s">
        <v>7515</v>
      </c>
      <c r="Q281" s="12"/>
      <c r="R281" s="12"/>
      <c r="S281" s="12"/>
      <c r="T281" s="12"/>
      <c r="U281" s="12"/>
      <c r="V281" s="12"/>
      <c r="Z281" s="12"/>
      <c r="AA281" s="12" t="n">
        <v>5</v>
      </c>
      <c r="AB281" s="12"/>
      <c r="AC281" s="12"/>
      <c r="AD281" s="12"/>
      <c r="AE281" s="12"/>
    </row>
    <row r="282" customFormat="false" ht="15.75" hidden="false" customHeight="false" outlineLevel="0" collapsed="false">
      <c r="A282" s="12" t="str">
        <f aca="false">IF((AA282&gt;=4), "Y", "N")</f>
        <v>Y</v>
      </c>
      <c r="B282" s="74"/>
      <c r="C282" s="26" t="s">
        <v>7789</v>
      </c>
      <c r="D282" s="24"/>
      <c r="E282" s="17"/>
      <c r="F282" s="17"/>
      <c r="G282" s="17"/>
      <c r="H282" s="17"/>
      <c r="I282" s="26" t="s">
        <v>209</v>
      </c>
      <c r="J282" s="32"/>
      <c r="K282" s="17"/>
      <c r="L282" s="17"/>
      <c r="M282" s="17"/>
      <c r="N282" s="17"/>
      <c r="O282" s="17"/>
      <c r="P282" s="59" t="s">
        <v>7515</v>
      </c>
      <c r="Q282" s="12"/>
      <c r="R282" s="12"/>
      <c r="S282" s="12"/>
      <c r="T282" s="12"/>
      <c r="U282" s="12"/>
      <c r="V282" s="12"/>
      <c r="Z282" s="12"/>
      <c r="AA282" s="12" t="n">
        <v>5</v>
      </c>
      <c r="AB282" s="12"/>
      <c r="AC282" s="12"/>
      <c r="AD282" s="12"/>
      <c r="AE282" s="12"/>
    </row>
    <row r="283" customFormat="false" ht="15.75" hidden="false" customHeight="false" outlineLevel="0" collapsed="false">
      <c r="A283" s="12" t="str">
        <f aca="false">IF((AA283&gt;=4), "Y", "N")</f>
        <v>Y</v>
      </c>
      <c r="B283" s="74"/>
      <c r="C283" s="26" t="s">
        <v>7790</v>
      </c>
      <c r="D283" s="24"/>
      <c r="E283" s="17"/>
      <c r="F283" s="17"/>
      <c r="G283" s="17"/>
      <c r="H283" s="17"/>
      <c r="I283" s="26" t="s">
        <v>209</v>
      </c>
      <c r="J283" s="32"/>
      <c r="K283" s="17"/>
      <c r="L283" s="17"/>
      <c r="M283" s="17"/>
      <c r="N283" s="17"/>
      <c r="O283" s="17"/>
      <c r="P283" s="59" t="s">
        <v>7515</v>
      </c>
      <c r="Q283" s="12"/>
      <c r="R283" s="12"/>
      <c r="S283" s="12"/>
      <c r="T283" s="12"/>
      <c r="U283" s="12"/>
      <c r="V283" s="12"/>
      <c r="Z283" s="12"/>
      <c r="AA283" s="12" t="n">
        <v>5</v>
      </c>
      <c r="AB283" s="12"/>
      <c r="AC283" s="12"/>
      <c r="AD283" s="12"/>
      <c r="AE283" s="12"/>
    </row>
    <row r="284" customFormat="false" ht="15.75" hidden="false" customHeight="false" outlineLevel="0" collapsed="false">
      <c r="A284" s="12" t="str">
        <f aca="false">IF((AA284&gt;=4), "Y", "N")</f>
        <v>Y</v>
      </c>
      <c r="B284" s="74"/>
      <c r="C284" s="26" t="s">
        <v>7791</v>
      </c>
      <c r="D284" s="24"/>
      <c r="E284" s="17"/>
      <c r="F284" s="17"/>
      <c r="G284" s="17"/>
      <c r="H284" s="17"/>
      <c r="I284" s="26" t="s">
        <v>209</v>
      </c>
      <c r="J284" s="32"/>
      <c r="K284" s="17"/>
      <c r="L284" s="17"/>
      <c r="M284" s="17"/>
      <c r="N284" s="17"/>
      <c r="O284" s="17"/>
      <c r="P284" s="59" t="s">
        <v>7515</v>
      </c>
      <c r="Q284" s="12"/>
      <c r="R284" s="12"/>
      <c r="S284" s="12"/>
      <c r="T284" s="12"/>
      <c r="U284" s="12"/>
      <c r="V284" s="12"/>
      <c r="Z284" s="12"/>
      <c r="AA284" s="12" t="n">
        <v>5</v>
      </c>
      <c r="AB284" s="12"/>
      <c r="AC284" s="12"/>
      <c r="AD284" s="12"/>
      <c r="AE284" s="12"/>
    </row>
    <row r="285" customFormat="false" ht="15.75" hidden="false" customHeight="false" outlineLevel="0" collapsed="false">
      <c r="A285" s="12" t="str">
        <f aca="false">IF((AA285&gt;=4), "Y", "N")</f>
        <v>Y</v>
      </c>
      <c r="B285" s="74"/>
      <c r="C285" s="26" t="s">
        <v>7792</v>
      </c>
      <c r="D285" s="24"/>
      <c r="E285" s="17"/>
      <c r="F285" s="17"/>
      <c r="G285" s="17"/>
      <c r="H285" s="17"/>
      <c r="I285" s="26" t="s">
        <v>209</v>
      </c>
      <c r="J285" s="32"/>
      <c r="K285" s="17"/>
      <c r="L285" s="17"/>
      <c r="M285" s="17"/>
      <c r="N285" s="17"/>
      <c r="O285" s="17"/>
      <c r="P285" s="59" t="s">
        <v>7515</v>
      </c>
      <c r="Q285" s="12"/>
      <c r="R285" s="12"/>
      <c r="S285" s="12"/>
      <c r="T285" s="12"/>
      <c r="U285" s="12"/>
      <c r="V285" s="12"/>
      <c r="Z285" s="12"/>
      <c r="AA285" s="12" t="n">
        <v>5</v>
      </c>
      <c r="AB285" s="12"/>
      <c r="AC285" s="12"/>
      <c r="AD285" s="12"/>
      <c r="AE285" s="12"/>
    </row>
    <row r="286" customFormat="false" ht="15.75" hidden="false" customHeight="false" outlineLevel="0" collapsed="false">
      <c r="A286" s="12" t="str">
        <f aca="false">IF((AA286&gt;=4), "Y", "N")</f>
        <v>Y</v>
      </c>
      <c r="B286" s="74"/>
      <c r="C286" s="26" t="s">
        <v>7793</v>
      </c>
      <c r="D286" s="24"/>
      <c r="E286" s="17"/>
      <c r="F286" s="17"/>
      <c r="G286" s="17"/>
      <c r="H286" s="17"/>
      <c r="I286" s="26" t="s">
        <v>209</v>
      </c>
      <c r="J286" s="32"/>
      <c r="K286" s="17"/>
      <c r="L286" s="17"/>
      <c r="M286" s="17"/>
      <c r="N286" s="17"/>
      <c r="O286" s="17"/>
      <c r="P286" s="59" t="s">
        <v>7515</v>
      </c>
      <c r="Q286" s="12"/>
      <c r="R286" s="12"/>
      <c r="S286" s="12"/>
      <c r="T286" s="12"/>
      <c r="U286" s="12"/>
      <c r="V286" s="12"/>
      <c r="Z286" s="12"/>
      <c r="AA286" s="12" t="n">
        <v>5</v>
      </c>
      <c r="AB286" s="12"/>
      <c r="AC286" s="12"/>
      <c r="AD286" s="12"/>
      <c r="AE286" s="12"/>
    </row>
    <row r="287" customFormat="false" ht="15.75" hidden="false" customHeight="false" outlineLevel="0" collapsed="false">
      <c r="A287" s="12" t="str">
        <f aca="false">IF((AA287&gt;=4), "Y", "N")</f>
        <v>Y</v>
      </c>
      <c r="B287" s="74"/>
      <c r="C287" s="26" t="s">
        <v>7794</v>
      </c>
      <c r="D287" s="24"/>
      <c r="E287" s="17"/>
      <c r="F287" s="17"/>
      <c r="G287" s="17"/>
      <c r="H287" s="17"/>
      <c r="I287" s="26" t="s">
        <v>209</v>
      </c>
      <c r="J287" s="32"/>
      <c r="K287" s="17"/>
      <c r="L287" s="17"/>
      <c r="M287" s="17"/>
      <c r="N287" s="17"/>
      <c r="O287" s="17"/>
      <c r="P287" s="59" t="s">
        <v>7515</v>
      </c>
      <c r="Q287" s="12"/>
      <c r="R287" s="12"/>
      <c r="S287" s="12"/>
      <c r="T287" s="12"/>
      <c r="U287" s="12"/>
      <c r="V287" s="12"/>
      <c r="Z287" s="12"/>
      <c r="AA287" s="12" t="n">
        <v>5</v>
      </c>
      <c r="AB287" s="12"/>
      <c r="AC287" s="12"/>
      <c r="AD287" s="12"/>
      <c r="AE287" s="12"/>
    </row>
    <row r="288" customFormat="false" ht="15.75" hidden="false" customHeight="false" outlineLevel="0" collapsed="false">
      <c r="A288" s="12" t="str">
        <f aca="false">IF((AA288&gt;=4), "Y", "N")</f>
        <v>Y</v>
      </c>
      <c r="B288" s="74"/>
      <c r="C288" s="26" t="s">
        <v>7795</v>
      </c>
      <c r="D288" s="24"/>
      <c r="E288" s="17"/>
      <c r="F288" s="17"/>
      <c r="G288" s="17"/>
      <c r="H288" s="17"/>
      <c r="I288" s="26" t="s">
        <v>209</v>
      </c>
      <c r="J288" s="32"/>
      <c r="K288" s="17"/>
      <c r="L288" s="17"/>
      <c r="M288" s="17"/>
      <c r="N288" s="17"/>
      <c r="O288" s="17"/>
      <c r="P288" s="59" t="s">
        <v>7515</v>
      </c>
      <c r="Q288" s="12"/>
      <c r="R288" s="12"/>
      <c r="S288" s="12"/>
      <c r="T288" s="12"/>
      <c r="U288" s="12"/>
      <c r="V288" s="12"/>
      <c r="Z288" s="12"/>
      <c r="AA288" s="12" t="n">
        <v>5</v>
      </c>
      <c r="AB288" s="12"/>
      <c r="AC288" s="12"/>
      <c r="AD288" s="12"/>
      <c r="AE288" s="12"/>
    </row>
    <row r="289" customFormat="false" ht="15.75" hidden="false" customHeight="false" outlineLevel="0" collapsed="false">
      <c r="A289" s="12" t="str">
        <f aca="false">IF((AA289&gt;=4), "Y", "N")</f>
        <v>Y</v>
      </c>
      <c r="B289" s="74"/>
      <c r="C289" s="125" t="s">
        <v>7796</v>
      </c>
      <c r="D289" s="24"/>
      <c r="E289" s="17"/>
      <c r="F289" s="17"/>
      <c r="G289" s="17"/>
      <c r="H289" s="17"/>
      <c r="I289" s="26" t="s">
        <v>209</v>
      </c>
      <c r="J289" s="32"/>
      <c r="K289" s="17"/>
      <c r="L289" s="17"/>
      <c r="M289" s="17"/>
      <c r="N289" s="17"/>
      <c r="O289" s="17"/>
      <c r="P289" s="59" t="s">
        <v>7515</v>
      </c>
      <c r="Q289" s="12"/>
      <c r="R289" s="12"/>
      <c r="S289" s="12"/>
      <c r="T289" s="12"/>
      <c r="U289" s="12"/>
      <c r="V289" s="12"/>
      <c r="Z289" s="12"/>
      <c r="AA289" s="12" t="n">
        <v>5</v>
      </c>
      <c r="AB289" s="12"/>
      <c r="AC289" s="12"/>
      <c r="AD289" s="12"/>
      <c r="AE289" s="12"/>
    </row>
    <row r="290" customFormat="false" ht="15.75" hidden="false" customHeight="false" outlineLevel="0" collapsed="false">
      <c r="A290" s="12" t="str">
        <f aca="false">IF((AA290&gt;=4), "Y", "N")</f>
        <v>Y</v>
      </c>
      <c r="B290" s="74"/>
      <c r="C290" s="26" t="s">
        <v>7797</v>
      </c>
      <c r="D290" s="24"/>
      <c r="E290" s="17"/>
      <c r="F290" s="17"/>
      <c r="G290" s="17"/>
      <c r="H290" s="17"/>
      <c r="I290" s="26" t="s">
        <v>209</v>
      </c>
      <c r="J290" s="32"/>
      <c r="K290" s="17"/>
      <c r="L290" s="17"/>
      <c r="M290" s="17"/>
      <c r="N290" s="17"/>
      <c r="O290" s="17"/>
      <c r="P290" s="59" t="s">
        <v>7515</v>
      </c>
      <c r="Q290" s="12"/>
      <c r="R290" s="12"/>
      <c r="S290" s="12"/>
      <c r="T290" s="12"/>
      <c r="U290" s="12"/>
      <c r="V290" s="12"/>
      <c r="Z290" s="12"/>
      <c r="AA290" s="12" t="n">
        <v>5</v>
      </c>
      <c r="AB290" s="12"/>
      <c r="AC290" s="12"/>
      <c r="AD290" s="12"/>
      <c r="AE290" s="12"/>
    </row>
    <row r="291" customFormat="false" ht="15.75" hidden="false" customHeight="false" outlineLevel="0" collapsed="false">
      <c r="A291" s="12" t="str">
        <f aca="false">IF((AA291&gt;=4), "Y", "N")</f>
        <v>Y</v>
      </c>
      <c r="B291" s="74"/>
      <c r="C291" s="125" t="s">
        <v>7798</v>
      </c>
      <c r="D291" s="24"/>
      <c r="E291" s="17"/>
      <c r="F291" s="17"/>
      <c r="G291" s="17"/>
      <c r="H291" s="17"/>
      <c r="I291" s="26" t="s">
        <v>209</v>
      </c>
      <c r="J291" s="32"/>
      <c r="K291" s="17"/>
      <c r="L291" s="17"/>
      <c r="M291" s="17"/>
      <c r="N291" s="17"/>
      <c r="O291" s="17"/>
      <c r="P291" s="59" t="s">
        <v>7515</v>
      </c>
      <c r="Q291" s="12"/>
      <c r="R291" s="12"/>
      <c r="S291" s="12"/>
      <c r="T291" s="12"/>
      <c r="U291" s="12"/>
      <c r="V291" s="12"/>
      <c r="Z291" s="12"/>
      <c r="AA291" s="12" t="n">
        <v>5</v>
      </c>
      <c r="AB291" s="12"/>
      <c r="AC291" s="12"/>
      <c r="AD291" s="12"/>
      <c r="AE291" s="12"/>
    </row>
    <row r="292" customFormat="false" ht="15.75" hidden="false" customHeight="false" outlineLevel="0" collapsed="false">
      <c r="A292" s="12" t="str">
        <f aca="false">IF((AA292&gt;=4), "Y", "N")</f>
        <v>Y</v>
      </c>
      <c r="B292" s="74"/>
      <c r="C292" s="26" t="s">
        <v>7799</v>
      </c>
      <c r="D292" s="24"/>
      <c r="E292" s="17"/>
      <c r="F292" s="17"/>
      <c r="G292" s="17"/>
      <c r="H292" s="17"/>
      <c r="I292" s="26" t="s">
        <v>209</v>
      </c>
      <c r="J292" s="32"/>
      <c r="K292" s="17"/>
      <c r="L292" s="17"/>
      <c r="M292" s="17"/>
      <c r="N292" s="17"/>
      <c r="O292" s="17"/>
      <c r="P292" s="59" t="s">
        <v>7515</v>
      </c>
      <c r="Q292" s="12"/>
      <c r="R292" s="12"/>
      <c r="S292" s="12"/>
      <c r="T292" s="12"/>
      <c r="U292" s="12"/>
      <c r="V292" s="12"/>
      <c r="Z292" s="12"/>
      <c r="AA292" s="12" t="n">
        <v>5</v>
      </c>
      <c r="AB292" s="12"/>
      <c r="AC292" s="12"/>
      <c r="AD292" s="12"/>
      <c r="AE292" s="12"/>
    </row>
    <row r="293" customFormat="false" ht="15.75" hidden="false" customHeight="false" outlineLevel="0" collapsed="false">
      <c r="A293" s="12" t="str">
        <f aca="false">IF((AA293&gt;=4), "Y", "N")</f>
        <v>Y</v>
      </c>
      <c r="B293" s="74"/>
      <c r="C293" s="26" t="s">
        <v>7800</v>
      </c>
      <c r="D293" s="24"/>
      <c r="E293" s="17"/>
      <c r="F293" s="17"/>
      <c r="G293" s="17"/>
      <c r="H293" s="17"/>
      <c r="I293" s="26" t="s">
        <v>209</v>
      </c>
      <c r="J293" s="32"/>
      <c r="K293" s="17"/>
      <c r="L293" s="17"/>
      <c r="M293" s="17"/>
      <c r="N293" s="17"/>
      <c r="O293" s="17"/>
      <c r="P293" s="59" t="s">
        <v>7515</v>
      </c>
      <c r="Q293" s="12"/>
      <c r="R293" s="12"/>
      <c r="S293" s="12"/>
      <c r="T293" s="12"/>
      <c r="U293" s="12"/>
      <c r="V293" s="12"/>
      <c r="Z293" s="12"/>
      <c r="AA293" s="12" t="n">
        <v>5</v>
      </c>
      <c r="AB293" s="12"/>
      <c r="AC293" s="12"/>
      <c r="AD293" s="12"/>
      <c r="AE293" s="12"/>
    </row>
    <row r="294" customFormat="false" ht="15.75" hidden="false" customHeight="false" outlineLevel="0" collapsed="false">
      <c r="A294" s="12" t="str">
        <f aca="false">IF((AA294&gt;=4), "Y", "N")</f>
        <v>Y</v>
      </c>
      <c r="B294" s="74"/>
      <c r="C294" s="26" t="s">
        <v>7801</v>
      </c>
      <c r="D294" s="24"/>
      <c r="E294" s="17"/>
      <c r="F294" s="17"/>
      <c r="G294" s="17"/>
      <c r="H294" s="17"/>
      <c r="I294" s="26" t="s">
        <v>209</v>
      </c>
      <c r="J294" s="32"/>
      <c r="K294" s="17"/>
      <c r="L294" s="17"/>
      <c r="M294" s="17"/>
      <c r="N294" s="17"/>
      <c r="O294" s="17"/>
      <c r="P294" s="59" t="s">
        <v>7515</v>
      </c>
      <c r="Q294" s="12"/>
      <c r="R294" s="12"/>
      <c r="S294" s="12"/>
      <c r="T294" s="12"/>
      <c r="U294" s="12"/>
      <c r="V294" s="12"/>
      <c r="Z294" s="12"/>
      <c r="AA294" s="12" t="n">
        <v>5</v>
      </c>
      <c r="AB294" s="12"/>
      <c r="AC294" s="12"/>
      <c r="AD294" s="12"/>
      <c r="AE294" s="12"/>
    </row>
    <row r="295" customFormat="false" ht="15.75" hidden="false" customHeight="false" outlineLevel="0" collapsed="false">
      <c r="A295" s="12" t="str">
        <f aca="false">IF((AA295&gt;=4), "Y", "N")</f>
        <v>Y</v>
      </c>
      <c r="B295" s="74"/>
      <c r="C295" s="26" t="s">
        <v>7802</v>
      </c>
      <c r="D295" s="24"/>
      <c r="E295" s="17"/>
      <c r="F295" s="17"/>
      <c r="G295" s="17"/>
      <c r="H295" s="17"/>
      <c r="I295" s="26" t="s">
        <v>209</v>
      </c>
      <c r="J295" s="32"/>
      <c r="K295" s="17"/>
      <c r="L295" s="17"/>
      <c r="M295" s="17"/>
      <c r="N295" s="17"/>
      <c r="O295" s="17"/>
      <c r="P295" s="59" t="s">
        <v>7515</v>
      </c>
      <c r="Q295" s="12"/>
      <c r="R295" s="12"/>
      <c r="S295" s="12"/>
      <c r="T295" s="12"/>
      <c r="U295" s="12"/>
      <c r="V295" s="12"/>
      <c r="Z295" s="12"/>
      <c r="AA295" s="12" t="n">
        <v>5</v>
      </c>
      <c r="AB295" s="12"/>
      <c r="AC295" s="12"/>
      <c r="AD295" s="12"/>
      <c r="AE295" s="12"/>
    </row>
    <row r="296" customFormat="false" ht="15.75" hidden="false" customHeight="false" outlineLevel="0" collapsed="false">
      <c r="A296" s="12" t="str">
        <f aca="false">IF((AA296&gt;=4), "Y", "N")</f>
        <v>Y</v>
      </c>
      <c r="B296" s="74"/>
      <c r="C296" s="26" t="s">
        <v>7803</v>
      </c>
      <c r="D296" s="24"/>
      <c r="E296" s="17"/>
      <c r="F296" s="17"/>
      <c r="G296" s="17"/>
      <c r="H296" s="17"/>
      <c r="I296" s="26" t="s">
        <v>209</v>
      </c>
      <c r="J296" s="32"/>
      <c r="K296" s="17"/>
      <c r="L296" s="17"/>
      <c r="M296" s="17"/>
      <c r="N296" s="17"/>
      <c r="O296" s="17"/>
      <c r="P296" s="59" t="s">
        <v>7515</v>
      </c>
      <c r="Q296" s="12"/>
      <c r="R296" s="12"/>
      <c r="S296" s="12"/>
      <c r="T296" s="12"/>
      <c r="U296" s="12"/>
      <c r="V296" s="12"/>
      <c r="Z296" s="12"/>
      <c r="AA296" s="12" t="n">
        <v>5</v>
      </c>
      <c r="AB296" s="12"/>
      <c r="AC296" s="12"/>
      <c r="AD296" s="12"/>
      <c r="AE296" s="12"/>
    </row>
    <row r="297" customFormat="false" ht="15.75" hidden="false" customHeight="false" outlineLevel="0" collapsed="false">
      <c r="A297" s="12" t="str">
        <f aca="false">IF((AA297&gt;=4), "Y", "N")</f>
        <v>Y</v>
      </c>
      <c r="B297" s="74"/>
      <c r="C297" s="26" t="s">
        <v>7804</v>
      </c>
      <c r="D297" s="24"/>
      <c r="E297" s="17"/>
      <c r="F297" s="17"/>
      <c r="G297" s="17"/>
      <c r="H297" s="17"/>
      <c r="I297" s="26" t="s">
        <v>209</v>
      </c>
      <c r="J297" s="32"/>
      <c r="K297" s="17"/>
      <c r="L297" s="17"/>
      <c r="M297" s="17"/>
      <c r="N297" s="17"/>
      <c r="O297" s="17"/>
      <c r="P297" s="59" t="s">
        <v>7515</v>
      </c>
      <c r="Q297" s="12"/>
      <c r="R297" s="12"/>
      <c r="S297" s="12"/>
      <c r="T297" s="12"/>
      <c r="U297" s="12"/>
      <c r="V297" s="12"/>
      <c r="Z297" s="12"/>
      <c r="AA297" s="12" t="n">
        <v>5</v>
      </c>
      <c r="AB297" s="12"/>
      <c r="AC297" s="12"/>
      <c r="AD297" s="12"/>
      <c r="AE297" s="12"/>
    </row>
    <row r="298" customFormat="false" ht="15.75" hidden="false" customHeight="false" outlineLevel="0" collapsed="false">
      <c r="A298" s="12" t="str">
        <f aca="false">IF((AA298&gt;=4), "Y", "N")</f>
        <v>Y</v>
      </c>
      <c r="B298" s="74"/>
      <c r="C298" s="26" t="s">
        <v>7805</v>
      </c>
      <c r="D298" s="24"/>
      <c r="E298" s="17"/>
      <c r="F298" s="17"/>
      <c r="G298" s="17"/>
      <c r="H298" s="17"/>
      <c r="I298" s="26" t="s">
        <v>209</v>
      </c>
      <c r="J298" s="32"/>
      <c r="K298" s="17"/>
      <c r="L298" s="17"/>
      <c r="M298" s="17"/>
      <c r="N298" s="17"/>
      <c r="O298" s="17"/>
      <c r="P298" s="59" t="s">
        <v>7515</v>
      </c>
      <c r="Q298" s="12"/>
      <c r="R298" s="12"/>
      <c r="S298" s="12"/>
      <c r="T298" s="12"/>
      <c r="U298" s="12"/>
      <c r="V298" s="12"/>
      <c r="Z298" s="12"/>
      <c r="AA298" s="12" t="n">
        <v>5</v>
      </c>
      <c r="AB298" s="12"/>
      <c r="AC298" s="12"/>
      <c r="AD298" s="12"/>
      <c r="AE298" s="12"/>
    </row>
    <row r="299" customFormat="false" ht="15.75" hidden="false" customHeight="false" outlineLevel="0" collapsed="false">
      <c r="A299" s="12" t="str">
        <f aca="false">IF((AA299&gt;=4), "Y", "N")</f>
        <v>Y</v>
      </c>
      <c r="B299" s="74"/>
      <c r="C299" s="26" t="s">
        <v>7806</v>
      </c>
      <c r="D299" s="24"/>
      <c r="E299" s="17"/>
      <c r="F299" s="17"/>
      <c r="G299" s="17"/>
      <c r="H299" s="17"/>
      <c r="I299" s="26" t="s">
        <v>209</v>
      </c>
      <c r="J299" s="32"/>
      <c r="K299" s="17"/>
      <c r="L299" s="17"/>
      <c r="M299" s="17"/>
      <c r="N299" s="17"/>
      <c r="O299" s="17"/>
      <c r="P299" s="59" t="s">
        <v>7515</v>
      </c>
      <c r="Q299" s="12"/>
      <c r="R299" s="12"/>
      <c r="S299" s="12"/>
      <c r="T299" s="12"/>
      <c r="U299" s="12"/>
      <c r="V299" s="12"/>
      <c r="Z299" s="12"/>
      <c r="AA299" s="12" t="n">
        <v>5</v>
      </c>
      <c r="AB299" s="12"/>
      <c r="AC299" s="12"/>
      <c r="AD299" s="12"/>
      <c r="AE299" s="12"/>
    </row>
    <row r="300" customFormat="false" ht="15.75" hidden="false" customHeight="false" outlineLevel="0" collapsed="false">
      <c r="A300" s="12" t="str">
        <f aca="false">IF((AA300&gt;=4), "Y", "N")</f>
        <v>Y</v>
      </c>
      <c r="B300" s="74"/>
      <c r="C300" s="26" t="s">
        <v>7807</v>
      </c>
      <c r="D300" s="24"/>
      <c r="E300" s="17"/>
      <c r="F300" s="17"/>
      <c r="G300" s="17"/>
      <c r="H300" s="17"/>
      <c r="I300" s="26" t="s">
        <v>209</v>
      </c>
      <c r="J300" s="32"/>
      <c r="K300" s="17"/>
      <c r="L300" s="17"/>
      <c r="M300" s="17"/>
      <c r="N300" s="17"/>
      <c r="O300" s="17"/>
      <c r="P300" s="59" t="s">
        <v>7515</v>
      </c>
      <c r="Q300" s="12"/>
      <c r="R300" s="12"/>
      <c r="S300" s="12"/>
      <c r="T300" s="12"/>
      <c r="U300" s="12"/>
      <c r="V300" s="12"/>
      <c r="Z300" s="12"/>
      <c r="AA300" s="12" t="n">
        <v>5</v>
      </c>
      <c r="AB300" s="12"/>
      <c r="AC300" s="12"/>
      <c r="AD300" s="12"/>
      <c r="AE300" s="12"/>
    </row>
    <row r="301" customFormat="false" ht="15.75" hidden="false" customHeight="false" outlineLevel="0" collapsed="false">
      <c r="A301" s="12" t="str">
        <f aca="false">IF((AA301&gt;=4), "Y", "N")</f>
        <v>Y</v>
      </c>
      <c r="B301" s="74"/>
      <c r="C301" s="26" t="s">
        <v>7808</v>
      </c>
      <c r="D301" s="24"/>
      <c r="E301" s="17"/>
      <c r="F301" s="17"/>
      <c r="G301" s="17"/>
      <c r="H301" s="17"/>
      <c r="I301" s="26" t="s">
        <v>209</v>
      </c>
      <c r="J301" s="32"/>
      <c r="K301" s="17"/>
      <c r="L301" s="17"/>
      <c r="M301" s="17"/>
      <c r="N301" s="17"/>
      <c r="O301" s="17"/>
      <c r="P301" s="59" t="s">
        <v>7515</v>
      </c>
      <c r="Q301" s="12"/>
      <c r="R301" s="12"/>
      <c r="S301" s="12"/>
      <c r="T301" s="12"/>
      <c r="U301" s="12"/>
      <c r="V301" s="12"/>
      <c r="Z301" s="12"/>
      <c r="AA301" s="12" t="n">
        <v>5</v>
      </c>
      <c r="AB301" s="12"/>
      <c r="AC301" s="12"/>
      <c r="AD301" s="12"/>
      <c r="AE301" s="12"/>
    </row>
    <row r="302" customFormat="false" ht="15.75" hidden="false" customHeight="false" outlineLevel="0" collapsed="false">
      <c r="A302" s="12" t="str">
        <f aca="false">IF((AA302&gt;=4), "Y", "N")</f>
        <v>Y</v>
      </c>
      <c r="B302" s="74"/>
      <c r="C302" s="26" t="s">
        <v>7809</v>
      </c>
      <c r="D302" s="24"/>
      <c r="E302" s="17"/>
      <c r="F302" s="17"/>
      <c r="G302" s="17"/>
      <c r="H302" s="17"/>
      <c r="I302" s="26" t="s">
        <v>209</v>
      </c>
      <c r="J302" s="32"/>
      <c r="K302" s="17"/>
      <c r="L302" s="17"/>
      <c r="M302" s="17"/>
      <c r="N302" s="17"/>
      <c r="O302" s="17"/>
      <c r="P302" s="59" t="s">
        <v>7515</v>
      </c>
      <c r="Q302" s="12"/>
      <c r="R302" s="12"/>
      <c r="S302" s="12"/>
      <c r="T302" s="12"/>
      <c r="U302" s="12"/>
      <c r="V302" s="12"/>
      <c r="Z302" s="12"/>
      <c r="AA302" s="12" t="n">
        <v>5</v>
      </c>
      <c r="AB302" s="12"/>
      <c r="AC302" s="12"/>
      <c r="AD302" s="12"/>
      <c r="AE302" s="12"/>
    </row>
    <row r="303" customFormat="false" ht="15.75" hidden="false" customHeight="false" outlineLevel="0" collapsed="false">
      <c r="A303" s="12" t="str">
        <f aca="false">IF((AA303&gt;=4), "Y", "N")</f>
        <v>Y</v>
      </c>
      <c r="B303" s="74"/>
      <c r="C303" s="26" t="s">
        <v>7810</v>
      </c>
      <c r="D303" s="24"/>
      <c r="E303" s="17"/>
      <c r="F303" s="17"/>
      <c r="G303" s="17"/>
      <c r="H303" s="17"/>
      <c r="I303" s="26" t="s">
        <v>209</v>
      </c>
      <c r="J303" s="32"/>
      <c r="K303" s="17"/>
      <c r="L303" s="17"/>
      <c r="M303" s="17"/>
      <c r="N303" s="17"/>
      <c r="O303" s="17"/>
      <c r="P303" s="59" t="s">
        <v>7515</v>
      </c>
      <c r="Q303" s="12"/>
      <c r="R303" s="12"/>
      <c r="S303" s="12"/>
      <c r="T303" s="12"/>
      <c r="U303" s="12"/>
      <c r="V303" s="12"/>
      <c r="Z303" s="12"/>
      <c r="AA303" s="12" t="n">
        <v>5</v>
      </c>
      <c r="AB303" s="12"/>
      <c r="AC303" s="12"/>
      <c r="AD303" s="12"/>
      <c r="AE303" s="12"/>
    </row>
    <row r="304" customFormat="false" ht="15.75" hidden="false" customHeight="false" outlineLevel="0" collapsed="false">
      <c r="A304" s="12" t="str">
        <f aca="false">IF((AA304&gt;=4), "Y", "N")</f>
        <v>Y</v>
      </c>
      <c r="B304" s="74"/>
      <c r="C304" s="26" t="s">
        <v>7811</v>
      </c>
      <c r="D304" s="24"/>
      <c r="E304" s="17"/>
      <c r="F304" s="17"/>
      <c r="G304" s="17"/>
      <c r="H304" s="17"/>
      <c r="I304" s="26" t="s">
        <v>209</v>
      </c>
      <c r="J304" s="32"/>
      <c r="K304" s="17"/>
      <c r="L304" s="17"/>
      <c r="M304" s="17"/>
      <c r="N304" s="17"/>
      <c r="O304" s="17"/>
      <c r="P304" s="59" t="s">
        <v>7515</v>
      </c>
      <c r="Q304" s="12"/>
      <c r="R304" s="12"/>
      <c r="S304" s="12"/>
      <c r="T304" s="12"/>
      <c r="U304" s="12"/>
      <c r="V304" s="12"/>
      <c r="Z304" s="12"/>
      <c r="AA304" s="12" t="n">
        <v>5</v>
      </c>
      <c r="AB304" s="12"/>
      <c r="AC304" s="12"/>
      <c r="AD304" s="12"/>
      <c r="AE304" s="12"/>
    </row>
    <row r="305" customFormat="false" ht="15.75" hidden="false" customHeight="false" outlineLevel="0" collapsed="false">
      <c r="A305" s="12" t="str">
        <f aca="false">IF((AA305&gt;=4), "Y", "N")</f>
        <v>Y</v>
      </c>
      <c r="B305" s="74"/>
      <c r="C305" s="26" t="s">
        <v>7812</v>
      </c>
      <c r="D305" s="24"/>
      <c r="E305" s="17"/>
      <c r="F305" s="17"/>
      <c r="G305" s="17"/>
      <c r="H305" s="17"/>
      <c r="I305" s="26" t="s">
        <v>209</v>
      </c>
      <c r="J305" s="32"/>
      <c r="K305" s="17"/>
      <c r="L305" s="17"/>
      <c r="M305" s="17"/>
      <c r="N305" s="17"/>
      <c r="O305" s="17"/>
      <c r="P305" s="59" t="s">
        <v>7515</v>
      </c>
      <c r="Q305" s="12"/>
      <c r="R305" s="12"/>
      <c r="S305" s="12"/>
      <c r="T305" s="12"/>
      <c r="U305" s="12"/>
      <c r="V305" s="12"/>
      <c r="Z305" s="12"/>
      <c r="AA305" s="12" t="n">
        <v>5</v>
      </c>
      <c r="AB305" s="12"/>
      <c r="AC305" s="12"/>
      <c r="AD305" s="12"/>
      <c r="AE305" s="12"/>
    </row>
    <row r="306" customFormat="false" ht="15.75" hidden="false" customHeight="false" outlineLevel="0" collapsed="false">
      <c r="A306" s="12" t="str">
        <f aca="false">IF((AA306&gt;=4), "Y", "N")</f>
        <v>Y</v>
      </c>
      <c r="B306" s="74"/>
      <c r="C306" s="26" t="s">
        <v>7813</v>
      </c>
      <c r="D306" s="24"/>
      <c r="E306" s="17"/>
      <c r="F306" s="17"/>
      <c r="G306" s="17"/>
      <c r="H306" s="17"/>
      <c r="I306" s="26" t="s">
        <v>209</v>
      </c>
      <c r="J306" s="32"/>
      <c r="K306" s="17"/>
      <c r="L306" s="17"/>
      <c r="M306" s="17"/>
      <c r="N306" s="17"/>
      <c r="O306" s="17"/>
      <c r="P306" s="59" t="s">
        <v>7515</v>
      </c>
      <c r="Q306" s="12"/>
      <c r="R306" s="12"/>
      <c r="S306" s="12"/>
      <c r="T306" s="12"/>
      <c r="U306" s="12"/>
      <c r="V306" s="12"/>
      <c r="Z306" s="12"/>
      <c r="AA306" s="12" t="n">
        <v>5</v>
      </c>
      <c r="AB306" s="12"/>
      <c r="AC306" s="12"/>
      <c r="AD306" s="12"/>
      <c r="AE306" s="12"/>
    </row>
    <row r="307" customFormat="false" ht="15.75" hidden="false" customHeight="false" outlineLevel="0" collapsed="false">
      <c r="A307" s="12" t="str">
        <f aca="false">IF((AA307&gt;=4), "Y", "N")</f>
        <v>Y</v>
      </c>
      <c r="B307" s="74"/>
      <c r="C307" s="26" t="s">
        <v>7814</v>
      </c>
      <c r="D307" s="24"/>
      <c r="E307" s="17"/>
      <c r="F307" s="17"/>
      <c r="G307" s="17"/>
      <c r="H307" s="17"/>
      <c r="I307" s="26" t="s">
        <v>209</v>
      </c>
      <c r="J307" s="32"/>
      <c r="K307" s="17"/>
      <c r="L307" s="17"/>
      <c r="M307" s="17"/>
      <c r="N307" s="17"/>
      <c r="O307" s="17"/>
      <c r="P307" s="59" t="s">
        <v>7515</v>
      </c>
      <c r="Q307" s="12"/>
      <c r="R307" s="12"/>
      <c r="S307" s="12"/>
      <c r="T307" s="12"/>
      <c r="U307" s="12"/>
      <c r="V307" s="12"/>
      <c r="Z307" s="12"/>
      <c r="AA307" s="12" t="n">
        <v>5</v>
      </c>
      <c r="AB307" s="12"/>
      <c r="AC307" s="12"/>
      <c r="AD307" s="12"/>
      <c r="AE307" s="12"/>
    </row>
    <row r="308" customFormat="false" ht="15.75" hidden="false" customHeight="false" outlineLevel="0" collapsed="false">
      <c r="A308" s="12" t="str">
        <f aca="false">IF((AA308&gt;=4), "Y", "N")</f>
        <v>Y</v>
      </c>
      <c r="B308" s="74"/>
      <c r="C308" s="26" t="s">
        <v>7815</v>
      </c>
      <c r="D308" s="24"/>
      <c r="E308" s="17"/>
      <c r="F308" s="17"/>
      <c r="G308" s="17"/>
      <c r="H308" s="17"/>
      <c r="I308" s="26" t="s">
        <v>209</v>
      </c>
      <c r="J308" s="32"/>
      <c r="K308" s="17"/>
      <c r="L308" s="17"/>
      <c r="M308" s="17"/>
      <c r="N308" s="17"/>
      <c r="O308" s="17"/>
      <c r="P308" s="59" t="s">
        <v>7515</v>
      </c>
      <c r="Q308" s="12"/>
      <c r="R308" s="12"/>
      <c r="S308" s="12"/>
      <c r="T308" s="12"/>
      <c r="U308" s="12"/>
      <c r="V308" s="12"/>
      <c r="Z308" s="12"/>
      <c r="AA308" s="12" t="n">
        <v>5</v>
      </c>
      <c r="AB308" s="12"/>
      <c r="AC308" s="12"/>
      <c r="AD308" s="12"/>
      <c r="AE308" s="12"/>
    </row>
    <row r="309" customFormat="false" ht="15.75" hidden="false" customHeight="false" outlineLevel="0" collapsed="false">
      <c r="A309" s="12" t="str">
        <f aca="false">IF((AA309&gt;=4), "Y", "N")</f>
        <v>Y</v>
      </c>
      <c r="B309" s="74"/>
      <c r="C309" s="26" t="s">
        <v>7816</v>
      </c>
      <c r="D309" s="24"/>
      <c r="E309" s="17"/>
      <c r="F309" s="17"/>
      <c r="G309" s="17"/>
      <c r="H309" s="17"/>
      <c r="I309" s="26" t="s">
        <v>209</v>
      </c>
      <c r="J309" s="32"/>
      <c r="K309" s="17"/>
      <c r="L309" s="17"/>
      <c r="M309" s="17"/>
      <c r="N309" s="17"/>
      <c r="O309" s="17"/>
      <c r="P309" s="59" t="s">
        <v>7515</v>
      </c>
      <c r="Q309" s="12"/>
      <c r="R309" s="12"/>
      <c r="S309" s="12"/>
      <c r="T309" s="12"/>
      <c r="U309" s="12"/>
      <c r="V309" s="12"/>
      <c r="Z309" s="12"/>
      <c r="AA309" s="12" t="n">
        <v>5</v>
      </c>
      <c r="AB309" s="12"/>
      <c r="AC309" s="12"/>
      <c r="AD309" s="12"/>
      <c r="AE309" s="12"/>
    </row>
    <row r="310" customFormat="false" ht="15.75" hidden="false" customHeight="false" outlineLevel="0" collapsed="false">
      <c r="A310" s="12" t="str">
        <f aca="false">IF((AA310&gt;=4), "Y", "N")</f>
        <v>Y</v>
      </c>
      <c r="B310" s="74"/>
      <c r="C310" s="26" t="s">
        <v>7817</v>
      </c>
      <c r="D310" s="24"/>
      <c r="E310" s="17"/>
      <c r="F310" s="17"/>
      <c r="G310" s="17"/>
      <c r="H310" s="17"/>
      <c r="I310" s="26" t="s">
        <v>209</v>
      </c>
      <c r="J310" s="32"/>
      <c r="K310" s="17"/>
      <c r="L310" s="17"/>
      <c r="M310" s="17"/>
      <c r="N310" s="17"/>
      <c r="O310" s="17"/>
      <c r="P310" s="59" t="s">
        <v>7515</v>
      </c>
      <c r="Q310" s="12"/>
      <c r="R310" s="12"/>
      <c r="S310" s="12"/>
      <c r="T310" s="12"/>
      <c r="U310" s="12"/>
      <c r="V310" s="12"/>
      <c r="Z310" s="12"/>
      <c r="AA310" s="12" t="n">
        <v>5</v>
      </c>
      <c r="AB310" s="12"/>
      <c r="AC310" s="12"/>
      <c r="AD310" s="12"/>
      <c r="AE310" s="12"/>
    </row>
    <row r="311" customFormat="false" ht="15.75" hidden="false" customHeight="false" outlineLevel="0" collapsed="false">
      <c r="A311" s="12" t="str">
        <f aca="false">IF((AA311&gt;=4), "Y", "N")</f>
        <v>Y</v>
      </c>
      <c r="B311" s="74"/>
      <c r="C311" s="26" t="s">
        <v>7818</v>
      </c>
      <c r="D311" s="24"/>
      <c r="E311" s="17"/>
      <c r="F311" s="17"/>
      <c r="G311" s="17"/>
      <c r="H311" s="17"/>
      <c r="I311" s="26" t="s">
        <v>209</v>
      </c>
      <c r="J311" s="32"/>
      <c r="K311" s="17"/>
      <c r="L311" s="17"/>
      <c r="M311" s="17"/>
      <c r="N311" s="17"/>
      <c r="O311" s="17"/>
      <c r="P311" s="59" t="s">
        <v>7515</v>
      </c>
      <c r="Q311" s="12"/>
      <c r="R311" s="12"/>
      <c r="S311" s="12"/>
      <c r="T311" s="12"/>
      <c r="U311" s="12"/>
      <c r="V311" s="12"/>
      <c r="Z311" s="12"/>
      <c r="AA311" s="12" t="n">
        <v>5</v>
      </c>
      <c r="AB311" s="12"/>
      <c r="AC311" s="12"/>
      <c r="AD311" s="12"/>
      <c r="AE311" s="12"/>
    </row>
    <row r="312" customFormat="false" ht="15.75" hidden="false" customHeight="false" outlineLevel="0" collapsed="false">
      <c r="A312" s="12" t="str">
        <f aca="false">IF((AA312&gt;=4), "Y", "N")</f>
        <v>Y</v>
      </c>
      <c r="B312" s="74"/>
      <c r="C312" s="26" t="s">
        <v>7819</v>
      </c>
      <c r="D312" s="24"/>
      <c r="E312" s="17"/>
      <c r="F312" s="17"/>
      <c r="G312" s="17"/>
      <c r="H312" s="17"/>
      <c r="I312" s="26" t="s">
        <v>209</v>
      </c>
      <c r="J312" s="32"/>
      <c r="K312" s="17"/>
      <c r="L312" s="17"/>
      <c r="M312" s="17"/>
      <c r="N312" s="17"/>
      <c r="O312" s="17"/>
      <c r="P312" s="59" t="s">
        <v>7515</v>
      </c>
      <c r="Q312" s="12"/>
      <c r="R312" s="12"/>
      <c r="S312" s="12"/>
      <c r="T312" s="12"/>
      <c r="U312" s="12"/>
      <c r="V312" s="12"/>
      <c r="Z312" s="12"/>
      <c r="AA312" s="12" t="n">
        <v>5</v>
      </c>
      <c r="AB312" s="12"/>
      <c r="AC312" s="12"/>
      <c r="AD312" s="12"/>
      <c r="AE312" s="12"/>
    </row>
    <row r="313" customFormat="false" ht="15.75" hidden="false" customHeight="false" outlineLevel="0" collapsed="false">
      <c r="A313" s="12" t="str">
        <f aca="false">IF((AA313&gt;=4), "Y", "N")</f>
        <v>Y</v>
      </c>
      <c r="B313" s="74"/>
      <c r="C313" s="26" t="s">
        <v>7820</v>
      </c>
      <c r="D313" s="24"/>
      <c r="E313" s="17"/>
      <c r="F313" s="17"/>
      <c r="G313" s="17"/>
      <c r="H313" s="17"/>
      <c r="I313" s="26" t="s">
        <v>209</v>
      </c>
      <c r="J313" s="32"/>
      <c r="K313" s="17"/>
      <c r="L313" s="17"/>
      <c r="M313" s="17"/>
      <c r="N313" s="17"/>
      <c r="O313" s="17"/>
      <c r="P313" s="59" t="s">
        <v>7515</v>
      </c>
      <c r="Q313" s="12"/>
      <c r="R313" s="12"/>
      <c r="S313" s="12"/>
      <c r="T313" s="12"/>
      <c r="U313" s="12"/>
      <c r="V313" s="12"/>
      <c r="Z313" s="12"/>
      <c r="AA313" s="12" t="n">
        <v>5</v>
      </c>
      <c r="AB313" s="12"/>
      <c r="AC313" s="12"/>
      <c r="AD313" s="12"/>
      <c r="AE313" s="12"/>
    </row>
    <row r="314" customFormat="false" ht="15.75" hidden="false" customHeight="false" outlineLevel="0" collapsed="false">
      <c r="A314" s="12" t="str">
        <f aca="false">IF((AA314&gt;=4), "Y", "N")</f>
        <v>Y</v>
      </c>
      <c r="B314" s="74"/>
      <c r="C314" s="125" t="s">
        <v>7821</v>
      </c>
      <c r="D314" s="24"/>
      <c r="E314" s="17"/>
      <c r="F314" s="17"/>
      <c r="G314" s="17"/>
      <c r="H314" s="17"/>
      <c r="I314" s="26" t="s">
        <v>209</v>
      </c>
      <c r="J314" s="32"/>
      <c r="K314" s="17"/>
      <c r="L314" s="17"/>
      <c r="M314" s="17"/>
      <c r="N314" s="17"/>
      <c r="O314" s="17"/>
      <c r="P314" s="59" t="s">
        <v>7515</v>
      </c>
      <c r="Q314" s="12"/>
      <c r="R314" s="12"/>
      <c r="S314" s="12"/>
      <c r="T314" s="12"/>
      <c r="U314" s="12"/>
      <c r="V314" s="12"/>
      <c r="Z314" s="12"/>
      <c r="AA314" s="12" t="n">
        <v>5</v>
      </c>
      <c r="AB314" s="12"/>
      <c r="AC314" s="12"/>
      <c r="AD314" s="12"/>
      <c r="AE314" s="12"/>
    </row>
    <row r="315" customFormat="false" ht="15.75" hidden="false" customHeight="false" outlineLevel="0" collapsed="false">
      <c r="A315" s="12" t="str">
        <f aca="false">IF((AA315&gt;=4), "Y", "N")</f>
        <v>Y</v>
      </c>
      <c r="B315" s="74"/>
      <c r="C315" s="26" t="s">
        <v>7822</v>
      </c>
      <c r="D315" s="24"/>
      <c r="E315" s="17"/>
      <c r="F315" s="17"/>
      <c r="G315" s="17"/>
      <c r="H315" s="17"/>
      <c r="I315" s="26" t="s">
        <v>209</v>
      </c>
      <c r="J315" s="32"/>
      <c r="K315" s="17"/>
      <c r="L315" s="17"/>
      <c r="M315" s="17"/>
      <c r="N315" s="17"/>
      <c r="O315" s="17"/>
      <c r="P315" s="59" t="s">
        <v>7515</v>
      </c>
      <c r="Q315" s="12"/>
      <c r="R315" s="12"/>
      <c r="S315" s="12"/>
      <c r="T315" s="12"/>
      <c r="U315" s="12"/>
      <c r="V315" s="12"/>
      <c r="Z315" s="12"/>
      <c r="AA315" s="12" t="n">
        <v>5</v>
      </c>
      <c r="AB315" s="12"/>
      <c r="AC315" s="12"/>
      <c r="AD315" s="12"/>
      <c r="AE315" s="12"/>
    </row>
    <row r="316" customFormat="false" ht="15.75" hidden="false" customHeight="false" outlineLevel="0" collapsed="false">
      <c r="A316" s="12" t="str">
        <f aca="false">IF((AA316&gt;=4), "Y", "N")</f>
        <v>Y</v>
      </c>
      <c r="B316" s="74"/>
      <c r="C316" s="26" t="s">
        <v>7823</v>
      </c>
      <c r="D316" s="24"/>
      <c r="E316" s="17"/>
      <c r="F316" s="17"/>
      <c r="G316" s="17"/>
      <c r="H316" s="17"/>
      <c r="I316" s="26" t="s">
        <v>209</v>
      </c>
      <c r="J316" s="32"/>
      <c r="K316" s="17"/>
      <c r="L316" s="17"/>
      <c r="M316" s="17"/>
      <c r="N316" s="17"/>
      <c r="O316" s="17"/>
      <c r="P316" s="59" t="s">
        <v>7515</v>
      </c>
      <c r="Q316" s="12"/>
      <c r="R316" s="12"/>
      <c r="S316" s="12"/>
      <c r="T316" s="12"/>
      <c r="U316" s="12"/>
      <c r="V316" s="12"/>
      <c r="Z316" s="12"/>
      <c r="AA316" s="12" t="n">
        <v>5</v>
      </c>
      <c r="AB316" s="12"/>
      <c r="AC316" s="12"/>
      <c r="AD316" s="12"/>
      <c r="AE316" s="12"/>
    </row>
    <row r="317" customFormat="false" ht="15.75" hidden="false" customHeight="false" outlineLevel="0" collapsed="false">
      <c r="A317" s="12" t="str">
        <f aca="false">IF((AA317&gt;=4), "Y", "N")</f>
        <v>Y</v>
      </c>
      <c r="B317" s="74"/>
      <c r="C317" s="26" t="s">
        <v>7824</v>
      </c>
      <c r="D317" s="24"/>
      <c r="E317" s="17"/>
      <c r="F317" s="17"/>
      <c r="G317" s="17"/>
      <c r="H317" s="17"/>
      <c r="I317" s="26" t="s">
        <v>209</v>
      </c>
      <c r="J317" s="32"/>
      <c r="K317" s="17"/>
      <c r="L317" s="17"/>
      <c r="M317" s="17"/>
      <c r="N317" s="17"/>
      <c r="O317" s="17"/>
      <c r="P317" s="59" t="s">
        <v>7515</v>
      </c>
      <c r="Q317" s="12"/>
      <c r="R317" s="12"/>
      <c r="S317" s="12"/>
      <c r="T317" s="12"/>
      <c r="U317" s="12"/>
      <c r="V317" s="12"/>
      <c r="Z317" s="12"/>
      <c r="AA317" s="12" t="n">
        <v>5</v>
      </c>
      <c r="AB317" s="12"/>
      <c r="AC317" s="12"/>
      <c r="AD317" s="12"/>
      <c r="AE317" s="12"/>
    </row>
    <row r="318" customFormat="false" ht="15.75" hidden="false" customHeight="false" outlineLevel="0" collapsed="false">
      <c r="A318" s="12" t="str">
        <f aca="false">IF((AA318&gt;=4), "Y", "N")</f>
        <v>Y</v>
      </c>
      <c r="B318" s="74"/>
      <c r="C318" s="26" t="s">
        <v>7825</v>
      </c>
      <c r="D318" s="24"/>
      <c r="E318" s="17"/>
      <c r="F318" s="17"/>
      <c r="G318" s="17"/>
      <c r="H318" s="17"/>
      <c r="I318" s="26" t="s">
        <v>209</v>
      </c>
      <c r="J318" s="32"/>
      <c r="K318" s="17"/>
      <c r="L318" s="17"/>
      <c r="M318" s="17"/>
      <c r="N318" s="17"/>
      <c r="O318" s="17"/>
      <c r="P318" s="59" t="s">
        <v>7515</v>
      </c>
      <c r="Q318" s="12"/>
      <c r="R318" s="12"/>
      <c r="S318" s="12"/>
      <c r="T318" s="12"/>
      <c r="U318" s="12"/>
      <c r="V318" s="12"/>
      <c r="Z318" s="12"/>
      <c r="AA318" s="12" t="n">
        <v>5</v>
      </c>
      <c r="AB318" s="12"/>
      <c r="AC318" s="12"/>
      <c r="AD318" s="12"/>
      <c r="AE318" s="12"/>
    </row>
    <row r="319" customFormat="false" ht="15.75" hidden="false" customHeight="false" outlineLevel="0" collapsed="false">
      <c r="A319" s="12" t="str">
        <f aca="false">IF((AA319&gt;=4), "Y", "N")</f>
        <v>Y</v>
      </c>
      <c r="B319" s="74"/>
      <c r="C319" s="26" t="s">
        <v>7826</v>
      </c>
      <c r="D319" s="24"/>
      <c r="E319" s="17"/>
      <c r="F319" s="17"/>
      <c r="G319" s="17"/>
      <c r="H319" s="17"/>
      <c r="I319" s="26" t="s">
        <v>209</v>
      </c>
      <c r="J319" s="32"/>
      <c r="K319" s="17"/>
      <c r="L319" s="17"/>
      <c r="M319" s="17"/>
      <c r="N319" s="17"/>
      <c r="O319" s="17"/>
      <c r="P319" s="59" t="s">
        <v>7515</v>
      </c>
      <c r="Q319" s="12"/>
      <c r="R319" s="12"/>
      <c r="S319" s="12"/>
      <c r="T319" s="12"/>
      <c r="U319" s="12"/>
      <c r="V319" s="12"/>
      <c r="Z319" s="12"/>
      <c r="AA319" s="12" t="n">
        <v>5</v>
      </c>
      <c r="AB319" s="12"/>
      <c r="AC319" s="12"/>
      <c r="AD319" s="12"/>
      <c r="AE319" s="12"/>
    </row>
    <row r="320" customFormat="false" ht="15.75" hidden="false" customHeight="false" outlineLevel="0" collapsed="false">
      <c r="A320" s="12" t="str">
        <f aca="false">IF((AA320&gt;=4), "Y", "N")</f>
        <v>Y</v>
      </c>
      <c r="B320" s="74"/>
      <c r="C320" s="26" t="s">
        <v>7827</v>
      </c>
      <c r="D320" s="24"/>
      <c r="E320" s="17"/>
      <c r="F320" s="17"/>
      <c r="G320" s="17"/>
      <c r="H320" s="17"/>
      <c r="I320" s="26" t="s">
        <v>209</v>
      </c>
      <c r="J320" s="32"/>
      <c r="K320" s="17"/>
      <c r="L320" s="17"/>
      <c r="M320" s="17"/>
      <c r="N320" s="17"/>
      <c r="O320" s="17"/>
      <c r="P320" s="59" t="s">
        <v>7515</v>
      </c>
      <c r="Q320" s="12"/>
      <c r="R320" s="12"/>
      <c r="S320" s="12"/>
      <c r="T320" s="12"/>
      <c r="U320" s="12"/>
      <c r="V320" s="12"/>
      <c r="Z320" s="12"/>
      <c r="AA320" s="12" t="n">
        <v>5</v>
      </c>
      <c r="AB320" s="12"/>
      <c r="AC320" s="12"/>
      <c r="AD320" s="12"/>
      <c r="AE320" s="12"/>
    </row>
    <row r="321" customFormat="false" ht="15.75" hidden="false" customHeight="false" outlineLevel="0" collapsed="false">
      <c r="A321" s="12" t="str">
        <f aca="false">IF((AA321&gt;=4), "Y", "N")</f>
        <v>Y</v>
      </c>
      <c r="B321" s="74"/>
      <c r="C321" s="26" t="s">
        <v>7828</v>
      </c>
      <c r="D321" s="24"/>
      <c r="E321" s="17"/>
      <c r="F321" s="17"/>
      <c r="G321" s="17"/>
      <c r="H321" s="17"/>
      <c r="I321" s="26" t="s">
        <v>209</v>
      </c>
      <c r="J321" s="32"/>
      <c r="K321" s="17"/>
      <c r="L321" s="17"/>
      <c r="M321" s="17"/>
      <c r="N321" s="17"/>
      <c r="O321" s="17"/>
      <c r="P321" s="59" t="s">
        <v>7515</v>
      </c>
      <c r="Q321" s="12"/>
      <c r="R321" s="12"/>
      <c r="S321" s="12"/>
      <c r="T321" s="12"/>
      <c r="U321" s="12"/>
      <c r="V321" s="12"/>
      <c r="Z321" s="12"/>
      <c r="AA321" s="12" t="n">
        <v>5</v>
      </c>
      <c r="AB321" s="12"/>
      <c r="AC321" s="12"/>
      <c r="AD321" s="12"/>
      <c r="AE321" s="12"/>
    </row>
    <row r="322" customFormat="false" ht="15.75" hidden="false" customHeight="false" outlineLevel="0" collapsed="false">
      <c r="A322" s="12" t="str">
        <f aca="false">IF((AA322&gt;=4), "Y", "N")</f>
        <v>Y</v>
      </c>
      <c r="B322" s="74"/>
      <c r="C322" s="26" t="s">
        <v>7829</v>
      </c>
      <c r="D322" s="24"/>
      <c r="E322" s="17"/>
      <c r="F322" s="17"/>
      <c r="G322" s="17"/>
      <c r="H322" s="17"/>
      <c r="I322" s="26" t="s">
        <v>209</v>
      </c>
      <c r="J322" s="32"/>
      <c r="K322" s="17"/>
      <c r="L322" s="17"/>
      <c r="M322" s="17"/>
      <c r="N322" s="17"/>
      <c r="O322" s="17"/>
      <c r="P322" s="59" t="s">
        <v>7515</v>
      </c>
      <c r="Q322" s="12"/>
      <c r="R322" s="12"/>
      <c r="S322" s="12"/>
      <c r="T322" s="12"/>
      <c r="U322" s="12"/>
      <c r="V322" s="12"/>
      <c r="Z322" s="12"/>
      <c r="AA322" s="12" t="n">
        <v>5</v>
      </c>
      <c r="AB322" s="12"/>
      <c r="AC322" s="12"/>
      <c r="AD322" s="12"/>
      <c r="AE322" s="12"/>
    </row>
    <row r="323" customFormat="false" ht="15.75" hidden="false" customHeight="false" outlineLevel="0" collapsed="false">
      <c r="A323" s="12" t="str">
        <f aca="false">IF((AA323&gt;=4), "Y", "N")</f>
        <v>Y</v>
      </c>
      <c r="B323" s="74"/>
      <c r="C323" s="26" t="s">
        <v>7830</v>
      </c>
      <c r="D323" s="24"/>
      <c r="E323" s="17"/>
      <c r="F323" s="17"/>
      <c r="G323" s="17"/>
      <c r="H323" s="17"/>
      <c r="I323" s="26" t="s">
        <v>209</v>
      </c>
      <c r="J323" s="32"/>
      <c r="K323" s="17"/>
      <c r="L323" s="17"/>
      <c r="M323" s="17"/>
      <c r="N323" s="17"/>
      <c r="O323" s="17"/>
      <c r="P323" s="59" t="s">
        <v>7515</v>
      </c>
      <c r="Q323" s="12"/>
      <c r="R323" s="12"/>
      <c r="S323" s="12"/>
      <c r="T323" s="12"/>
      <c r="U323" s="12"/>
      <c r="V323" s="12"/>
      <c r="Z323" s="12"/>
      <c r="AA323" s="12" t="n">
        <v>5</v>
      </c>
      <c r="AB323" s="12"/>
      <c r="AC323" s="12"/>
      <c r="AD323" s="12"/>
      <c r="AE323" s="12"/>
    </row>
    <row r="324" customFormat="false" ht="15.75" hidden="false" customHeight="false" outlineLevel="0" collapsed="false">
      <c r="A324" s="12" t="str">
        <f aca="false">IF((AA324&gt;=4), "Y", "N")</f>
        <v>Y</v>
      </c>
      <c r="B324" s="74"/>
      <c r="C324" s="26" t="s">
        <v>7831</v>
      </c>
      <c r="D324" s="24"/>
      <c r="E324" s="17"/>
      <c r="F324" s="17"/>
      <c r="G324" s="17"/>
      <c r="H324" s="17"/>
      <c r="I324" s="26" t="s">
        <v>209</v>
      </c>
      <c r="J324" s="32"/>
      <c r="K324" s="17"/>
      <c r="L324" s="17"/>
      <c r="M324" s="17"/>
      <c r="N324" s="17"/>
      <c r="O324" s="17"/>
      <c r="P324" s="59" t="s">
        <v>7515</v>
      </c>
      <c r="Q324" s="12"/>
      <c r="R324" s="12"/>
      <c r="S324" s="12"/>
      <c r="T324" s="12"/>
      <c r="U324" s="12"/>
      <c r="V324" s="12"/>
      <c r="Z324" s="12"/>
      <c r="AA324" s="12" t="n">
        <v>5</v>
      </c>
      <c r="AB324" s="12"/>
      <c r="AC324" s="12"/>
      <c r="AD324" s="12"/>
      <c r="AE324" s="12"/>
    </row>
    <row r="325" customFormat="false" ht="15.75" hidden="false" customHeight="false" outlineLevel="0" collapsed="false">
      <c r="A325" s="12" t="str">
        <f aca="false">IF((AA325&gt;=4), "Y", "N")</f>
        <v>Y</v>
      </c>
      <c r="B325" s="74"/>
      <c r="C325" s="26" t="s">
        <v>7832</v>
      </c>
      <c r="D325" s="24"/>
      <c r="E325" s="17"/>
      <c r="F325" s="17"/>
      <c r="G325" s="17"/>
      <c r="H325" s="17"/>
      <c r="I325" s="26" t="s">
        <v>209</v>
      </c>
      <c r="J325" s="32"/>
      <c r="K325" s="17"/>
      <c r="L325" s="17"/>
      <c r="M325" s="17"/>
      <c r="N325" s="17"/>
      <c r="O325" s="17"/>
      <c r="P325" s="59" t="s">
        <v>7515</v>
      </c>
      <c r="Q325" s="12"/>
      <c r="R325" s="12"/>
      <c r="S325" s="12"/>
      <c r="T325" s="12"/>
      <c r="U325" s="12"/>
      <c r="V325" s="12"/>
      <c r="Z325" s="12"/>
      <c r="AA325" s="12" t="n">
        <v>5</v>
      </c>
      <c r="AB325" s="12"/>
      <c r="AC325" s="12"/>
      <c r="AD325" s="12"/>
      <c r="AE325" s="12"/>
    </row>
    <row r="326" customFormat="false" ht="15.75" hidden="false" customHeight="false" outlineLevel="0" collapsed="false">
      <c r="A326" s="12" t="str">
        <f aca="false">IF((AA326&gt;=4), "Y", "N")</f>
        <v>Y</v>
      </c>
      <c r="B326" s="74"/>
      <c r="C326" s="26" t="s">
        <v>7833</v>
      </c>
      <c r="D326" s="24"/>
      <c r="E326" s="17"/>
      <c r="F326" s="17"/>
      <c r="G326" s="17"/>
      <c r="H326" s="17"/>
      <c r="I326" s="26" t="s">
        <v>209</v>
      </c>
      <c r="J326" s="32"/>
      <c r="K326" s="17"/>
      <c r="L326" s="17"/>
      <c r="M326" s="17"/>
      <c r="N326" s="17"/>
      <c r="O326" s="17"/>
      <c r="P326" s="59" t="s">
        <v>7515</v>
      </c>
      <c r="Q326" s="12"/>
      <c r="R326" s="12"/>
      <c r="S326" s="12"/>
      <c r="T326" s="12"/>
      <c r="U326" s="12"/>
      <c r="V326" s="12"/>
      <c r="Z326" s="12"/>
      <c r="AA326" s="12" t="n">
        <v>5</v>
      </c>
      <c r="AB326" s="12"/>
      <c r="AC326" s="12"/>
      <c r="AD326" s="12"/>
      <c r="AE326" s="12"/>
    </row>
    <row r="327" customFormat="false" ht="15.75" hidden="false" customHeight="false" outlineLevel="0" collapsed="false">
      <c r="A327" s="12" t="str">
        <f aca="false">IF((AA327&gt;=4), "Y", "N")</f>
        <v>Y</v>
      </c>
      <c r="B327" s="74"/>
      <c r="C327" s="26" t="s">
        <v>7834</v>
      </c>
      <c r="D327" s="24"/>
      <c r="E327" s="17"/>
      <c r="F327" s="17"/>
      <c r="G327" s="17"/>
      <c r="H327" s="17"/>
      <c r="I327" s="26" t="s">
        <v>209</v>
      </c>
      <c r="J327" s="32"/>
      <c r="K327" s="17"/>
      <c r="L327" s="17"/>
      <c r="M327" s="17"/>
      <c r="N327" s="17"/>
      <c r="O327" s="17"/>
      <c r="P327" s="59" t="s">
        <v>7515</v>
      </c>
      <c r="Q327" s="12"/>
      <c r="R327" s="12"/>
      <c r="S327" s="12"/>
      <c r="T327" s="12"/>
      <c r="U327" s="12"/>
      <c r="V327" s="12"/>
      <c r="Z327" s="12"/>
      <c r="AA327" s="12" t="n">
        <v>5</v>
      </c>
      <c r="AB327" s="12"/>
      <c r="AC327" s="12"/>
      <c r="AD327" s="12"/>
      <c r="AE327" s="12"/>
    </row>
    <row r="328" customFormat="false" ht="15.75" hidden="false" customHeight="false" outlineLevel="0" collapsed="false">
      <c r="A328" s="12" t="str">
        <f aca="false">IF((AA328&gt;=4), "Y", "N")</f>
        <v>Y</v>
      </c>
      <c r="B328" s="74"/>
      <c r="C328" s="26" t="s">
        <v>7835</v>
      </c>
      <c r="D328" s="24"/>
      <c r="E328" s="17"/>
      <c r="F328" s="17"/>
      <c r="G328" s="17"/>
      <c r="H328" s="17"/>
      <c r="I328" s="26" t="s">
        <v>209</v>
      </c>
      <c r="J328" s="32"/>
      <c r="K328" s="17"/>
      <c r="L328" s="17"/>
      <c r="M328" s="17"/>
      <c r="N328" s="17"/>
      <c r="O328" s="17"/>
      <c r="P328" s="59" t="s">
        <v>7515</v>
      </c>
      <c r="Q328" s="12"/>
      <c r="R328" s="12"/>
      <c r="S328" s="12"/>
      <c r="T328" s="12"/>
      <c r="U328" s="12"/>
      <c r="V328" s="12"/>
      <c r="Z328" s="12"/>
      <c r="AA328" s="12" t="n">
        <v>5</v>
      </c>
      <c r="AB328" s="12"/>
      <c r="AC328" s="12"/>
      <c r="AD328" s="12"/>
      <c r="AE328" s="12"/>
    </row>
    <row r="329" customFormat="false" ht="15.75" hidden="false" customHeight="false" outlineLevel="0" collapsed="false">
      <c r="A329" s="12" t="str">
        <f aca="false">IF((AA329&gt;=4), "Y", "N")</f>
        <v>Y</v>
      </c>
      <c r="B329" s="74"/>
      <c r="C329" s="26" t="s">
        <v>7836</v>
      </c>
      <c r="D329" s="24"/>
      <c r="E329" s="17"/>
      <c r="F329" s="17"/>
      <c r="G329" s="17"/>
      <c r="H329" s="17"/>
      <c r="I329" s="26" t="s">
        <v>209</v>
      </c>
      <c r="J329" s="32"/>
      <c r="K329" s="17"/>
      <c r="L329" s="17"/>
      <c r="M329" s="17"/>
      <c r="N329" s="17"/>
      <c r="O329" s="17"/>
      <c r="P329" s="59" t="s">
        <v>7515</v>
      </c>
      <c r="Q329" s="12"/>
      <c r="R329" s="12"/>
      <c r="S329" s="12"/>
      <c r="T329" s="12"/>
      <c r="U329" s="12"/>
      <c r="V329" s="12"/>
      <c r="Z329" s="12"/>
      <c r="AA329" s="12" t="n">
        <v>5</v>
      </c>
      <c r="AB329" s="12"/>
      <c r="AC329" s="12"/>
      <c r="AD329" s="12"/>
      <c r="AE329" s="12"/>
    </row>
    <row r="330" customFormat="false" ht="15.75" hidden="false" customHeight="false" outlineLevel="0" collapsed="false">
      <c r="A330" s="12" t="str">
        <f aca="false">IF((AA330&gt;=4), "Y", "N")</f>
        <v>Y</v>
      </c>
      <c r="B330" s="74"/>
      <c r="C330" s="26" t="s">
        <v>7837</v>
      </c>
      <c r="D330" s="24"/>
      <c r="E330" s="17"/>
      <c r="F330" s="17"/>
      <c r="G330" s="17"/>
      <c r="H330" s="17"/>
      <c r="I330" s="26" t="s">
        <v>209</v>
      </c>
      <c r="J330" s="32"/>
      <c r="K330" s="17"/>
      <c r="L330" s="17"/>
      <c r="M330" s="17"/>
      <c r="N330" s="17"/>
      <c r="O330" s="17"/>
      <c r="P330" s="59" t="s">
        <v>7515</v>
      </c>
      <c r="Q330" s="12"/>
      <c r="R330" s="12"/>
      <c r="S330" s="12"/>
      <c r="T330" s="12"/>
      <c r="U330" s="12"/>
      <c r="V330" s="12"/>
      <c r="Z330" s="12"/>
      <c r="AA330" s="12" t="n">
        <v>5</v>
      </c>
      <c r="AB330" s="12"/>
      <c r="AC330" s="12"/>
      <c r="AD330" s="12"/>
      <c r="AE330" s="12"/>
    </row>
    <row r="331" customFormat="false" ht="15.75" hidden="false" customHeight="false" outlineLevel="0" collapsed="false">
      <c r="A331" s="12" t="str">
        <f aca="false">IF((AA331&gt;=4), "Y", "N")</f>
        <v>Y</v>
      </c>
      <c r="B331" s="74"/>
      <c r="C331" s="26" t="s">
        <v>7838</v>
      </c>
      <c r="D331" s="24"/>
      <c r="E331" s="17"/>
      <c r="F331" s="17"/>
      <c r="G331" s="17"/>
      <c r="H331" s="17"/>
      <c r="I331" s="26" t="s">
        <v>209</v>
      </c>
      <c r="J331" s="32"/>
      <c r="K331" s="17"/>
      <c r="L331" s="17"/>
      <c r="M331" s="17"/>
      <c r="N331" s="17"/>
      <c r="O331" s="17"/>
      <c r="P331" s="59" t="s">
        <v>7515</v>
      </c>
      <c r="Q331" s="12"/>
      <c r="R331" s="12"/>
      <c r="S331" s="12"/>
      <c r="T331" s="12"/>
      <c r="U331" s="12"/>
      <c r="V331" s="12"/>
      <c r="Z331" s="12"/>
      <c r="AA331" s="12" t="n">
        <v>5</v>
      </c>
      <c r="AB331" s="12"/>
      <c r="AC331" s="12"/>
      <c r="AD331" s="12"/>
      <c r="AE331" s="12"/>
    </row>
    <row r="332" customFormat="false" ht="15.75" hidden="false" customHeight="false" outlineLevel="0" collapsed="false">
      <c r="A332" s="12" t="str">
        <f aca="false">IF((AA332&gt;=4), "Y", "N")</f>
        <v>Y</v>
      </c>
      <c r="B332" s="74"/>
      <c r="C332" s="26" t="s">
        <v>7839</v>
      </c>
      <c r="D332" s="24"/>
      <c r="E332" s="17"/>
      <c r="F332" s="17"/>
      <c r="G332" s="17"/>
      <c r="H332" s="17"/>
      <c r="I332" s="26" t="s">
        <v>209</v>
      </c>
      <c r="J332" s="32"/>
      <c r="K332" s="17"/>
      <c r="L332" s="17"/>
      <c r="M332" s="17"/>
      <c r="N332" s="17"/>
      <c r="O332" s="17"/>
      <c r="P332" s="59" t="s">
        <v>7515</v>
      </c>
      <c r="Q332" s="12"/>
      <c r="R332" s="12"/>
      <c r="S332" s="12"/>
      <c r="T332" s="12"/>
      <c r="U332" s="12"/>
      <c r="V332" s="12"/>
      <c r="Z332" s="12"/>
      <c r="AA332" s="12" t="n">
        <v>5</v>
      </c>
      <c r="AB332" s="12"/>
      <c r="AC332" s="12"/>
      <c r="AD332" s="12"/>
      <c r="AE332" s="12"/>
    </row>
    <row r="333" customFormat="false" ht="15.75" hidden="false" customHeight="false" outlineLevel="0" collapsed="false">
      <c r="A333" s="12" t="str">
        <f aca="false">IF((AA333&gt;=4), "Y", "N")</f>
        <v>Y</v>
      </c>
      <c r="B333" s="74"/>
      <c r="C333" s="125" t="s">
        <v>7840</v>
      </c>
      <c r="D333" s="24"/>
      <c r="E333" s="17"/>
      <c r="F333" s="17"/>
      <c r="G333" s="17"/>
      <c r="H333" s="17"/>
      <c r="I333" s="26" t="s">
        <v>209</v>
      </c>
      <c r="J333" s="32"/>
      <c r="K333" s="17"/>
      <c r="L333" s="17"/>
      <c r="M333" s="17"/>
      <c r="N333" s="17"/>
      <c r="O333" s="17"/>
      <c r="P333" s="59" t="s">
        <v>7515</v>
      </c>
      <c r="Q333" s="12"/>
      <c r="R333" s="12"/>
      <c r="S333" s="12"/>
      <c r="T333" s="12"/>
      <c r="U333" s="12"/>
      <c r="V333" s="12"/>
      <c r="Z333" s="12"/>
      <c r="AA333" s="12" t="n">
        <v>5</v>
      </c>
      <c r="AB333" s="12"/>
      <c r="AC333" s="12"/>
      <c r="AD333" s="12"/>
      <c r="AE333" s="12"/>
    </row>
    <row r="334" customFormat="false" ht="15.75" hidden="false" customHeight="false" outlineLevel="0" collapsed="false">
      <c r="A334" s="12" t="str">
        <f aca="false">IF((AA334&gt;=4), "Y", "N")</f>
        <v>Y</v>
      </c>
      <c r="B334" s="74"/>
      <c r="C334" s="26" t="s">
        <v>7841</v>
      </c>
      <c r="D334" s="24"/>
      <c r="E334" s="17"/>
      <c r="F334" s="17"/>
      <c r="G334" s="17"/>
      <c r="H334" s="17"/>
      <c r="I334" s="26" t="s">
        <v>209</v>
      </c>
      <c r="J334" s="32"/>
      <c r="K334" s="17"/>
      <c r="L334" s="17"/>
      <c r="M334" s="17"/>
      <c r="N334" s="17"/>
      <c r="O334" s="17"/>
      <c r="P334" s="59" t="s">
        <v>7515</v>
      </c>
      <c r="Q334" s="12"/>
      <c r="R334" s="12"/>
      <c r="S334" s="12"/>
      <c r="T334" s="12"/>
      <c r="U334" s="12"/>
      <c r="V334" s="12"/>
      <c r="Z334" s="12"/>
      <c r="AA334" s="12" t="n">
        <v>5</v>
      </c>
      <c r="AB334" s="12"/>
      <c r="AC334" s="12"/>
      <c r="AD334" s="12"/>
      <c r="AE334" s="12"/>
    </row>
    <row r="335" customFormat="false" ht="15.75" hidden="false" customHeight="false" outlineLevel="0" collapsed="false">
      <c r="A335" s="12" t="str">
        <f aca="false">IF((AA335&gt;=4), "Y", "N")</f>
        <v>Y</v>
      </c>
      <c r="B335" s="74"/>
      <c r="C335" s="26" t="s">
        <v>7842</v>
      </c>
      <c r="D335" s="24"/>
      <c r="E335" s="17"/>
      <c r="F335" s="17"/>
      <c r="G335" s="17"/>
      <c r="H335" s="17"/>
      <c r="I335" s="26" t="s">
        <v>209</v>
      </c>
      <c r="J335" s="32"/>
      <c r="K335" s="17"/>
      <c r="L335" s="17"/>
      <c r="M335" s="17"/>
      <c r="N335" s="17"/>
      <c r="O335" s="17"/>
      <c r="P335" s="59" t="s">
        <v>7515</v>
      </c>
      <c r="Q335" s="12"/>
      <c r="R335" s="12"/>
      <c r="S335" s="12"/>
      <c r="T335" s="12"/>
      <c r="U335" s="12"/>
      <c r="V335" s="12"/>
      <c r="Z335" s="12"/>
      <c r="AA335" s="12" t="n">
        <v>5</v>
      </c>
      <c r="AB335" s="12"/>
      <c r="AC335" s="12"/>
      <c r="AD335" s="12"/>
      <c r="AE335" s="12"/>
    </row>
    <row r="336" customFormat="false" ht="15.75" hidden="false" customHeight="false" outlineLevel="0" collapsed="false">
      <c r="A336" s="12" t="str">
        <f aca="false">IF((AA336&gt;=4), "Y", "N")</f>
        <v>Y</v>
      </c>
      <c r="B336" s="74"/>
      <c r="C336" s="26" t="s">
        <v>7843</v>
      </c>
      <c r="D336" s="24"/>
      <c r="E336" s="17"/>
      <c r="F336" s="17"/>
      <c r="G336" s="17"/>
      <c r="H336" s="17"/>
      <c r="I336" s="26" t="s">
        <v>209</v>
      </c>
      <c r="J336" s="32"/>
      <c r="K336" s="17"/>
      <c r="L336" s="17"/>
      <c r="M336" s="17"/>
      <c r="N336" s="17"/>
      <c r="O336" s="17"/>
      <c r="P336" s="59" t="s">
        <v>7515</v>
      </c>
      <c r="Q336" s="12"/>
      <c r="R336" s="12"/>
      <c r="S336" s="12"/>
      <c r="T336" s="12"/>
      <c r="U336" s="12"/>
      <c r="V336" s="12"/>
      <c r="Z336" s="12"/>
      <c r="AA336" s="12" t="n">
        <v>5</v>
      </c>
      <c r="AB336" s="12"/>
      <c r="AC336" s="12"/>
      <c r="AD336" s="12"/>
      <c r="AE336" s="12"/>
    </row>
    <row r="337" customFormat="false" ht="15.75" hidden="false" customHeight="false" outlineLevel="0" collapsed="false">
      <c r="A337" s="12" t="str">
        <f aca="false">IF((AA337&gt;=4), "Y", "N")</f>
        <v>Y</v>
      </c>
      <c r="B337" s="74"/>
      <c r="C337" s="26" t="s">
        <v>7844</v>
      </c>
      <c r="D337" s="24"/>
      <c r="E337" s="17"/>
      <c r="F337" s="17"/>
      <c r="G337" s="17"/>
      <c r="H337" s="17"/>
      <c r="I337" s="26" t="s">
        <v>209</v>
      </c>
      <c r="J337" s="32"/>
      <c r="K337" s="17"/>
      <c r="L337" s="17"/>
      <c r="M337" s="17"/>
      <c r="N337" s="17"/>
      <c r="O337" s="17"/>
      <c r="P337" s="59" t="s">
        <v>7515</v>
      </c>
      <c r="Q337" s="12"/>
      <c r="R337" s="12"/>
      <c r="S337" s="12"/>
      <c r="T337" s="12"/>
      <c r="U337" s="12"/>
      <c r="V337" s="12"/>
      <c r="Z337" s="12"/>
      <c r="AA337" s="12" t="n">
        <v>5</v>
      </c>
      <c r="AB337" s="12"/>
      <c r="AC337" s="12"/>
      <c r="AD337" s="12"/>
      <c r="AE337" s="12"/>
    </row>
    <row r="338" customFormat="false" ht="15.75" hidden="false" customHeight="false" outlineLevel="0" collapsed="false">
      <c r="A338" s="12" t="str">
        <f aca="false">IF((AA338&gt;=4), "Y", "N")</f>
        <v>Y</v>
      </c>
      <c r="B338" s="74"/>
      <c r="C338" s="26" t="s">
        <v>7845</v>
      </c>
      <c r="D338" s="24"/>
      <c r="E338" s="17"/>
      <c r="F338" s="17"/>
      <c r="G338" s="17"/>
      <c r="H338" s="17"/>
      <c r="I338" s="26" t="s">
        <v>209</v>
      </c>
      <c r="J338" s="32"/>
      <c r="K338" s="17"/>
      <c r="L338" s="17"/>
      <c r="M338" s="17"/>
      <c r="N338" s="17"/>
      <c r="O338" s="17"/>
      <c r="P338" s="59" t="s">
        <v>7515</v>
      </c>
      <c r="Q338" s="12"/>
      <c r="R338" s="12"/>
      <c r="S338" s="12"/>
      <c r="T338" s="12"/>
      <c r="U338" s="12"/>
      <c r="V338" s="12"/>
      <c r="Z338" s="12"/>
      <c r="AA338" s="12" t="n">
        <v>5</v>
      </c>
      <c r="AB338" s="12"/>
      <c r="AC338" s="12"/>
      <c r="AD338" s="12"/>
      <c r="AE338" s="12"/>
    </row>
    <row r="339" customFormat="false" ht="15.75" hidden="false" customHeight="false" outlineLevel="0" collapsed="false">
      <c r="A339" s="12" t="str">
        <f aca="false">IF((AA339&gt;=4), "Y", "N")</f>
        <v>Y</v>
      </c>
      <c r="B339" s="74"/>
      <c r="C339" s="26" t="s">
        <v>7846</v>
      </c>
      <c r="D339" s="24"/>
      <c r="E339" s="17"/>
      <c r="F339" s="17"/>
      <c r="G339" s="17"/>
      <c r="H339" s="17"/>
      <c r="I339" s="26" t="s">
        <v>209</v>
      </c>
      <c r="J339" s="32"/>
      <c r="K339" s="17"/>
      <c r="L339" s="17"/>
      <c r="M339" s="17"/>
      <c r="N339" s="17"/>
      <c r="O339" s="17"/>
      <c r="P339" s="59" t="s">
        <v>7515</v>
      </c>
      <c r="Q339" s="12"/>
      <c r="R339" s="12"/>
      <c r="S339" s="12"/>
      <c r="T339" s="12"/>
      <c r="U339" s="12"/>
      <c r="V339" s="12"/>
      <c r="Z339" s="12"/>
      <c r="AA339" s="12" t="n">
        <v>5</v>
      </c>
      <c r="AB339" s="12"/>
      <c r="AC339" s="12"/>
      <c r="AD339" s="12"/>
      <c r="AE339" s="12"/>
    </row>
    <row r="340" customFormat="false" ht="15.75" hidden="false" customHeight="false" outlineLevel="0" collapsed="false">
      <c r="A340" s="12" t="str">
        <f aca="false">IF((AA340&gt;=4), "Y", "N")</f>
        <v>Y</v>
      </c>
      <c r="B340" s="74"/>
      <c r="C340" s="26" t="s">
        <v>7847</v>
      </c>
      <c r="D340" s="24"/>
      <c r="E340" s="17"/>
      <c r="F340" s="17"/>
      <c r="G340" s="17"/>
      <c r="H340" s="17"/>
      <c r="I340" s="26" t="s">
        <v>209</v>
      </c>
      <c r="J340" s="32"/>
      <c r="K340" s="17"/>
      <c r="L340" s="17"/>
      <c r="M340" s="17"/>
      <c r="N340" s="17"/>
      <c r="O340" s="17"/>
      <c r="P340" s="59" t="s">
        <v>7515</v>
      </c>
      <c r="Q340" s="12"/>
      <c r="R340" s="12"/>
      <c r="S340" s="12"/>
      <c r="T340" s="12"/>
      <c r="U340" s="12"/>
      <c r="V340" s="12"/>
      <c r="Z340" s="12"/>
      <c r="AA340" s="12" t="n">
        <v>5</v>
      </c>
      <c r="AB340" s="12"/>
      <c r="AC340" s="12"/>
      <c r="AD340" s="12"/>
      <c r="AE340" s="12"/>
    </row>
    <row r="341" customFormat="false" ht="15.75" hidden="false" customHeight="false" outlineLevel="0" collapsed="false">
      <c r="A341" s="12" t="str">
        <f aca="false">IF((AA341&gt;=4), "Y", "N")</f>
        <v>Y</v>
      </c>
      <c r="B341" s="74"/>
      <c r="C341" s="125" t="s">
        <v>7848</v>
      </c>
      <c r="D341" s="24"/>
      <c r="E341" s="17"/>
      <c r="F341" s="17"/>
      <c r="G341" s="17"/>
      <c r="H341" s="17"/>
      <c r="I341" s="26" t="s">
        <v>209</v>
      </c>
      <c r="J341" s="32"/>
      <c r="K341" s="17"/>
      <c r="L341" s="17"/>
      <c r="M341" s="17"/>
      <c r="N341" s="17"/>
      <c r="O341" s="17"/>
      <c r="P341" s="59" t="s">
        <v>7515</v>
      </c>
      <c r="Q341" s="12"/>
      <c r="R341" s="12"/>
      <c r="S341" s="12"/>
      <c r="T341" s="12"/>
      <c r="U341" s="12"/>
      <c r="V341" s="12"/>
      <c r="Z341" s="12"/>
      <c r="AA341" s="12" t="n">
        <v>5</v>
      </c>
      <c r="AB341" s="12"/>
      <c r="AC341" s="12"/>
      <c r="AD341" s="12"/>
      <c r="AE341" s="12"/>
    </row>
    <row r="342" customFormat="false" ht="15.75" hidden="false" customHeight="false" outlineLevel="0" collapsed="false">
      <c r="A342" s="12" t="str">
        <f aca="false">IF((AA342&gt;=4), "Y", "N")</f>
        <v>Y</v>
      </c>
      <c r="B342" s="74"/>
      <c r="C342" s="26" t="s">
        <v>7849</v>
      </c>
      <c r="D342" s="24"/>
      <c r="E342" s="17"/>
      <c r="F342" s="17"/>
      <c r="G342" s="17"/>
      <c r="H342" s="17"/>
      <c r="I342" s="26" t="s">
        <v>209</v>
      </c>
      <c r="J342" s="32"/>
      <c r="K342" s="17"/>
      <c r="L342" s="17"/>
      <c r="M342" s="17"/>
      <c r="N342" s="17"/>
      <c r="O342" s="17"/>
      <c r="P342" s="59" t="s">
        <v>7515</v>
      </c>
      <c r="Q342" s="12"/>
      <c r="R342" s="12"/>
      <c r="S342" s="12"/>
      <c r="T342" s="12"/>
      <c r="U342" s="12"/>
      <c r="V342" s="12"/>
      <c r="Z342" s="12"/>
      <c r="AA342" s="12" t="n">
        <v>5</v>
      </c>
      <c r="AB342" s="12"/>
      <c r="AC342" s="12"/>
      <c r="AD342" s="12"/>
      <c r="AE342" s="12"/>
    </row>
    <row r="343" customFormat="false" ht="15.75" hidden="false" customHeight="false" outlineLevel="0" collapsed="false">
      <c r="A343" s="12" t="str">
        <f aca="false">IF((AA343&gt;=4), "Y", "N")</f>
        <v>Y</v>
      </c>
      <c r="B343" s="74"/>
      <c r="C343" s="26" t="s">
        <v>7850</v>
      </c>
      <c r="D343" s="24"/>
      <c r="E343" s="17"/>
      <c r="F343" s="17"/>
      <c r="G343" s="17"/>
      <c r="H343" s="17"/>
      <c r="I343" s="26" t="s">
        <v>209</v>
      </c>
      <c r="J343" s="32"/>
      <c r="K343" s="17"/>
      <c r="L343" s="17"/>
      <c r="M343" s="17"/>
      <c r="N343" s="17"/>
      <c r="O343" s="17"/>
      <c r="P343" s="59" t="s">
        <v>7515</v>
      </c>
      <c r="Q343" s="12"/>
      <c r="R343" s="12"/>
      <c r="S343" s="12"/>
      <c r="T343" s="12"/>
      <c r="U343" s="12"/>
      <c r="V343" s="12"/>
      <c r="Z343" s="12"/>
      <c r="AA343" s="12" t="n">
        <v>5</v>
      </c>
      <c r="AB343" s="12"/>
      <c r="AC343" s="12"/>
      <c r="AD343" s="12"/>
      <c r="AE343" s="12"/>
    </row>
    <row r="344" customFormat="false" ht="15.75" hidden="false" customHeight="false" outlineLevel="0" collapsed="false">
      <c r="A344" s="12" t="str">
        <f aca="false">IF((AA344&gt;=4), "Y", "N")</f>
        <v>Y</v>
      </c>
      <c r="B344" s="74"/>
      <c r="C344" s="26" t="s">
        <v>7851</v>
      </c>
      <c r="D344" s="24"/>
      <c r="E344" s="17"/>
      <c r="F344" s="17"/>
      <c r="G344" s="17"/>
      <c r="H344" s="17"/>
      <c r="I344" s="26" t="s">
        <v>209</v>
      </c>
      <c r="J344" s="32"/>
      <c r="K344" s="17"/>
      <c r="L344" s="17"/>
      <c r="M344" s="17"/>
      <c r="N344" s="17"/>
      <c r="O344" s="17"/>
      <c r="P344" s="59" t="s">
        <v>7515</v>
      </c>
      <c r="Q344" s="12"/>
      <c r="R344" s="12"/>
      <c r="S344" s="12"/>
      <c r="T344" s="12"/>
      <c r="U344" s="12"/>
      <c r="V344" s="12"/>
      <c r="Z344" s="12"/>
      <c r="AA344" s="12" t="n">
        <v>5</v>
      </c>
      <c r="AB344" s="12"/>
      <c r="AC344" s="12"/>
      <c r="AD344" s="12"/>
      <c r="AE344" s="12"/>
    </row>
    <row r="345" customFormat="false" ht="15.75" hidden="false" customHeight="false" outlineLevel="0" collapsed="false">
      <c r="A345" s="12" t="str">
        <f aca="false">IF((AA345&gt;=4), "Y", "N")</f>
        <v>Y</v>
      </c>
      <c r="B345" s="74"/>
      <c r="C345" s="26" t="s">
        <v>7852</v>
      </c>
      <c r="D345" s="24"/>
      <c r="E345" s="17"/>
      <c r="F345" s="17"/>
      <c r="G345" s="17"/>
      <c r="H345" s="17"/>
      <c r="I345" s="26" t="s">
        <v>209</v>
      </c>
      <c r="J345" s="32"/>
      <c r="K345" s="17"/>
      <c r="L345" s="17"/>
      <c r="M345" s="17"/>
      <c r="N345" s="17"/>
      <c r="O345" s="17"/>
      <c r="P345" s="59" t="s">
        <v>7515</v>
      </c>
      <c r="Q345" s="12"/>
      <c r="R345" s="12"/>
      <c r="S345" s="12"/>
      <c r="T345" s="12"/>
      <c r="U345" s="12"/>
      <c r="V345" s="12"/>
      <c r="Z345" s="12"/>
      <c r="AA345" s="12" t="n">
        <v>5</v>
      </c>
      <c r="AB345" s="12"/>
      <c r="AC345" s="12"/>
      <c r="AD345" s="12"/>
      <c r="AE345" s="12"/>
    </row>
    <row r="346" customFormat="false" ht="15.75" hidden="false" customHeight="false" outlineLevel="0" collapsed="false">
      <c r="A346" s="12" t="str">
        <f aca="false">IF((AA346&gt;=4), "Y", "N")</f>
        <v>Y</v>
      </c>
      <c r="B346" s="74"/>
      <c r="C346" s="26" t="s">
        <v>7853</v>
      </c>
      <c r="D346" s="24"/>
      <c r="E346" s="17"/>
      <c r="F346" s="17"/>
      <c r="G346" s="17"/>
      <c r="H346" s="17"/>
      <c r="I346" s="26" t="s">
        <v>209</v>
      </c>
      <c r="J346" s="32"/>
      <c r="K346" s="17"/>
      <c r="L346" s="17"/>
      <c r="M346" s="17"/>
      <c r="N346" s="17"/>
      <c r="O346" s="17"/>
      <c r="P346" s="59" t="s">
        <v>7515</v>
      </c>
      <c r="Q346" s="12"/>
      <c r="R346" s="12"/>
      <c r="S346" s="12"/>
      <c r="T346" s="12"/>
      <c r="U346" s="12"/>
      <c r="V346" s="12"/>
      <c r="Z346" s="12"/>
      <c r="AA346" s="12" t="n">
        <v>5</v>
      </c>
      <c r="AB346" s="12"/>
      <c r="AC346" s="12"/>
      <c r="AD346" s="12"/>
      <c r="AE346" s="12"/>
    </row>
    <row r="347" customFormat="false" ht="15.75" hidden="false" customHeight="false" outlineLevel="0" collapsed="false">
      <c r="A347" s="12" t="str">
        <f aca="false">IF((AA347&gt;=4), "Y", "N")</f>
        <v>Y</v>
      </c>
      <c r="B347" s="74"/>
      <c r="C347" s="26" t="s">
        <v>7854</v>
      </c>
      <c r="D347" s="24"/>
      <c r="E347" s="17"/>
      <c r="F347" s="17"/>
      <c r="G347" s="17"/>
      <c r="H347" s="17"/>
      <c r="I347" s="26" t="s">
        <v>209</v>
      </c>
      <c r="J347" s="32"/>
      <c r="K347" s="17"/>
      <c r="L347" s="17"/>
      <c r="M347" s="17"/>
      <c r="N347" s="17"/>
      <c r="O347" s="17"/>
      <c r="P347" s="59" t="s">
        <v>7515</v>
      </c>
      <c r="Q347" s="12"/>
      <c r="R347" s="12"/>
      <c r="S347" s="12"/>
      <c r="T347" s="12"/>
      <c r="U347" s="12"/>
      <c r="V347" s="12"/>
      <c r="Z347" s="12"/>
      <c r="AA347" s="12" t="n">
        <v>5</v>
      </c>
      <c r="AB347" s="12"/>
      <c r="AC347" s="12"/>
      <c r="AD347" s="12"/>
      <c r="AE347" s="12"/>
    </row>
    <row r="348" customFormat="false" ht="15.75" hidden="false" customHeight="false" outlineLevel="0" collapsed="false">
      <c r="A348" s="12" t="str">
        <f aca="false">IF((AA348&gt;=4), "Y", "N")</f>
        <v>Y</v>
      </c>
      <c r="B348" s="74"/>
      <c r="C348" s="26" t="s">
        <v>7855</v>
      </c>
      <c r="D348" s="24"/>
      <c r="E348" s="17"/>
      <c r="F348" s="17"/>
      <c r="G348" s="17"/>
      <c r="H348" s="17"/>
      <c r="I348" s="26" t="s">
        <v>209</v>
      </c>
      <c r="J348" s="32"/>
      <c r="K348" s="17"/>
      <c r="L348" s="17"/>
      <c r="M348" s="17"/>
      <c r="N348" s="17"/>
      <c r="O348" s="17"/>
      <c r="P348" s="59" t="s">
        <v>7515</v>
      </c>
      <c r="Q348" s="12"/>
      <c r="R348" s="12"/>
      <c r="S348" s="12"/>
      <c r="T348" s="12"/>
      <c r="U348" s="12"/>
      <c r="V348" s="12"/>
      <c r="Z348" s="12"/>
      <c r="AA348" s="12" t="n">
        <v>5</v>
      </c>
      <c r="AB348" s="12"/>
      <c r="AC348" s="12"/>
      <c r="AD348" s="12"/>
      <c r="AE348" s="12"/>
    </row>
    <row r="349" customFormat="false" ht="15.75" hidden="false" customHeight="false" outlineLevel="0" collapsed="false">
      <c r="A349" s="12" t="str">
        <f aca="false">IF((AA349&gt;=4), "Y", "N")</f>
        <v>Y</v>
      </c>
      <c r="B349" s="74"/>
      <c r="C349" s="26" t="s">
        <v>7856</v>
      </c>
      <c r="D349" s="24"/>
      <c r="E349" s="17"/>
      <c r="F349" s="17"/>
      <c r="G349" s="17"/>
      <c r="H349" s="17"/>
      <c r="I349" s="26" t="s">
        <v>209</v>
      </c>
      <c r="J349" s="32"/>
      <c r="K349" s="17"/>
      <c r="L349" s="17"/>
      <c r="M349" s="17"/>
      <c r="N349" s="17"/>
      <c r="O349" s="17"/>
      <c r="P349" s="59" t="s">
        <v>7515</v>
      </c>
      <c r="Q349" s="12"/>
      <c r="R349" s="12"/>
      <c r="S349" s="12"/>
      <c r="T349" s="12"/>
      <c r="U349" s="12"/>
      <c r="V349" s="12"/>
      <c r="Z349" s="12"/>
      <c r="AA349" s="12" t="n">
        <v>5</v>
      </c>
      <c r="AB349" s="12"/>
      <c r="AC349" s="12"/>
      <c r="AD349" s="12"/>
      <c r="AE349" s="12"/>
    </row>
    <row r="350" customFormat="false" ht="15.75" hidden="false" customHeight="false" outlineLevel="0" collapsed="false">
      <c r="A350" s="12" t="str">
        <f aca="false">IF((AA350&gt;=4), "Y", "N")</f>
        <v>Y</v>
      </c>
      <c r="B350" s="74"/>
      <c r="C350" s="125" t="s">
        <v>7857</v>
      </c>
      <c r="D350" s="24"/>
      <c r="E350" s="17"/>
      <c r="F350" s="17"/>
      <c r="G350" s="17"/>
      <c r="H350" s="17"/>
      <c r="I350" s="26" t="s">
        <v>209</v>
      </c>
      <c r="J350" s="32"/>
      <c r="K350" s="17"/>
      <c r="L350" s="17"/>
      <c r="M350" s="17"/>
      <c r="N350" s="17"/>
      <c r="O350" s="17"/>
      <c r="P350" s="59" t="s">
        <v>7515</v>
      </c>
      <c r="Q350" s="12"/>
      <c r="R350" s="12"/>
      <c r="S350" s="12"/>
      <c r="T350" s="12"/>
      <c r="U350" s="12"/>
      <c r="V350" s="12"/>
      <c r="Z350" s="12"/>
      <c r="AA350" s="12" t="n">
        <v>5</v>
      </c>
      <c r="AB350" s="12"/>
      <c r="AC350" s="12"/>
      <c r="AD350" s="12"/>
      <c r="AE350" s="12"/>
    </row>
    <row r="351" customFormat="false" ht="15.75" hidden="false" customHeight="false" outlineLevel="0" collapsed="false">
      <c r="A351" s="12" t="str">
        <f aca="false">IF((AA351&gt;=4), "Y", "N")</f>
        <v>Y</v>
      </c>
      <c r="B351" s="74"/>
      <c r="C351" s="26" t="s">
        <v>7858</v>
      </c>
      <c r="D351" s="24"/>
      <c r="E351" s="17"/>
      <c r="F351" s="17"/>
      <c r="G351" s="17"/>
      <c r="H351" s="17"/>
      <c r="I351" s="26" t="s">
        <v>209</v>
      </c>
      <c r="J351" s="32"/>
      <c r="K351" s="17"/>
      <c r="L351" s="17"/>
      <c r="M351" s="17"/>
      <c r="N351" s="17"/>
      <c r="O351" s="17"/>
      <c r="P351" s="59" t="s">
        <v>7515</v>
      </c>
      <c r="Q351" s="12"/>
      <c r="R351" s="12"/>
      <c r="S351" s="12"/>
      <c r="T351" s="12"/>
      <c r="U351" s="12"/>
      <c r="V351" s="12"/>
      <c r="Z351" s="12"/>
      <c r="AA351" s="12" t="n">
        <v>5</v>
      </c>
      <c r="AB351" s="12"/>
      <c r="AC351" s="12"/>
      <c r="AD351" s="12"/>
      <c r="AE351" s="12"/>
    </row>
    <row r="352" customFormat="false" ht="15.75" hidden="false" customHeight="false" outlineLevel="0" collapsed="false">
      <c r="A352" s="12" t="str">
        <f aca="false">IF((AA352&gt;=4), "Y", "N")</f>
        <v>Y</v>
      </c>
      <c r="B352" s="74"/>
      <c r="C352" s="26" t="s">
        <v>7859</v>
      </c>
      <c r="D352" s="24"/>
      <c r="E352" s="17"/>
      <c r="F352" s="17"/>
      <c r="G352" s="17"/>
      <c r="H352" s="17"/>
      <c r="I352" s="26" t="s">
        <v>209</v>
      </c>
      <c r="J352" s="32"/>
      <c r="K352" s="17"/>
      <c r="L352" s="17"/>
      <c r="M352" s="17"/>
      <c r="N352" s="17"/>
      <c r="O352" s="17"/>
      <c r="P352" s="59" t="s">
        <v>7515</v>
      </c>
      <c r="Q352" s="12"/>
      <c r="R352" s="12"/>
      <c r="S352" s="12"/>
      <c r="T352" s="12"/>
      <c r="U352" s="12"/>
      <c r="V352" s="12"/>
      <c r="Z352" s="12"/>
      <c r="AA352" s="12" t="n">
        <v>5</v>
      </c>
      <c r="AB352" s="12"/>
      <c r="AC352" s="12"/>
      <c r="AD352" s="12"/>
      <c r="AE352" s="12"/>
    </row>
    <row r="353" customFormat="false" ht="15.75" hidden="false" customHeight="false" outlineLevel="0" collapsed="false">
      <c r="A353" s="12" t="str">
        <f aca="false">IF((AA353&gt;=4), "Y", "N")</f>
        <v>Y</v>
      </c>
      <c r="B353" s="74"/>
      <c r="C353" s="26" t="s">
        <v>7860</v>
      </c>
      <c r="D353" s="24"/>
      <c r="E353" s="17"/>
      <c r="F353" s="17"/>
      <c r="G353" s="17"/>
      <c r="H353" s="17"/>
      <c r="I353" s="26" t="s">
        <v>209</v>
      </c>
      <c r="J353" s="32"/>
      <c r="K353" s="17"/>
      <c r="L353" s="17"/>
      <c r="M353" s="17"/>
      <c r="N353" s="17"/>
      <c r="O353" s="17"/>
      <c r="P353" s="59" t="s">
        <v>7515</v>
      </c>
      <c r="Q353" s="12"/>
      <c r="R353" s="12"/>
      <c r="S353" s="12"/>
      <c r="T353" s="12"/>
      <c r="U353" s="12"/>
      <c r="V353" s="12"/>
      <c r="Z353" s="12"/>
      <c r="AA353" s="12" t="n">
        <v>5</v>
      </c>
      <c r="AB353" s="12"/>
      <c r="AC353" s="12"/>
      <c r="AD353" s="12"/>
      <c r="AE353" s="12"/>
    </row>
    <row r="354" customFormat="false" ht="15.75" hidden="false" customHeight="false" outlineLevel="0" collapsed="false">
      <c r="A354" s="12" t="str">
        <f aca="false">IF((AA354&gt;=4), "Y", "N")</f>
        <v>Y</v>
      </c>
      <c r="B354" s="74"/>
      <c r="C354" s="26" t="s">
        <v>7861</v>
      </c>
      <c r="D354" s="24"/>
      <c r="E354" s="17"/>
      <c r="F354" s="17"/>
      <c r="G354" s="17"/>
      <c r="H354" s="17"/>
      <c r="I354" s="26" t="s">
        <v>209</v>
      </c>
      <c r="J354" s="32"/>
      <c r="K354" s="17"/>
      <c r="L354" s="17"/>
      <c r="M354" s="17"/>
      <c r="N354" s="17"/>
      <c r="O354" s="17"/>
      <c r="P354" s="59" t="s">
        <v>7515</v>
      </c>
      <c r="Q354" s="12"/>
      <c r="R354" s="12"/>
      <c r="S354" s="12"/>
      <c r="T354" s="12"/>
      <c r="U354" s="12"/>
      <c r="V354" s="12"/>
      <c r="Z354" s="12"/>
      <c r="AA354" s="12" t="n">
        <v>5</v>
      </c>
      <c r="AB354" s="12"/>
      <c r="AC354" s="12"/>
      <c r="AD354" s="12"/>
      <c r="AE354" s="12"/>
    </row>
    <row r="355" customFormat="false" ht="15.75" hidden="false" customHeight="false" outlineLevel="0" collapsed="false">
      <c r="A355" s="12" t="str">
        <f aca="false">IF((AA355&gt;=4), "Y", "N")</f>
        <v>Y</v>
      </c>
      <c r="B355" s="74"/>
      <c r="C355" s="26" t="s">
        <v>7862</v>
      </c>
      <c r="D355" s="24"/>
      <c r="E355" s="17"/>
      <c r="F355" s="17"/>
      <c r="G355" s="17"/>
      <c r="H355" s="17"/>
      <c r="I355" s="26" t="s">
        <v>209</v>
      </c>
      <c r="J355" s="32"/>
      <c r="K355" s="17"/>
      <c r="L355" s="17"/>
      <c r="M355" s="17"/>
      <c r="N355" s="17"/>
      <c r="O355" s="17"/>
      <c r="P355" s="59" t="s">
        <v>7515</v>
      </c>
      <c r="Q355" s="12"/>
      <c r="R355" s="12"/>
      <c r="S355" s="12"/>
      <c r="T355" s="12"/>
      <c r="U355" s="12"/>
      <c r="V355" s="12"/>
      <c r="Z355" s="12"/>
      <c r="AA355" s="12" t="n">
        <v>5</v>
      </c>
      <c r="AB355" s="12"/>
      <c r="AC355" s="12"/>
      <c r="AD355" s="12"/>
      <c r="AE355" s="12"/>
    </row>
    <row r="356" customFormat="false" ht="15.75" hidden="false" customHeight="false" outlineLevel="0" collapsed="false">
      <c r="A356" s="12" t="str">
        <f aca="false">IF((AA356&gt;=4), "Y", "N")</f>
        <v>Y</v>
      </c>
      <c r="B356" s="74"/>
      <c r="C356" s="26" t="s">
        <v>7863</v>
      </c>
      <c r="D356" s="24"/>
      <c r="E356" s="17"/>
      <c r="F356" s="17"/>
      <c r="G356" s="17"/>
      <c r="H356" s="17"/>
      <c r="I356" s="26" t="s">
        <v>209</v>
      </c>
      <c r="J356" s="32"/>
      <c r="K356" s="17"/>
      <c r="L356" s="17"/>
      <c r="M356" s="17"/>
      <c r="N356" s="17"/>
      <c r="O356" s="17"/>
      <c r="P356" s="59" t="s">
        <v>7515</v>
      </c>
      <c r="Q356" s="12"/>
      <c r="R356" s="12"/>
      <c r="S356" s="12"/>
      <c r="T356" s="12"/>
      <c r="U356" s="12"/>
      <c r="V356" s="12"/>
      <c r="Z356" s="12"/>
      <c r="AA356" s="12" t="n">
        <v>5</v>
      </c>
      <c r="AB356" s="12"/>
      <c r="AC356" s="12"/>
      <c r="AD356" s="12"/>
      <c r="AE356" s="12"/>
    </row>
    <row r="357" customFormat="false" ht="15.75" hidden="false" customHeight="false" outlineLevel="0" collapsed="false">
      <c r="A357" s="12" t="str">
        <f aca="false">IF((AA357&gt;=4), "Y", "N")</f>
        <v>Y</v>
      </c>
      <c r="B357" s="74"/>
      <c r="C357" s="26" t="s">
        <v>7864</v>
      </c>
      <c r="D357" s="24"/>
      <c r="E357" s="17"/>
      <c r="F357" s="17"/>
      <c r="G357" s="17"/>
      <c r="H357" s="17"/>
      <c r="I357" s="26" t="s">
        <v>209</v>
      </c>
      <c r="J357" s="32"/>
      <c r="K357" s="17"/>
      <c r="L357" s="17"/>
      <c r="M357" s="17"/>
      <c r="N357" s="17"/>
      <c r="O357" s="17"/>
      <c r="P357" s="59" t="s">
        <v>7515</v>
      </c>
      <c r="Q357" s="12"/>
      <c r="R357" s="12"/>
      <c r="S357" s="12"/>
      <c r="T357" s="12"/>
      <c r="U357" s="12"/>
      <c r="V357" s="12"/>
      <c r="Z357" s="12"/>
      <c r="AA357" s="12" t="n">
        <v>5</v>
      </c>
      <c r="AB357" s="12"/>
      <c r="AC357" s="12"/>
      <c r="AD357" s="12"/>
      <c r="AE357" s="12"/>
    </row>
    <row r="358" customFormat="false" ht="15.75" hidden="false" customHeight="false" outlineLevel="0" collapsed="false">
      <c r="A358" s="12" t="str">
        <f aca="false">IF((AA358&gt;=4), "Y", "N")</f>
        <v>Y</v>
      </c>
      <c r="B358" s="74"/>
      <c r="C358" s="26" t="s">
        <v>7865</v>
      </c>
      <c r="D358" s="24"/>
      <c r="E358" s="17"/>
      <c r="F358" s="17"/>
      <c r="G358" s="17"/>
      <c r="H358" s="17"/>
      <c r="I358" s="26" t="s">
        <v>209</v>
      </c>
      <c r="J358" s="32"/>
      <c r="K358" s="17"/>
      <c r="L358" s="17"/>
      <c r="M358" s="17"/>
      <c r="N358" s="17"/>
      <c r="O358" s="17"/>
      <c r="P358" s="59" t="s">
        <v>7515</v>
      </c>
      <c r="Q358" s="12"/>
      <c r="R358" s="12"/>
      <c r="S358" s="12"/>
      <c r="T358" s="12"/>
      <c r="U358" s="12"/>
      <c r="V358" s="12"/>
      <c r="Z358" s="12"/>
      <c r="AA358" s="12" t="n">
        <v>5</v>
      </c>
      <c r="AB358" s="12"/>
      <c r="AC358" s="12"/>
      <c r="AD358" s="12"/>
      <c r="AE358" s="12"/>
    </row>
    <row r="359" customFormat="false" ht="15.75" hidden="false" customHeight="false" outlineLevel="0" collapsed="false">
      <c r="A359" s="12" t="str">
        <f aca="false">IF((AA359&gt;=4), "Y", "N")</f>
        <v>Y</v>
      </c>
      <c r="B359" s="74"/>
      <c r="C359" s="26" t="s">
        <v>7866</v>
      </c>
      <c r="D359" s="24"/>
      <c r="E359" s="17"/>
      <c r="F359" s="17"/>
      <c r="G359" s="17"/>
      <c r="H359" s="17"/>
      <c r="I359" s="26" t="s">
        <v>209</v>
      </c>
      <c r="J359" s="32"/>
      <c r="K359" s="17"/>
      <c r="L359" s="17"/>
      <c r="M359" s="17"/>
      <c r="N359" s="17"/>
      <c r="O359" s="17"/>
      <c r="P359" s="59" t="s">
        <v>7515</v>
      </c>
      <c r="Q359" s="12"/>
      <c r="R359" s="12"/>
      <c r="S359" s="12"/>
      <c r="T359" s="12"/>
      <c r="U359" s="12"/>
      <c r="V359" s="12"/>
      <c r="Z359" s="12"/>
      <c r="AA359" s="12" t="n">
        <v>5</v>
      </c>
      <c r="AB359" s="12"/>
      <c r="AC359" s="12"/>
      <c r="AD359" s="12"/>
      <c r="AE359" s="12"/>
    </row>
    <row r="360" customFormat="false" ht="15.75" hidden="false" customHeight="false" outlineLevel="0" collapsed="false">
      <c r="A360" s="12" t="str">
        <f aca="false">IF((AA360&gt;=4), "Y", "N")</f>
        <v>Y</v>
      </c>
      <c r="B360" s="74"/>
      <c r="C360" s="26" t="s">
        <v>7867</v>
      </c>
      <c r="D360" s="24"/>
      <c r="E360" s="17"/>
      <c r="F360" s="17"/>
      <c r="G360" s="17"/>
      <c r="H360" s="17"/>
      <c r="I360" s="26" t="s">
        <v>209</v>
      </c>
      <c r="J360" s="32"/>
      <c r="K360" s="17"/>
      <c r="L360" s="17"/>
      <c r="M360" s="17"/>
      <c r="N360" s="17"/>
      <c r="O360" s="17"/>
      <c r="P360" s="59" t="s">
        <v>7515</v>
      </c>
      <c r="Q360" s="12"/>
      <c r="R360" s="12"/>
      <c r="S360" s="12"/>
      <c r="T360" s="12"/>
      <c r="U360" s="12"/>
      <c r="V360" s="12"/>
      <c r="Z360" s="12"/>
      <c r="AA360" s="12" t="n">
        <v>5</v>
      </c>
      <c r="AB360" s="12"/>
      <c r="AC360" s="12"/>
      <c r="AD360" s="12"/>
      <c r="AE360" s="12"/>
    </row>
    <row r="361" customFormat="false" ht="15.75" hidden="false" customHeight="false" outlineLevel="0" collapsed="false">
      <c r="A361" s="12" t="str">
        <f aca="false">IF((AA361&gt;=4), "Y", "N")</f>
        <v>Y</v>
      </c>
      <c r="B361" s="74"/>
      <c r="C361" s="26" t="s">
        <v>7868</v>
      </c>
      <c r="D361" s="24"/>
      <c r="E361" s="17"/>
      <c r="F361" s="17"/>
      <c r="G361" s="17"/>
      <c r="H361" s="17"/>
      <c r="I361" s="26" t="s">
        <v>209</v>
      </c>
      <c r="J361" s="32"/>
      <c r="K361" s="17"/>
      <c r="L361" s="17"/>
      <c r="M361" s="17"/>
      <c r="N361" s="17"/>
      <c r="O361" s="17"/>
      <c r="P361" s="59" t="s">
        <v>7515</v>
      </c>
      <c r="Q361" s="12"/>
      <c r="R361" s="12"/>
      <c r="S361" s="12"/>
      <c r="T361" s="12"/>
      <c r="U361" s="12"/>
      <c r="V361" s="12"/>
      <c r="Z361" s="12"/>
      <c r="AA361" s="12" t="n">
        <v>5</v>
      </c>
      <c r="AB361" s="12"/>
      <c r="AC361" s="12"/>
      <c r="AD361" s="12"/>
      <c r="AE361" s="12"/>
    </row>
    <row r="362" customFormat="false" ht="15.75" hidden="false" customHeight="false" outlineLevel="0" collapsed="false">
      <c r="A362" s="12" t="str">
        <f aca="false">IF((AA362&gt;=4), "Y", "N")</f>
        <v>Y</v>
      </c>
      <c r="B362" s="74"/>
      <c r="C362" s="26" t="s">
        <v>7869</v>
      </c>
      <c r="D362" s="24"/>
      <c r="E362" s="17"/>
      <c r="F362" s="17"/>
      <c r="G362" s="17"/>
      <c r="H362" s="17"/>
      <c r="I362" s="26" t="s">
        <v>209</v>
      </c>
      <c r="J362" s="32"/>
      <c r="K362" s="17"/>
      <c r="L362" s="17"/>
      <c r="M362" s="17"/>
      <c r="N362" s="17"/>
      <c r="O362" s="17"/>
      <c r="P362" s="59" t="s">
        <v>7515</v>
      </c>
      <c r="Q362" s="12"/>
      <c r="R362" s="12"/>
      <c r="S362" s="12"/>
      <c r="T362" s="12"/>
      <c r="U362" s="12"/>
      <c r="V362" s="12"/>
      <c r="Z362" s="12"/>
      <c r="AA362" s="12" t="n">
        <v>5</v>
      </c>
      <c r="AB362" s="12"/>
      <c r="AC362" s="12"/>
      <c r="AD362" s="12"/>
      <c r="AE362" s="12"/>
    </row>
    <row r="363" customFormat="false" ht="15.75" hidden="false" customHeight="false" outlineLevel="0" collapsed="false">
      <c r="A363" s="12" t="str">
        <f aca="false">IF((AA363&gt;=4), "Y", "N")</f>
        <v>Y</v>
      </c>
      <c r="B363" s="74"/>
      <c r="C363" s="26" t="s">
        <v>7870</v>
      </c>
      <c r="D363" s="24"/>
      <c r="E363" s="17"/>
      <c r="F363" s="17"/>
      <c r="G363" s="17"/>
      <c r="H363" s="17"/>
      <c r="I363" s="26" t="s">
        <v>209</v>
      </c>
      <c r="J363" s="32"/>
      <c r="K363" s="17"/>
      <c r="L363" s="17"/>
      <c r="M363" s="17"/>
      <c r="N363" s="17"/>
      <c r="O363" s="17"/>
      <c r="P363" s="59" t="s">
        <v>7515</v>
      </c>
      <c r="Q363" s="12"/>
      <c r="R363" s="12"/>
      <c r="S363" s="12"/>
      <c r="T363" s="12"/>
      <c r="U363" s="12"/>
      <c r="V363" s="12"/>
      <c r="Z363" s="12"/>
      <c r="AA363" s="12" t="n">
        <v>5</v>
      </c>
      <c r="AB363" s="12"/>
      <c r="AC363" s="12"/>
      <c r="AD363" s="12"/>
      <c r="AE363" s="12"/>
    </row>
    <row r="364" customFormat="false" ht="15.75" hidden="false" customHeight="false" outlineLevel="0" collapsed="false">
      <c r="A364" s="12" t="str">
        <f aca="false">IF((AA364&gt;=4), "Y", "N")</f>
        <v>Y</v>
      </c>
      <c r="B364" s="74"/>
      <c r="C364" s="26" t="s">
        <v>7871</v>
      </c>
      <c r="D364" s="24"/>
      <c r="E364" s="17"/>
      <c r="F364" s="17"/>
      <c r="G364" s="17"/>
      <c r="H364" s="17"/>
      <c r="I364" s="26" t="s">
        <v>209</v>
      </c>
      <c r="J364" s="32"/>
      <c r="K364" s="17"/>
      <c r="L364" s="17"/>
      <c r="M364" s="17"/>
      <c r="N364" s="17"/>
      <c r="O364" s="17"/>
      <c r="P364" s="59" t="s">
        <v>7515</v>
      </c>
      <c r="Q364" s="12"/>
      <c r="R364" s="12"/>
      <c r="S364" s="12"/>
      <c r="T364" s="12"/>
      <c r="U364" s="12"/>
      <c r="V364" s="12"/>
      <c r="Z364" s="12"/>
      <c r="AA364" s="12" t="n">
        <v>5</v>
      </c>
      <c r="AB364" s="12"/>
      <c r="AC364" s="12"/>
      <c r="AD364" s="12"/>
      <c r="AE364" s="12"/>
    </row>
    <row r="365" customFormat="false" ht="15.75" hidden="false" customHeight="false" outlineLevel="0" collapsed="false">
      <c r="A365" s="12" t="str">
        <f aca="false">IF((AA365&gt;=4), "Y", "N")</f>
        <v>Y</v>
      </c>
      <c r="B365" s="74"/>
      <c r="C365" s="26" t="s">
        <v>7872</v>
      </c>
      <c r="D365" s="24"/>
      <c r="E365" s="17"/>
      <c r="F365" s="17"/>
      <c r="G365" s="17"/>
      <c r="H365" s="17"/>
      <c r="I365" s="26" t="s">
        <v>209</v>
      </c>
      <c r="J365" s="32"/>
      <c r="K365" s="17"/>
      <c r="L365" s="17"/>
      <c r="M365" s="17"/>
      <c r="N365" s="17"/>
      <c r="O365" s="17"/>
      <c r="P365" s="59" t="s">
        <v>7515</v>
      </c>
      <c r="Q365" s="12"/>
      <c r="R365" s="12"/>
      <c r="S365" s="12"/>
      <c r="T365" s="12"/>
      <c r="U365" s="12"/>
      <c r="V365" s="12"/>
      <c r="Z365" s="12"/>
      <c r="AA365" s="12" t="n">
        <v>5</v>
      </c>
      <c r="AB365" s="12"/>
      <c r="AC365" s="12"/>
      <c r="AD365" s="12"/>
      <c r="AE365" s="12"/>
    </row>
    <row r="366" customFormat="false" ht="15.75" hidden="false" customHeight="false" outlineLevel="0" collapsed="false">
      <c r="A366" s="12" t="str">
        <f aca="false">IF((AA366&gt;=4), "Y", "N")</f>
        <v>Y</v>
      </c>
      <c r="B366" s="74"/>
      <c r="C366" s="26" t="s">
        <v>7873</v>
      </c>
      <c r="D366" s="24"/>
      <c r="E366" s="17"/>
      <c r="F366" s="17"/>
      <c r="G366" s="17"/>
      <c r="H366" s="17"/>
      <c r="I366" s="26" t="s">
        <v>209</v>
      </c>
      <c r="J366" s="32"/>
      <c r="K366" s="17"/>
      <c r="L366" s="17"/>
      <c r="M366" s="17"/>
      <c r="N366" s="17"/>
      <c r="O366" s="17"/>
      <c r="P366" s="59" t="s">
        <v>7515</v>
      </c>
      <c r="Q366" s="12"/>
      <c r="R366" s="12"/>
      <c r="S366" s="12"/>
      <c r="T366" s="12"/>
      <c r="U366" s="12"/>
      <c r="V366" s="12"/>
      <c r="Z366" s="12"/>
      <c r="AA366" s="12" t="n">
        <v>5</v>
      </c>
      <c r="AB366" s="12"/>
      <c r="AC366" s="12"/>
      <c r="AD366" s="12"/>
      <c r="AE366" s="12"/>
    </row>
    <row r="367" customFormat="false" ht="15.75" hidden="false" customHeight="false" outlineLevel="0" collapsed="false">
      <c r="A367" s="12" t="str">
        <f aca="false">IF((AA367&gt;=4), "Y", "N")</f>
        <v>Y</v>
      </c>
      <c r="B367" s="74"/>
      <c r="C367" s="26" t="s">
        <v>7874</v>
      </c>
      <c r="D367" s="24"/>
      <c r="E367" s="17"/>
      <c r="F367" s="17"/>
      <c r="G367" s="17"/>
      <c r="H367" s="17"/>
      <c r="I367" s="26" t="s">
        <v>209</v>
      </c>
      <c r="J367" s="32"/>
      <c r="K367" s="17"/>
      <c r="L367" s="17"/>
      <c r="M367" s="17"/>
      <c r="N367" s="17"/>
      <c r="O367" s="17"/>
      <c r="P367" s="59" t="s">
        <v>7515</v>
      </c>
      <c r="Q367" s="12"/>
      <c r="R367" s="12"/>
      <c r="S367" s="12"/>
      <c r="T367" s="12"/>
      <c r="U367" s="12"/>
      <c r="V367" s="12"/>
      <c r="Z367" s="12"/>
      <c r="AA367" s="12" t="n">
        <v>5</v>
      </c>
      <c r="AB367" s="12"/>
      <c r="AC367" s="12"/>
      <c r="AD367" s="12"/>
      <c r="AE367" s="12"/>
    </row>
    <row r="368" customFormat="false" ht="15.75" hidden="false" customHeight="false" outlineLevel="0" collapsed="false">
      <c r="A368" s="12" t="str">
        <f aca="false">IF((AA368&gt;=4), "Y", "N")</f>
        <v>Y</v>
      </c>
      <c r="B368" s="74"/>
      <c r="C368" s="26" t="s">
        <v>7875</v>
      </c>
      <c r="D368" s="24"/>
      <c r="E368" s="17"/>
      <c r="F368" s="17"/>
      <c r="G368" s="17"/>
      <c r="H368" s="17"/>
      <c r="I368" s="26" t="s">
        <v>209</v>
      </c>
      <c r="J368" s="32"/>
      <c r="K368" s="17"/>
      <c r="L368" s="17"/>
      <c r="M368" s="17"/>
      <c r="N368" s="17"/>
      <c r="O368" s="17"/>
      <c r="P368" s="59" t="s">
        <v>7515</v>
      </c>
      <c r="Q368" s="12"/>
      <c r="R368" s="12"/>
      <c r="S368" s="12"/>
      <c r="T368" s="12"/>
      <c r="U368" s="12"/>
      <c r="V368" s="12"/>
      <c r="Z368" s="12"/>
      <c r="AA368" s="12" t="n">
        <v>5</v>
      </c>
      <c r="AB368" s="12"/>
      <c r="AC368" s="12"/>
      <c r="AD368" s="12"/>
      <c r="AE368" s="12"/>
    </row>
    <row r="369" customFormat="false" ht="15.75" hidden="false" customHeight="false" outlineLevel="0" collapsed="false">
      <c r="A369" s="12" t="str">
        <f aca="false">IF((AA369&gt;=4), "Y", "N")</f>
        <v>Y</v>
      </c>
      <c r="B369" s="74"/>
      <c r="C369" s="26" t="s">
        <v>7876</v>
      </c>
      <c r="D369" s="24"/>
      <c r="E369" s="17"/>
      <c r="F369" s="17"/>
      <c r="G369" s="17"/>
      <c r="H369" s="17"/>
      <c r="I369" s="26" t="s">
        <v>209</v>
      </c>
      <c r="J369" s="32"/>
      <c r="K369" s="17"/>
      <c r="L369" s="17"/>
      <c r="M369" s="17"/>
      <c r="N369" s="17"/>
      <c r="O369" s="17"/>
      <c r="P369" s="59" t="s">
        <v>7515</v>
      </c>
      <c r="Q369" s="12"/>
      <c r="R369" s="12"/>
      <c r="S369" s="12"/>
      <c r="T369" s="12"/>
      <c r="U369" s="12"/>
      <c r="V369" s="12"/>
      <c r="Z369" s="12"/>
      <c r="AA369" s="12" t="n">
        <v>5</v>
      </c>
      <c r="AB369" s="12"/>
      <c r="AC369" s="12"/>
      <c r="AD369" s="12"/>
      <c r="AE369" s="12"/>
    </row>
    <row r="370" customFormat="false" ht="15.75" hidden="false" customHeight="false" outlineLevel="0" collapsed="false">
      <c r="A370" s="12" t="str">
        <f aca="false">IF((AA370&gt;=4), "Y", "N")</f>
        <v>Y</v>
      </c>
      <c r="B370" s="74"/>
      <c r="C370" s="26" t="s">
        <v>7877</v>
      </c>
      <c r="D370" s="24"/>
      <c r="E370" s="17"/>
      <c r="F370" s="17"/>
      <c r="G370" s="17"/>
      <c r="H370" s="17"/>
      <c r="I370" s="26" t="s">
        <v>209</v>
      </c>
      <c r="J370" s="32"/>
      <c r="K370" s="17"/>
      <c r="L370" s="17"/>
      <c r="M370" s="17"/>
      <c r="N370" s="17"/>
      <c r="O370" s="17"/>
      <c r="P370" s="59" t="s">
        <v>7515</v>
      </c>
      <c r="Q370" s="12"/>
      <c r="R370" s="12"/>
      <c r="S370" s="12"/>
      <c r="T370" s="12"/>
      <c r="U370" s="12"/>
      <c r="V370" s="12"/>
      <c r="Z370" s="12"/>
      <c r="AA370" s="12" t="n">
        <v>5</v>
      </c>
      <c r="AB370" s="12"/>
      <c r="AC370" s="12"/>
      <c r="AD370" s="12"/>
      <c r="AE370" s="12"/>
    </row>
    <row r="371" customFormat="false" ht="15.75" hidden="false" customHeight="false" outlineLevel="0" collapsed="false">
      <c r="A371" s="12" t="str">
        <f aca="false">IF((AA371&gt;=4), "Y", "N")</f>
        <v>Y</v>
      </c>
      <c r="B371" s="74"/>
      <c r="C371" s="26" t="s">
        <v>7878</v>
      </c>
      <c r="D371" s="24"/>
      <c r="E371" s="17"/>
      <c r="F371" s="17"/>
      <c r="G371" s="17"/>
      <c r="H371" s="17"/>
      <c r="I371" s="26" t="s">
        <v>209</v>
      </c>
      <c r="J371" s="32"/>
      <c r="K371" s="17"/>
      <c r="L371" s="17"/>
      <c r="M371" s="17"/>
      <c r="N371" s="17"/>
      <c r="O371" s="17"/>
      <c r="P371" s="59" t="s">
        <v>7515</v>
      </c>
      <c r="Q371" s="12"/>
      <c r="R371" s="12"/>
      <c r="S371" s="12"/>
      <c r="T371" s="12"/>
      <c r="U371" s="12"/>
      <c r="V371" s="12"/>
      <c r="Z371" s="12"/>
      <c r="AA371" s="12" t="n">
        <v>5</v>
      </c>
      <c r="AB371" s="12"/>
      <c r="AC371" s="12"/>
      <c r="AD371" s="12"/>
      <c r="AE371" s="12"/>
    </row>
    <row r="372" customFormat="false" ht="15.75" hidden="false" customHeight="false" outlineLevel="0" collapsed="false">
      <c r="A372" s="12" t="str">
        <f aca="false">IF((AA372&gt;=4), "Y", "N")</f>
        <v>Y</v>
      </c>
      <c r="B372" s="74"/>
      <c r="C372" s="26" t="s">
        <v>7879</v>
      </c>
      <c r="D372" s="24"/>
      <c r="E372" s="17"/>
      <c r="F372" s="17"/>
      <c r="G372" s="17"/>
      <c r="H372" s="17"/>
      <c r="I372" s="26" t="s">
        <v>209</v>
      </c>
      <c r="J372" s="32"/>
      <c r="K372" s="17"/>
      <c r="L372" s="17"/>
      <c r="M372" s="17"/>
      <c r="N372" s="17"/>
      <c r="O372" s="17"/>
      <c r="P372" s="59" t="s">
        <v>7515</v>
      </c>
      <c r="Q372" s="12"/>
      <c r="R372" s="12"/>
      <c r="S372" s="12"/>
      <c r="T372" s="12"/>
      <c r="U372" s="12"/>
      <c r="V372" s="12"/>
      <c r="Z372" s="12"/>
      <c r="AA372" s="12" t="n">
        <v>5</v>
      </c>
      <c r="AB372" s="12"/>
      <c r="AC372" s="12"/>
      <c r="AD372" s="12"/>
      <c r="AE372" s="12"/>
    </row>
    <row r="373" customFormat="false" ht="15.75" hidden="false" customHeight="false" outlineLevel="0" collapsed="false">
      <c r="A373" s="12" t="str">
        <f aca="false">IF((AA373&gt;=4), "Y", "N")</f>
        <v>Y</v>
      </c>
      <c r="B373" s="74"/>
      <c r="C373" s="26" t="s">
        <v>7880</v>
      </c>
      <c r="D373" s="24"/>
      <c r="E373" s="17"/>
      <c r="F373" s="17"/>
      <c r="G373" s="17"/>
      <c r="H373" s="17"/>
      <c r="I373" s="26" t="s">
        <v>209</v>
      </c>
      <c r="J373" s="32"/>
      <c r="K373" s="17"/>
      <c r="L373" s="17"/>
      <c r="M373" s="17"/>
      <c r="N373" s="17"/>
      <c r="O373" s="17"/>
      <c r="P373" s="59" t="s">
        <v>7515</v>
      </c>
      <c r="Q373" s="12"/>
      <c r="R373" s="12"/>
      <c r="S373" s="12"/>
      <c r="T373" s="12"/>
      <c r="U373" s="12"/>
      <c r="V373" s="12"/>
      <c r="Z373" s="12"/>
      <c r="AA373" s="12" t="n">
        <v>5</v>
      </c>
      <c r="AB373" s="12"/>
      <c r="AC373" s="12"/>
      <c r="AD373" s="12"/>
      <c r="AE373" s="12"/>
    </row>
    <row r="374" customFormat="false" ht="15.75" hidden="false" customHeight="false" outlineLevel="0" collapsed="false">
      <c r="A374" s="12" t="str">
        <f aca="false">IF((AA374&gt;=4), "Y", "N")</f>
        <v>Y</v>
      </c>
      <c r="B374" s="74"/>
      <c r="C374" s="26" t="s">
        <v>7881</v>
      </c>
      <c r="D374" s="24"/>
      <c r="E374" s="17"/>
      <c r="F374" s="17"/>
      <c r="G374" s="17"/>
      <c r="H374" s="17"/>
      <c r="I374" s="26" t="s">
        <v>209</v>
      </c>
      <c r="J374" s="32"/>
      <c r="K374" s="17"/>
      <c r="L374" s="17"/>
      <c r="M374" s="17"/>
      <c r="N374" s="17"/>
      <c r="O374" s="17"/>
      <c r="P374" s="59" t="s">
        <v>7515</v>
      </c>
      <c r="Q374" s="12"/>
      <c r="R374" s="12"/>
      <c r="S374" s="12"/>
      <c r="T374" s="12"/>
      <c r="U374" s="12"/>
      <c r="V374" s="12"/>
      <c r="Z374" s="12"/>
      <c r="AA374" s="12" t="n">
        <v>5</v>
      </c>
      <c r="AB374" s="12"/>
      <c r="AC374" s="12"/>
      <c r="AD374" s="12"/>
      <c r="AE374" s="12"/>
    </row>
    <row r="375" customFormat="false" ht="15.75" hidden="false" customHeight="false" outlineLevel="0" collapsed="false">
      <c r="A375" s="12" t="str">
        <f aca="false">IF((AA375&gt;=4), "Y", "N")</f>
        <v>Y</v>
      </c>
      <c r="B375" s="74"/>
      <c r="C375" s="26" t="s">
        <v>7882</v>
      </c>
      <c r="D375" s="24"/>
      <c r="E375" s="17"/>
      <c r="F375" s="17"/>
      <c r="G375" s="17"/>
      <c r="H375" s="17"/>
      <c r="I375" s="26" t="s">
        <v>209</v>
      </c>
      <c r="J375" s="32"/>
      <c r="K375" s="17"/>
      <c r="L375" s="17"/>
      <c r="M375" s="17"/>
      <c r="N375" s="17"/>
      <c r="O375" s="17"/>
      <c r="P375" s="59" t="s">
        <v>7515</v>
      </c>
      <c r="Q375" s="12"/>
      <c r="R375" s="12"/>
      <c r="S375" s="12"/>
      <c r="T375" s="12"/>
      <c r="U375" s="12"/>
      <c r="V375" s="12"/>
      <c r="Z375" s="12"/>
      <c r="AA375" s="12" t="n">
        <v>5</v>
      </c>
      <c r="AB375" s="12"/>
      <c r="AC375" s="12"/>
      <c r="AD375" s="12"/>
      <c r="AE375" s="12"/>
    </row>
    <row r="376" customFormat="false" ht="15.75" hidden="false" customHeight="false" outlineLevel="0" collapsed="false">
      <c r="A376" s="12" t="str">
        <f aca="false">IF((AA376&gt;=4), "Y", "N")</f>
        <v>Y</v>
      </c>
      <c r="B376" s="74"/>
      <c r="C376" s="26" t="s">
        <v>7883</v>
      </c>
      <c r="D376" s="24"/>
      <c r="E376" s="17"/>
      <c r="F376" s="17"/>
      <c r="G376" s="17"/>
      <c r="H376" s="17"/>
      <c r="I376" s="26" t="s">
        <v>209</v>
      </c>
      <c r="J376" s="32"/>
      <c r="K376" s="17"/>
      <c r="L376" s="17"/>
      <c r="M376" s="17"/>
      <c r="N376" s="17"/>
      <c r="O376" s="17"/>
      <c r="P376" s="59" t="s">
        <v>7515</v>
      </c>
      <c r="Q376" s="12"/>
      <c r="R376" s="12"/>
      <c r="S376" s="12"/>
      <c r="T376" s="12"/>
      <c r="U376" s="12"/>
      <c r="V376" s="12"/>
      <c r="Z376" s="12"/>
      <c r="AA376" s="12" t="n">
        <v>5</v>
      </c>
      <c r="AB376" s="12"/>
      <c r="AC376" s="12"/>
      <c r="AD376" s="12"/>
      <c r="AE376" s="12"/>
    </row>
    <row r="377" customFormat="false" ht="15.75" hidden="false" customHeight="false" outlineLevel="0" collapsed="false">
      <c r="A377" s="12" t="str">
        <f aca="false">IF((AA377&gt;=4), "Y", "N")</f>
        <v>Y</v>
      </c>
      <c r="B377" s="74"/>
      <c r="C377" s="26" t="s">
        <v>7884</v>
      </c>
      <c r="D377" s="24"/>
      <c r="E377" s="17"/>
      <c r="F377" s="17"/>
      <c r="G377" s="17"/>
      <c r="H377" s="17"/>
      <c r="I377" s="26" t="s">
        <v>209</v>
      </c>
      <c r="J377" s="32"/>
      <c r="K377" s="17"/>
      <c r="L377" s="17"/>
      <c r="M377" s="17"/>
      <c r="N377" s="17"/>
      <c r="O377" s="17"/>
      <c r="P377" s="59" t="s">
        <v>7515</v>
      </c>
      <c r="Q377" s="12"/>
      <c r="R377" s="12"/>
      <c r="S377" s="12"/>
      <c r="T377" s="12"/>
      <c r="U377" s="12"/>
      <c r="V377" s="12"/>
      <c r="Z377" s="12"/>
      <c r="AA377" s="12" t="n">
        <v>5</v>
      </c>
      <c r="AB377" s="12"/>
      <c r="AC377" s="12"/>
      <c r="AD377" s="12"/>
      <c r="AE377" s="12"/>
    </row>
    <row r="378" customFormat="false" ht="15.75" hidden="false" customHeight="false" outlineLevel="0" collapsed="false">
      <c r="A378" s="12" t="str">
        <f aca="false">IF((AA378&gt;=4), "Y", "N")</f>
        <v>Y</v>
      </c>
      <c r="B378" s="74"/>
      <c r="C378" s="26" t="s">
        <v>7885</v>
      </c>
      <c r="D378" s="24"/>
      <c r="E378" s="17"/>
      <c r="F378" s="17"/>
      <c r="G378" s="17"/>
      <c r="H378" s="17"/>
      <c r="I378" s="26" t="s">
        <v>209</v>
      </c>
      <c r="J378" s="32"/>
      <c r="K378" s="17"/>
      <c r="L378" s="17"/>
      <c r="M378" s="17"/>
      <c r="N378" s="17"/>
      <c r="O378" s="17"/>
      <c r="P378" s="59" t="s">
        <v>7515</v>
      </c>
      <c r="Q378" s="12"/>
      <c r="R378" s="12"/>
      <c r="S378" s="12"/>
      <c r="T378" s="12"/>
      <c r="U378" s="12"/>
      <c r="V378" s="12"/>
      <c r="Z378" s="12"/>
      <c r="AA378" s="12" t="n">
        <v>5</v>
      </c>
      <c r="AB378" s="12"/>
      <c r="AC378" s="12"/>
      <c r="AD378" s="12"/>
      <c r="AE378" s="12"/>
    </row>
    <row r="379" customFormat="false" ht="15.75" hidden="false" customHeight="false" outlineLevel="0" collapsed="false">
      <c r="A379" s="12" t="str">
        <f aca="false">IF((AA379&gt;=4), "Y", "N")</f>
        <v>Y</v>
      </c>
      <c r="B379" s="74"/>
      <c r="C379" s="26" t="s">
        <v>7886</v>
      </c>
      <c r="D379" s="24"/>
      <c r="E379" s="17"/>
      <c r="F379" s="17"/>
      <c r="G379" s="17"/>
      <c r="H379" s="17"/>
      <c r="I379" s="26" t="s">
        <v>209</v>
      </c>
      <c r="J379" s="32"/>
      <c r="K379" s="17"/>
      <c r="L379" s="17"/>
      <c r="M379" s="17"/>
      <c r="N379" s="17"/>
      <c r="O379" s="17"/>
      <c r="P379" s="59" t="s">
        <v>7515</v>
      </c>
      <c r="Q379" s="12"/>
      <c r="R379" s="12"/>
      <c r="S379" s="12"/>
      <c r="T379" s="12"/>
      <c r="U379" s="12"/>
      <c r="V379" s="12"/>
      <c r="Z379" s="12"/>
      <c r="AA379" s="12" t="n">
        <v>5</v>
      </c>
      <c r="AB379" s="12"/>
      <c r="AC379" s="12"/>
      <c r="AD379" s="12"/>
      <c r="AE379" s="12"/>
    </row>
    <row r="380" customFormat="false" ht="15.75" hidden="false" customHeight="false" outlineLevel="0" collapsed="false">
      <c r="A380" s="12" t="str">
        <f aca="false">IF((AA380&gt;=4), "Y", "N")</f>
        <v>Y</v>
      </c>
      <c r="B380" s="74"/>
      <c r="C380" s="26" t="s">
        <v>7887</v>
      </c>
      <c r="D380" s="24"/>
      <c r="E380" s="17"/>
      <c r="F380" s="17"/>
      <c r="G380" s="17"/>
      <c r="H380" s="17"/>
      <c r="I380" s="26" t="s">
        <v>209</v>
      </c>
      <c r="J380" s="32"/>
      <c r="K380" s="17"/>
      <c r="L380" s="17"/>
      <c r="M380" s="17"/>
      <c r="N380" s="17"/>
      <c r="O380" s="17"/>
      <c r="P380" s="59" t="s">
        <v>7515</v>
      </c>
      <c r="Q380" s="12"/>
      <c r="R380" s="12"/>
      <c r="S380" s="12"/>
      <c r="T380" s="12"/>
      <c r="U380" s="12"/>
      <c r="V380" s="12"/>
      <c r="Z380" s="12"/>
      <c r="AA380" s="12" t="n">
        <v>5</v>
      </c>
      <c r="AB380" s="12"/>
      <c r="AC380" s="12"/>
      <c r="AD380" s="12"/>
      <c r="AE380" s="12"/>
    </row>
    <row r="381" customFormat="false" ht="15.75" hidden="false" customHeight="false" outlineLevel="0" collapsed="false">
      <c r="A381" s="12" t="str">
        <f aca="false">IF((AA381&gt;=4), "Y", "N")</f>
        <v>Y</v>
      </c>
      <c r="B381" s="74"/>
      <c r="C381" s="26" t="s">
        <v>7888</v>
      </c>
      <c r="D381" s="24"/>
      <c r="E381" s="17"/>
      <c r="F381" s="17"/>
      <c r="G381" s="17"/>
      <c r="H381" s="17"/>
      <c r="I381" s="26" t="s">
        <v>209</v>
      </c>
      <c r="J381" s="32"/>
      <c r="K381" s="17"/>
      <c r="L381" s="17"/>
      <c r="M381" s="17"/>
      <c r="N381" s="17"/>
      <c r="O381" s="17"/>
      <c r="P381" s="59" t="s">
        <v>7515</v>
      </c>
      <c r="Q381" s="12"/>
      <c r="R381" s="12"/>
      <c r="S381" s="12"/>
      <c r="T381" s="12"/>
      <c r="U381" s="12"/>
      <c r="V381" s="12"/>
      <c r="Z381" s="12"/>
      <c r="AA381" s="12" t="n">
        <v>5</v>
      </c>
      <c r="AB381" s="12"/>
      <c r="AC381" s="12"/>
      <c r="AD381" s="12"/>
      <c r="AE381" s="12"/>
    </row>
    <row r="382" customFormat="false" ht="15.75" hidden="false" customHeight="false" outlineLevel="0" collapsed="false">
      <c r="A382" s="12" t="str">
        <f aca="false">IF((AA382&gt;=4), "Y", "N")</f>
        <v>Y</v>
      </c>
      <c r="B382" s="74"/>
      <c r="C382" s="26" t="s">
        <v>7889</v>
      </c>
      <c r="D382" s="24"/>
      <c r="E382" s="17"/>
      <c r="F382" s="17"/>
      <c r="G382" s="17"/>
      <c r="H382" s="17"/>
      <c r="I382" s="26" t="s">
        <v>209</v>
      </c>
      <c r="J382" s="32"/>
      <c r="K382" s="17"/>
      <c r="L382" s="17"/>
      <c r="M382" s="17"/>
      <c r="N382" s="17"/>
      <c r="O382" s="17"/>
      <c r="P382" s="59" t="s">
        <v>7515</v>
      </c>
      <c r="Q382" s="12"/>
      <c r="R382" s="12"/>
      <c r="S382" s="12"/>
      <c r="T382" s="12"/>
      <c r="U382" s="12"/>
      <c r="V382" s="12"/>
      <c r="Z382" s="12"/>
      <c r="AA382" s="12" t="n">
        <v>5</v>
      </c>
      <c r="AB382" s="12"/>
      <c r="AC382" s="12"/>
      <c r="AD382" s="12"/>
      <c r="AE382" s="12"/>
    </row>
    <row r="383" customFormat="false" ht="15.75" hidden="false" customHeight="false" outlineLevel="0" collapsed="false">
      <c r="A383" s="12" t="str">
        <f aca="false">IF((AA383&gt;=4), "Y", "N")</f>
        <v>Y</v>
      </c>
      <c r="B383" s="74"/>
      <c r="C383" s="26" t="s">
        <v>7890</v>
      </c>
      <c r="D383" s="24"/>
      <c r="E383" s="17"/>
      <c r="F383" s="17"/>
      <c r="G383" s="17"/>
      <c r="H383" s="17"/>
      <c r="I383" s="26" t="s">
        <v>209</v>
      </c>
      <c r="J383" s="32"/>
      <c r="K383" s="17"/>
      <c r="L383" s="17"/>
      <c r="M383" s="17"/>
      <c r="N383" s="17"/>
      <c r="O383" s="17"/>
      <c r="P383" s="59" t="s">
        <v>7515</v>
      </c>
      <c r="Q383" s="12"/>
      <c r="R383" s="12"/>
      <c r="S383" s="12"/>
      <c r="T383" s="12"/>
      <c r="U383" s="12"/>
      <c r="V383" s="12"/>
      <c r="Z383" s="12"/>
      <c r="AA383" s="12" t="n">
        <v>5</v>
      </c>
      <c r="AB383" s="12"/>
      <c r="AC383" s="12"/>
      <c r="AD383" s="12"/>
      <c r="AE383" s="12"/>
    </row>
    <row r="384" customFormat="false" ht="15.75" hidden="false" customHeight="false" outlineLevel="0" collapsed="false">
      <c r="A384" s="12" t="str">
        <f aca="false">IF((AA384&gt;=4), "Y", "N")</f>
        <v>Y</v>
      </c>
      <c r="B384" s="74"/>
      <c r="C384" s="26" t="s">
        <v>7891</v>
      </c>
      <c r="D384" s="24"/>
      <c r="E384" s="17"/>
      <c r="F384" s="17"/>
      <c r="G384" s="17"/>
      <c r="H384" s="17"/>
      <c r="I384" s="26" t="s">
        <v>209</v>
      </c>
      <c r="J384" s="32"/>
      <c r="K384" s="17"/>
      <c r="L384" s="17"/>
      <c r="M384" s="17"/>
      <c r="N384" s="17"/>
      <c r="O384" s="17"/>
      <c r="P384" s="59" t="s">
        <v>7515</v>
      </c>
      <c r="Q384" s="12"/>
      <c r="R384" s="12"/>
      <c r="S384" s="12"/>
      <c r="T384" s="12"/>
      <c r="U384" s="12"/>
      <c r="V384" s="12"/>
      <c r="Z384" s="12"/>
      <c r="AA384" s="12" t="n">
        <v>5</v>
      </c>
      <c r="AB384" s="12"/>
      <c r="AC384" s="12"/>
      <c r="AD384" s="12"/>
      <c r="AE384" s="12"/>
    </row>
    <row r="385" customFormat="false" ht="15.75" hidden="false" customHeight="false" outlineLevel="0" collapsed="false">
      <c r="A385" s="12" t="str">
        <f aca="false">IF((AA385&gt;=4), "Y", "N")</f>
        <v>Y</v>
      </c>
      <c r="B385" s="74"/>
      <c r="C385" s="26" t="s">
        <v>7892</v>
      </c>
      <c r="D385" s="24"/>
      <c r="E385" s="17"/>
      <c r="F385" s="17"/>
      <c r="G385" s="17"/>
      <c r="H385" s="17"/>
      <c r="I385" s="26" t="s">
        <v>209</v>
      </c>
      <c r="J385" s="32"/>
      <c r="K385" s="17"/>
      <c r="L385" s="17"/>
      <c r="M385" s="17"/>
      <c r="N385" s="17"/>
      <c r="O385" s="17"/>
      <c r="P385" s="59" t="s">
        <v>7515</v>
      </c>
      <c r="Q385" s="12"/>
      <c r="R385" s="12"/>
      <c r="S385" s="12"/>
      <c r="T385" s="12"/>
      <c r="U385" s="12"/>
      <c r="V385" s="12"/>
      <c r="Z385" s="12"/>
      <c r="AA385" s="12" t="n">
        <v>5</v>
      </c>
      <c r="AB385" s="12"/>
      <c r="AC385" s="12"/>
      <c r="AD385" s="12"/>
      <c r="AE385" s="12"/>
    </row>
    <row r="386" customFormat="false" ht="15.75" hidden="false" customHeight="false" outlineLevel="0" collapsed="false">
      <c r="A386" s="12" t="str">
        <f aca="false">IF((AA386&gt;=4), "Y", "N")</f>
        <v>Y</v>
      </c>
      <c r="B386" s="74"/>
      <c r="C386" s="26" t="s">
        <v>7893</v>
      </c>
      <c r="D386" s="24"/>
      <c r="E386" s="17"/>
      <c r="F386" s="17"/>
      <c r="G386" s="17"/>
      <c r="H386" s="17"/>
      <c r="I386" s="26" t="s">
        <v>209</v>
      </c>
      <c r="J386" s="32"/>
      <c r="K386" s="17"/>
      <c r="L386" s="17"/>
      <c r="M386" s="17"/>
      <c r="N386" s="17"/>
      <c r="O386" s="17"/>
      <c r="P386" s="59" t="s">
        <v>7515</v>
      </c>
      <c r="Q386" s="12"/>
      <c r="R386" s="12"/>
      <c r="S386" s="12"/>
      <c r="T386" s="12"/>
      <c r="U386" s="12"/>
      <c r="V386" s="12"/>
      <c r="Z386" s="12"/>
      <c r="AA386" s="12" t="n">
        <v>5</v>
      </c>
      <c r="AB386" s="12"/>
      <c r="AC386" s="12"/>
      <c r="AD386" s="12"/>
      <c r="AE386" s="12"/>
    </row>
    <row r="387" customFormat="false" ht="15.75" hidden="false" customHeight="false" outlineLevel="0" collapsed="false">
      <c r="A387" s="12" t="str">
        <f aca="false">IF((AA387&gt;=4), "Y", "N")</f>
        <v>Y</v>
      </c>
      <c r="B387" s="74"/>
      <c r="C387" s="26" t="s">
        <v>7894</v>
      </c>
      <c r="D387" s="24"/>
      <c r="E387" s="17"/>
      <c r="F387" s="17"/>
      <c r="G387" s="17"/>
      <c r="H387" s="17"/>
      <c r="I387" s="26" t="s">
        <v>209</v>
      </c>
      <c r="J387" s="32"/>
      <c r="K387" s="17"/>
      <c r="L387" s="17"/>
      <c r="M387" s="17"/>
      <c r="N387" s="17"/>
      <c r="O387" s="17"/>
      <c r="P387" s="59" t="s">
        <v>7515</v>
      </c>
      <c r="Q387" s="12"/>
      <c r="R387" s="12"/>
      <c r="S387" s="12"/>
      <c r="T387" s="12"/>
      <c r="U387" s="12"/>
      <c r="V387" s="12"/>
      <c r="Z387" s="12"/>
      <c r="AA387" s="12" t="n">
        <v>5</v>
      </c>
      <c r="AB387" s="12"/>
      <c r="AC387" s="12"/>
      <c r="AD387" s="12"/>
      <c r="AE387" s="12"/>
    </row>
    <row r="388" customFormat="false" ht="15.75" hidden="false" customHeight="false" outlineLevel="0" collapsed="false">
      <c r="A388" s="12" t="str">
        <f aca="false">IF((AA388&gt;=4), "Y", "N")</f>
        <v>Y</v>
      </c>
      <c r="B388" s="74"/>
      <c r="C388" s="26" t="s">
        <v>7895</v>
      </c>
      <c r="D388" s="24"/>
      <c r="E388" s="17"/>
      <c r="F388" s="17"/>
      <c r="G388" s="17"/>
      <c r="H388" s="17"/>
      <c r="I388" s="26" t="s">
        <v>209</v>
      </c>
      <c r="J388" s="32"/>
      <c r="K388" s="17"/>
      <c r="L388" s="17"/>
      <c r="M388" s="17"/>
      <c r="N388" s="17"/>
      <c r="O388" s="17"/>
      <c r="P388" s="59" t="s">
        <v>7515</v>
      </c>
      <c r="Q388" s="12"/>
      <c r="R388" s="12"/>
      <c r="S388" s="12"/>
      <c r="T388" s="12"/>
      <c r="U388" s="12"/>
      <c r="V388" s="12"/>
      <c r="Z388" s="12"/>
      <c r="AA388" s="12" t="n">
        <v>5</v>
      </c>
      <c r="AB388" s="12"/>
      <c r="AC388" s="12"/>
      <c r="AD388" s="12"/>
      <c r="AE388" s="12"/>
    </row>
    <row r="389" customFormat="false" ht="15.75" hidden="false" customHeight="false" outlineLevel="0" collapsed="false">
      <c r="A389" s="12" t="str">
        <f aca="false">IF((AA389&gt;=4), "Y", "N")</f>
        <v>Y</v>
      </c>
      <c r="B389" s="74"/>
      <c r="C389" s="26" t="s">
        <v>7896</v>
      </c>
      <c r="D389" s="24"/>
      <c r="E389" s="17"/>
      <c r="F389" s="17"/>
      <c r="G389" s="17"/>
      <c r="H389" s="17"/>
      <c r="I389" s="26" t="s">
        <v>209</v>
      </c>
      <c r="J389" s="32"/>
      <c r="K389" s="17"/>
      <c r="L389" s="17"/>
      <c r="M389" s="17"/>
      <c r="N389" s="17"/>
      <c r="O389" s="17"/>
      <c r="P389" s="59" t="s">
        <v>7515</v>
      </c>
      <c r="Q389" s="12"/>
      <c r="R389" s="12"/>
      <c r="S389" s="12"/>
      <c r="T389" s="12"/>
      <c r="U389" s="12"/>
      <c r="V389" s="12"/>
      <c r="Z389" s="12"/>
      <c r="AA389" s="12" t="n">
        <v>5</v>
      </c>
      <c r="AB389" s="12"/>
      <c r="AC389" s="12"/>
      <c r="AD389" s="12"/>
      <c r="AE389" s="12"/>
    </row>
    <row r="390" customFormat="false" ht="15.75" hidden="false" customHeight="false" outlineLevel="0" collapsed="false">
      <c r="A390" s="12" t="str">
        <f aca="false">IF((AA390&gt;=4), "Y", "N")</f>
        <v>Y</v>
      </c>
      <c r="B390" s="74"/>
      <c r="C390" s="26" t="s">
        <v>7897</v>
      </c>
      <c r="D390" s="24"/>
      <c r="E390" s="17"/>
      <c r="F390" s="17"/>
      <c r="G390" s="17"/>
      <c r="H390" s="17"/>
      <c r="I390" s="26" t="s">
        <v>209</v>
      </c>
      <c r="J390" s="32"/>
      <c r="K390" s="17"/>
      <c r="L390" s="17"/>
      <c r="M390" s="17"/>
      <c r="N390" s="17"/>
      <c r="O390" s="17"/>
      <c r="P390" s="59" t="s">
        <v>7515</v>
      </c>
      <c r="Q390" s="12"/>
      <c r="R390" s="12"/>
      <c r="S390" s="12"/>
      <c r="T390" s="12"/>
      <c r="U390" s="12"/>
      <c r="V390" s="12"/>
      <c r="Z390" s="12"/>
      <c r="AA390" s="12" t="n">
        <v>5</v>
      </c>
      <c r="AB390" s="12"/>
      <c r="AC390" s="12"/>
      <c r="AD390" s="12"/>
      <c r="AE390" s="12"/>
    </row>
    <row r="391" customFormat="false" ht="15.75" hidden="false" customHeight="false" outlineLevel="0" collapsed="false">
      <c r="A391" s="12" t="str">
        <f aca="false">IF((AA391&gt;=4), "Y", "N")</f>
        <v>Y</v>
      </c>
      <c r="B391" s="74"/>
      <c r="C391" s="26" t="s">
        <v>7898</v>
      </c>
      <c r="D391" s="24"/>
      <c r="E391" s="17"/>
      <c r="F391" s="17"/>
      <c r="G391" s="17"/>
      <c r="H391" s="17"/>
      <c r="I391" s="26" t="s">
        <v>209</v>
      </c>
      <c r="J391" s="32"/>
      <c r="K391" s="17"/>
      <c r="L391" s="17"/>
      <c r="M391" s="17"/>
      <c r="N391" s="17"/>
      <c r="O391" s="17"/>
      <c r="P391" s="59" t="s">
        <v>7515</v>
      </c>
      <c r="Q391" s="12"/>
      <c r="R391" s="12"/>
      <c r="S391" s="12"/>
      <c r="T391" s="12"/>
      <c r="U391" s="12"/>
      <c r="V391" s="12"/>
      <c r="Z391" s="12"/>
      <c r="AA391" s="12" t="n">
        <v>5</v>
      </c>
      <c r="AB391" s="12"/>
      <c r="AC391" s="12"/>
      <c r="AD391" s="12"/>
      <c r="AE391" s="12"/>
    </row>
    <row r="392" customFormat="false" ht="15.75" hidden="false" customHeight="false" outlineLevel="0" collapsed="false">
      <c r="A392" s="12" t="str">
        <f aca="false">IF((AA392&gt;=4), "Y", "N")</f>
        <v>Y</v>
      </c>
      <c r="B392" s="74"/>
      <c r="C392" s="26" t="s">
        <v>7899</v>
      </c>
      <c r="D392" s="24"/>
      <c r="E392" s="17"/>
      <c r="F392" s="17"/>
      <c r="G392" s="17"/>
      <c r="H392" s="17"/>
      <c r="I392" s="26" t="s">
        <v>209</v>
      </c>
      <c r="J392" s="32"/>
      <c r="K392" s="17"/>
      <c r="L392" s="17"/>
      <c r="M392" s="17"/>
      <c r="N392" s="17"/>
      <c r="O392" s="17"/>
      <c r="P392" s="59" t="s">
        <v>7515</v>
      </c>
      <c r="Q392" s="12"/>
      <c r="R392" s="12"/>
      <c r="S392" s="12"/>
      <c r="T392" s="12"/>
      <c r="U392" s="12"/>
      <c r="V392" s="12"/>
      <c r="Z392" s="12"/>
      <c r="AA392" s="12" t="n">
        <v>5</v>
      </c>
      <c r="AB392" s="12"/>
      <c r="AC392" s="12"/>
      <c r="AD392" s="12"/>
      <c r="AE392" s="12"/>
    </row>
    <row r="393" customFormat="false" ht="15.75" hidden="false" customHeight="false" outlineLevel="0" collapsed="false">
      <c r="A393" s="12" t="str">
        <f aca="false">IF((AA393&gt;=4), "Y", "N")</f>
        <v>Y</v>
      </c>
      <c r="B393" s="74"/>
      <c r="C393" s="26" t="s">
        <v>7900</v>
      </c>
      <c r="D393" s="24"/>
      <c r="E393" s="17"/>
      <c r="F393" s="17"/>
      <c r="G393" s="17"/>
      <c r="H393" s="17"/>
      <c r="I393" s="26" t="s">
        <v>209</v>
      </c>
      <c r="J393" s="32"/>
      <c r="K393" s="17"/>
      <c r="L393" s="17"/>
      <c r="M393" s="17"/>
      <c r="N393" s="17"/>
      <c r="O393" s="17"/>
      <c r="P393" s="59" t="s">
        <v>7515</v>
      </c>
      <c r="Q393" s="12"/>
      <c r="R393" s="12"/>
      <c r="S393" s="12"/>
      <c r="T393" s="12"/>
      <c r="U393" s="12"/>
      <c r="V393" s="12"/>
      <c r="Z393" s="12"/>
      <c r="AA393" s="12" t="n">
        <v>5</v>
      </c>
      <c r="AB393" s="12"/>
      <c r="AC393" s="12"/>
      <c r="AD393" s="12"/>
      <c r="AE393" s="12"/>
    </row>
    <row r="394" customFormat="false" ht="15.75" hidden="false" customHeight="false" outlineLevel="0" collapsed="false">
      <c r="A394" s="12" t="str">
        <f aca="false">IF((AA394&gt;=4), "Y", "N")</f>
        <v>Y</v>
      </c>
      <c r="B394" s="74"/>
      <c r="C394" s="26" t="s">
        <v>7901</v>
      </c>
      <c r="D394" s="24"/>
      <c r="E394" s="17"/>
      <c r="F394" s="17"/>
      <c r="G394" s="17"/>
      <c r="H394" s="17"/>
      <c r="I394" s="26" t="s">
        <v>209</v>
      </c>
      <c r="J394" s="32"/>
      <c r="K394" s="17"/>
      <c r="L394" s="17"/>
      <c r="M394" s="17"/>
      <c r="N394" s="17"/>
      <c r="O394" s="17"/>
      <c r="P394" s="59" t="s">
        <v>7515</v>
      </c>
      <c r="Q394" s="12"/>
      <c r="R394" s="12"/>
      <c r="S394" s="12"/>
      <c r="T394" s="12"/>
      <c r="U394" s="12"/>
      <c r="V394" s="12"/>
      <c r="Z394" s="12"/>
      <c r="AA394" s="12" t="n">
        <v>5</v>
      </c>
      <c r="AB394" s="12"/>
      <c r="AC394" s="12"/>
      <c r="AD394" s="12"/>
      <c r="AE394" s="12"/>
    </row>
    <row r="395" customFormat="false" ht="15.75" hidden="false" customHeight="false" outlineLevel="0" collapsed="false">
      <c r="A395" s="12" t="str">
        <f aca="false">IF((AA395&gt;=4), "Y", "N")</f>
        <v>Y</v>
      </c>
      <c r="B395" s="74"/>
      <c r="C395" s="26" t="s">
        <v>7902</v>
      </c>
      <c r="D395" s="24"/>
      <c r="E395" s="17"/>
      <c r="F395" s="17"/>
      <c r="G395" s="17"/>
      <c r="H395" s="17"/>
      <c r="I395" s="26" t="s">
        <v>209</v>
      </c>
      <c r="J395" s="32"/>
      <c r="K395" s="17"/>
      <c r="L395" s="17"/>
      <c r="M395" s="17"/>
      <c r="N395" s="17"/>
      <c r="O395" s="17"/>
      <c r="P395" s="59" t="s">
        <v>7515</v>
      </c>
      <c r="Q395" s="12"/>
      <c r="R395" s="12"/>
      <c r="S395" s="12"/>
      <c r="T395" s="12"/>
      <c r="U395" s="12"/>
      <c r="V395" s="12"/>
      <c r="Z395" s="12"/>
      <c r="AA395" s="12" t="n">
        <v>5</v>
      </c>
      <c r="AB395" s="12"/>
      <c r="AC395" s="12"/>
      <c r="AD395" s="12"/>
      <c r="AE395" s="12"/>
    </row>
    <row r="396" customFormat="false" ht="15.75" hidden="false" customHeight="false" outlineLevel="0" collapsed="false">
      <c r="A396" s="12" t="str">
        <f aca="false">IF((AA396&gt;=4), "Y", "N")</f>
        <v>Y</v>
      </c>
      <c r="B396" s="74"/>
      <c r="C396" s="26" t="s">
        <v>7903</v>
      </c>
      <c r="D396" s="24"/>
      <c r="E396" s="17"/>
      <c r="F396" s="17"/>
      <c r="G396" s="17"/>
      <c r="H396" s="17"/>
      <c r="I396" s="26" t="s">
        <v>209</v>
      </c>
      <c r="J396" s="32"/>
      <c r="K396" s="17"/>
      <c r="L396" s="17"/>
      <c r="M396" s="17"/>
      <c r="N396" s="17"/>
      <c r="O396" s="17"/>
      <c r="P396" s="59" t="s">
        <v>7515</v>
      </c>
      <c r="Q396" s="12"/>
      <c r="R396" s="12"/>
      <c r="S396" s="12"/>
      <c r="T396" s="12"/>
      <c r="U396" s="12"/>
      <c r="V396" s="12"/>
      <c r="Z396" s="12"/>
      <c r="AA396" s="12" t="n">
        <v>5</v>
      </c>
      <c r="AB396" s="12"/>
      <c r="AC396" s="12"/>
      <c r="AD396" s="12"/>
      <c r="AE396" s="12"/>
    </row>
    <row r="397" customFormat="false" ht="15.75" hidden="false" customHeight="false" outlineLevel="0" collapsed="false">
      <c r="A397" s="12" t="str">
        <f aca="false">IF((AA397&gt;=4), "Y", "N")</f>
        <v>Y</v>
      </c>
      <c r="B397" s="74"/>
      <c r="C397" s="26" t="s">
        <v>7904</v>
      </c>
      <c r="D397" s="24"/>
      <c r="E397" s="17"/>
      <c r="F397" s="17"/>
      <c r="G397" s="17"/>
      <c r="H397" s="17"/>
      <c r="I397" s="26" t="s">
        <v>209</v>
      </c>
      <c r="J397" s="32"/>
      <c r="K397" s="17"/>
      <c r="L397" s="17"/>
      <c r="M397" s="17"/>
      <c r="N397" s="17"/>
      <c r="O397" s="17"/>
      <c r="P397" s="59" t="s">
        <v>7515</v>
      </c>
      <c r="Q397" s="12"/>
      <c r="R397" s="12"/>
      <c r="S397" s="12"/>
      <c r="T397" s="12"/>
      <c r="U397" s="12"/>
      <c r="V397" s="12"/>
      <c r="Z397" s="12"/>
      <c r="AA397" s="12" t="n">
        <v>5</v>
      </c>
      <c r="AB397" s="12"/>
      <c r="AC397" s="12"/>
      <c r="AD397" s="12"/>
      <c r="AE397" s="12"/>
    </row>
    <row r="398" customFormat="false" ht="15.75" hidden="false" customHeight="false" outlineLevel="0" collapsed="false">
      <c r="A398" s="12" t="str">
        <f aca="false">IF((AA398&gt;=4), "Y", "N")</f>
        <v>Y</v>
      </c>
      <c r="B398" s="74"/>
      <c r="C398" s="26" t="s">
        <v>7905</v>
      </c>
      <c r="D398" s="24"/>
      <c r="E398" s="17"/>
      <c r="F398" s="17"/>
      <c r="G398" s="17"/>
      <c r="H398" s="17"/>
      <c r="I398" s="26" t="s">
        <v>209</v>
      </c>
      <c r="J398" s="32"/>
      <c r="K398" s="17"/>
      <c r="L398" s="17"/>
      <c r="M398" s="17"/>
      <c r="N398" s="17"/>
      <c r="O398" s="17"/>
      <c r="P398" s="59" t="s">
        <v>7515</v>
      </c>
      <c r="Q398" s="12"/>
      <c r="R398" s="12"/>
      <c r="S398" s="12"/>
      <c r="T398" s="12"/>
      <c r="U398" s="12"/>
      <c r="V398" s="12"/>
      <c r="Z398" s="12"/>
      <c r="AA398" s="12" t="n">
        <v>5</v>
      </c>
      <c r="AB398" s="12"/>
      <c r="AC398" s="12"/>
      <c r="AD398" s="12"/>
      <c r="AE398" s="12"/>
    </row>
    <row r="399" customFormat="false" ht="15.75" hidden="false" customHeight="false" outlineLevel="0" collapsed="false">
      <c r="A399" s="12" t="str">
        <f aca="false">IF((AA399&gt;=4), "Y", "N")</f>
        <v>Y</v>
      </c>
      <c r="B399" s="74"/>
      <c r="C399" s="26" t="s">
        <v>7906</v>
      </c>
      <c r="D399" s="24"/>
      <c r="E399" s="17"/>
      <c r="F399" s="17"/>
      <c r="G399" s="17"/>
      <c r="H399" s="17"/>
      <c r="I399" s="26" t="s">
        <v>209</v>
      </c>
      <c r="J399" s="32"/>
      <c r="K399" s="17"/>
      <c r="L399" s="17"/>
      <c r="M399" s="17"/>
      <c r="N399" s="17"/>
      <c r="O399" s="17"/>
      <c r="P399" s="59" t="s">
        <v>7515</v>
      </c>
      <c r="Q399" s="12"/>
      <c r="R399" s="12"/>
      <c r="S399" s="12"/>
      <c r="T399" s="12"/>
      <c r="U399" s="12"/>
      <c r="V399" s="12"/>
      <c r="Z399" s="12"/>
      <c r="AA399" s="12" t="n">
        <v>5</v>
      </c>
      <c r="AB399" s="12"/>
      <c r="AC399" s="12"/>
      <c r="AD399" s="12"/>
      <c r="AE399" s="12"/>
    </row>
    <row r="400" customFormat="false" ht="15.75" hidden="false" customHeight="false" outlineLevel="0" collapsed="false">
      <c r="A400" s="12" t="str">
        <f aca="false">IF((AA400&gt;=4), "Y", "N")</f>
        <v>Y</v>
      </c>
      <c r="B400" s="74"/>
      <c r="C400" s="26" t="s">
        <v>7907</v>
      </c>
      <c r="D400" s="24"/>
      <c r="E400" s="17"/>
      <c r="F400" s="17"/>
      <c r="G400" s="17"/>
      <c r="H400" s="17"/>
      <c r="I400" s="26" t="s">
        <v>209</v>
      </c>
      <c r="J400" s="32"/>
      <c r="K400" s="17"/>
      <c r="L400" s="17"/>
      <c r="M400" s="17"/>
      <c r="N400" s="17"/>
      <c r="O400" s="17"/>
      <c r="P400" s="59" t="s">
        <v>7515</v>
      </c>
      <c r="Q400" s="12"/>
      <c r="R400" s="12"/>
      <c r="S400" s="12"/>
      <c r="T400" s="12"/>
      <c r="U400" s="12"/>
      <c r="V400" s="12"/>
      <c r="Z400" s="12"/>
      <c r="AA400" s="12" t="n">
        <v>5</v>
      </c>
      <c r="AB400" s="12"/>
      <c r="AC400" s="12"/>
      <c r="AD400" s="12"/>
      <c r="AE400" s="12"/>
    </row>
    <row r="401" customFormat="false" ht="15.75" hidden="false" customHeight="false" outlineLevel="0" collapsed="false">
      <c r="A401" s="12" t="str">
        <f aca="false">IF((AA401&gt;=4), "Y", "N")</f>
        <v>Y</v>
      </c>
      <c r="B401" s="74"/>
      <c r="C401" s="26" t="s">
        <v>7908</v>
      </c>
      <c r="D401" s="24"/>
      <c r="E401" s="17"/>
      <c r="F401" s="17"/>
      <c r="G401" s="17"/>
      <c r="H401" s="17"/>
      <c r="I401" s="26" t="s">
        <v>209</v>
      </c>
      <c r="J401" s="32"/>
      <c r="K401" s="17"/>
      <c r="L401" s="17"/>
      <c r="M401" s="17"/>
      <c r="N401" s="17"/>
      <c r="O401" s="17"/>
      <c r="P401" s="59" t="s">
        <v>7515</v>
      </c>
      <c r="Q401" s="12"/>
      <c r="R401" s="12"/>
      <c r="S401" s="12"/>
      <c r="T401" s="12"/>
      <c r="U401" s="12"/>
      <c r="V401" s="12"/>
      <c r="Z401" s="12"/>
      <c r="AA401" s="12" t="n">
        <v>5</v>
      </c>
      <c r="AB401" s="12"/>
      <c r="AC401" s="12"/>
      <c r="AD401" s="12"/>
      <c r="AE401" s="12"/>
    </row>
    <row r="402" customFormat="false" ht="15.75" hidden="false" customHeight="false" outlineLevel="0" collapsed="false">
      <c r="A402" s="12" t="str">
        <f aca="false">IF((AA402&gt;=4), "Y", "N")</f>
        <v>Y</v>
      </c>
      <c r="B402" s="74"/>
      <c r="C402" s="26" t="s">
        <v>2804</v>
      </c>
      <c r="D402" s="24"/>
      <c r="E402" s="17"/>
      <c r="F402" s="17"/>
      <c r="G402" s="17"/>
      <c r="H402" s="17"/>
      <c r="I402" s="26" t="s">
        <v>209</v>
      </c>
      <c r="J402" s="32"/>
      <c r="K402" s="17"/>
      <c r="L402" s="17"/>
      <c r="M402" s="17"/>
      <c r="N402" s="17"/>
      <c r="O402" s="17"/>
      <c r="P402" s="59" t="s">
        <v>7515</v>
      </c>
      <c r="Q402" s="12"/>
      <c r="R402" s="12"/>
      <c r="S402" s="12"/>
      <c r="T402" s="12"/>
      <c r="U402" s="12"/>
      <c r="V402" s="12"/>
      <c r="Z402" s="12"/>
      <c r="AA402" s="12" t="n">
        <v>5</v>
      </c>
      <c r="AB402" s="12"/>
      <c r="AC402" s="12"/>
      <c r="AD402" s="12"/>
      <c r="AE402" s="12"/>
    </row>
    <row r="403" customFormat="false" ht="15.75" hidden="false" customHeight="false" outlineLevel="0" collapsed="false">
      <c r="A403" s="12" t="str">
        <f aca="false">IF((AA403&gt;=4), "Y", "N")</f>
        <v>Y</v>
      </c>
      <c r="B403" s="74"/>
      <c r="C403" s="26" t="s">
        <v>7909</v>
      </c>
      <c r="D403" s="24"/>
      <c r="E403" s="17"/>
      <c r="F403" s="17"/>
      <c r="G403" s="17"/>
      <c r="H403" s="17"/>
      <c r="I403" s="26" t="s">
        <v>209</v>
      </c>
      <c r="J403" s="32"/>
      <c r="K403" s="17"/>
      <c r="L403" s="17"/>
      <c r="M403" s="17"/>
      <c r="N403" s="17"/>
      <c r="O403" s="17"/>
      <c r="P403" s="59" t="s">
        <v>7515</v>
      </c>
      <c r="Q403" s="12"/>
      <c r="R403" s="12"/>
      <c r="S403" s="12"/>
      <c r="T403" s="12"/>
      <c r="U403" s="12"/>
      <c r="V403" s="12"/>
      <c r="Z403" s="12"/>
      <c r="AA403" s="12" t="n">
        <v>5</v>
      </c>
      <c r="AB403" s="12"/>
      <c r="AC403" s="12"/>
      <c r="AD403" s="12"/>
      <c r="AE403" s="12"/>
    </row>
    <row r="404" customFormat="false" ht="15.75" hidden="false" customHeight="false" outlineLevel="0" collapsed="false">
      <c r="A404" s="12" t="str">
        <f aca="false">IF((AA404&gt;=4), "Y", "N")</f>
        <v>Y</v>
      </c>
      <c r="B404" s="74"/>
      <c r="C404" s="26" t="s">
        <v>7910</v>
      </c>
      <c r="D404" s="24"/>
      <c r="E404" s="17"/>
      <c r="F404" s="17"/>
      <c r="G404" s="17"/>
      <c r="H404" s="17"/>
      <c r="I404" s="26" t="s">
        <v>209</v>
      </c>
      <c r="J404" s="32"/>
      <c r="K404" s="17"/>
      <c r="L404" s="17"/>
      <c r="M404" s="17"/>
      <c r="N404" s="17"/>
      <c r="O404" s="17"/>
      <c r="P404" s="59" t="s">
        <v>7515</v>
      </c>
      <c r="Q404" s="12"/>
      <c r="R404" s="12"/>
      <c r="S404" s="12"/>
      <c r="T404" s="12"/>
      <c r="U404" s="12"/>
      <c r="V404" s="12"/>
      <c r="Z404" s="12"/>
      <c r="AA404" s="12" t="n">
        <v>5</v>
      </c>
      <c r="AB404" s="12"/>
      <c r="AC404" s="12"/>
      <c r="AD404" s="12"/>
      <c r="AE404" s="12"/>
    </row>
    <row r="405" customFormat="false" ht="15.75" hidden="false" customHeight="false" outlineLevel="0" collapsed="false">
      <c r="A405" s="12" t="str">
        <f aca="false">IF((AA405&gt;=4), "Y", "N")</f>
        <v>Y</v>
      </c>
      <c r="B405" s="74"/>
      <c r="C405" s="125" t="s">
        <v>7911</v>
      </c>
      <c r="D405" s="24"/>
      <c r="E405" s="17"/>
      <c r="F405" s="17"/>
      <c r="G405" s="17"/>
      <c r="H405" s="17"/>
      <c r="I405" s="26" t="s">
        <v>209</v>
      </c>
      <c r="J405" s="32"/>
      <c r="K405" s="17"/>
      <c r="L405" s="17"/>
      <c r="M405" s="17"/>
      <c r="N405" s="17"/>
      <c r="O405" s="17"/>
      <c r="P405" s="59" t="s">
        <v>7515</v>
      </c>
      <c r="Q405" s="12"/>
      <c r="R405" s="12"/>
      <c r="S405" s="12"/>
      <c r="T405" s="12"/>
      <c r="U405" s="12"/>
      <c r="V405" s="12"/>
      <c r="Z405" s="12"/>
      <c r="AA405" s="12" t="n">
        <v>5</v>
      </c>
      <c r="AB405" s="12"/>
      <c r="AC405" s="12"/>
      <c r="AD405" s="12"/>
      <c r="AE405" s="12"/>
    </row>
    <row r="406" customFormat="false" ht="15.75" hidden="false" customHeight="false" outlineLevel="0" collapsed="false">
      <c r="A406" s="12" t="str">
        <f aca="false">IF((AA406&gt;=4), "Y", "N")</f>
        <v>Y</v>
      </c>
      <c r="B406" s="74"/>
      <c r="C406" s="26" t="s">
        <v>7912</v>
      </c>
      <c r="D406" s="24"/>
      <c r="E406" s="17"/>
      <c r="F406" s="17"/>
      <c r="G406" s="17"/>
      <c r="H406" s="17"/>
      <c r="I406" s="26" t="s">
        <v>209</v>
      </c>
      <c r="J406" s="32"/>
      <c r="K406" s="17"/>
      <c r="L406" s="17"/>
      <c r="M406" s="17"/>
      <c r="N406" s="17"/>
      <c r="O406" s="17"/>
      <c r="P406" s="59" t="s">
        <v>7515</v>
      </c>
      <c r="Q406" s="12"/>
      <c r="R406" s="12"/>
      <c r="S406" s="12"/>
      <c r="T406" s="12"/>
      <c r="U406" s="12"/>
      <c r="V406" s="12"/>
      <c r="Z406" s="12"/>
      <c r="AA406" s="12" t="n">
        <v>5</v>
      </c>
      <c r="AB406" s="12"/>
      <c r="AC406" s="12"/>
      <c r="AD406" s="12"/>
      <c r="AE406" s="12"/>
    </row>
    <row r="407" customFormat="false" ht="15.75" hidden="false" customHeight="false" outlineLevel="0" collapsed="false">
      <c r="A407" s="12" t="str">
        <f aca="false">IF((AA407&gt;=4), "Y", "N")</f>
        <v>Y</v>
      </c>
      <c r="B407" s="74"/>
      <c r="C407" s="125" t="s">
        <v>7913</v>
      </c>
      <c r="D407" s="24"/>
      <c r="E407" s="17"/>
      <c r="F407" s="17"/>
      <c r="G407" s="17"/>
      <c r="H407" s="17"/>
      <c r="I407" s="26" t="s">
        <v>209</v>
      </c>
      <c r="J407" s="32"/>
      <c r="K407" s="17"/>
      <c r="L407" s="17"/>
      <c r="M407" s="17"/>
      <c r="N407" s="17"/>
      <c r="O407" s="17"/>
      <c r="P407" s="59" t="s">
        <v>7515</v>
      </c>
      <c r="Q407" s="12"/>
      <c r="R407" s="12"/>
      <c r="S407" s="12"/>
      <c r="T407" s="12"/>
      <c r="U407" s="12"/>
      <c r="V407" s="12"/>
      <c r="Z407" s="12"/>
      <c r="AA407" s="12" t="n">
        <v>5</v>
      </c>
      <c r="AB407" s="12"/>
      <c r="AC407" s="12"/>
      <c r="AD407" s="12"/>
      <c r="AE407" s="12"/>
    </row>
    <row r="408" customFormat="false" ht="15.75" hidden="false" customHeight="false" outlineLevel="0" collapsed="false">
      <c r="A408" s="12" t="str">
        <f aca="false">IF((AA408&gt;=4), "Y", "N")</f>
        <v>Y</v>
      </c>
      <c r="B408" s="74"/>
      <c r="C408" s="26" t="s">
        <v>7914</v>
      </c>
      <c r="D408" s="24"/>
      <c r="E408" s="17"/>
      <c r="F408" s="17"/>
      <c r="G408" s="17"/>
      <c r="H408" s="17"/>
      <c r="I408" s="26" t="s">
        <v>209</v>
      </c>
      <c r="J408" s="32"/>
      <c r="K408" s="17"/>
      <c r="L408" s="17"/>
      <c r="M408" s="17"/>
      <c r="N408" s="17"/>
      <c r="O408" s="17"/>
      <c r="P408" s="59" t="s">
        <v>7515</v>
      </c>
      <c r="Q408" s="12"/>
      <c r="R408" s="12"/>
      <c r="S408" s="12"/>
      <c r="T408" s="12"/>
      <c r="U408" s="12"/>
      <c r="V408" s="12"/>
      <c r="Z408" s="12"/>
      <c r="AA408" s="12" t="n">
        <v>5</v>
      </c>
      <c r="AB408" s="12"/>
      <c r="AC408" s="12"/>
      <c r="AD408" s="12"/>
      <c r="AE408" s="12"/>
    </row>
    <row r="409" customFormat="false" ht="15.75" hidden="false" customHeight="false" outlineLevel="0" collapsed="false">
      <c r="A409" s="12" t="str">
        <f aca="false">IF((AA409&gt;=4), "Y", "N")</f>
        <v>Y</v>
      </c>
      <c r="B409" s="74"/>
      <c r="C409" s="26" t="s">
        <v>7915</v>
      </c>
      <c r="D409" s="24"/>
      <c r="E409" s="17"/>
      <c r="F409" s="17"/>
      <c r="G409" s="17"/>
      <c r="H409" s="17"/>
      <c r="I409" s="26" t="s">
        <v>209</v>
      </c>
      <c r="J409" s="32"/>
      <c r="K409" s="17"/>
      <c r="L409" s="17"/>
      <c r="M409" s="17"/>
      <c r="N409" s="17"/>
      <c r="O409" s="17"/>
      <c r="P409" s="59" t="s">
        <v>7515</v>
      </c>
      <c r="Q409" s="12"/>
      <c r="R409" s="12"/>
      <c r="S409" s="12"/>
      <c r="T409" s="12"/>
      <c r="U409" s="12"/>
      <c r="V409" s="12"/>
      <c r="Z409" s="12"/>
      <c r="AA409" s="12" t="n">
        <v>5</v>
      </c>
      <c r="AB409" s="12"/>
      <c r="AC409" s="12"/>
      <c r="AD409" s="12"/>
      <c r="AE409" s="12"/>
    </row>
    <row r="410" customFormat="false" ht="15.75" hidden="false" customHeight="false" outlineLevel="0" collapsed="false">
      <c r="A410" s="12" t="str">
        <f aca="false">IF((AA410&gt;=4), "Y", "N")</f>
        <v>Y</v>
      </c>
      <c r="B410" s="74"/>
      <c r="C410" s="26" t="s">
        <v>512</v>
      </c>
      <c r="D410" s="24"/>
      <c r="E410" s="17"/>
      <c r="F410" s="17"/>
      <c r="G410" s="17"/>
      <c r="H410" s="17"/>
      <c r="I410" s="26" t="s">
        <v>209</v>
      </c>
      <c r="J410" s="32"/>
      <c r="K410" s="17"/>
      <c r="L410" s="17"/>
      <c r="M410" s="17"/>
      <c r="N410" s="17"/>
      <c r="O410" s="17"/>
      <c r="P410" s="59" t="s">
        <v>7515</v>
      </c>
      <c r="Q410" s="12"/>
      <c r="R410" s="12"/>
      <c r="S410" s="12"/>
      <c r="T410" s="12"/>
      <c r="U410" s="12"/>
      <c r="V410" s="12"/>
      <c r="Z410" s="12"/>
      <c r="AA410" s="12" t="n">
        <v>5</v>
      </c>
      <c r="AB410" s="12"/>
      <c r="AC410" s="12"/>
      <c r="AD410" s="12"/>
      <c r="AE410" s="12"/>
    </row>
    <row r="411" customFormat="false" ht="15.75" hidden="false" customHeight="false" outlineLevel="0" collapsed="false">
      <c r="A411" s="12" t="str">
        <f aca="false">IF((AA411&gt;=4), "Y", "N")</f>
        <v>Y</v>
      </c>
      <c r="B411" s="74"/>
      <c r="C411" s="26" t="s">
        <v>7916</v>
      </c>
      <c r="D411" s="24"/>
      <c r="E411" s="17"/>
      <c r="F411" s="17"/>
      <c r="G411" s="17"/>
      <c r="H411" s="17"/>
      <c r="I411" s="26" t="s">
        <v>209</v>
      </c>
      <c r="J411" s="32"/>
      <c r="K411" s="17"/>
      <c r="L411" s="17"/>
      <c r="M411" s="17"/>
      <c r="N411" s="17"/>
      <c r="O411" s="17"/>
      <c r="P411" s="59" t="s">
        <v>7515</v>
      </c>
      <c r="Q411" s="12"/>
      <c r="R411" s="12"/>
      <c r="S411" s="12"/>
      <c r="T411" s="12"/>
      <c r="U411" s="12"/>
      <c r="V411" s="12"/>
      <c r="Z411" s="12"/>
      <c r="AA411" s="12" t="n">
        <v>5</v>
      </c>
      <c r="AB411" s="12"/>
      <c r="AC411" s="12"/>
      <c r="AD411" s="12"/>
      <c r="AE411" s="12"/>
    </row>
    <row r="412" customFormat="false" ht="15.75" hidden="false" customHeight="false" outlineLevel="0" collapsed="false">
      <c r="A412" s="12" t="str">
        <f aca="false">IF((AA412&gt;=4), "Y", "N")</f>
        <v>Y</v>
      </c>
      <c r="B412" s="74"/>
      <c r="C412" s="26" t="s">
        <v>7917</v>
      </c>
      <c r="D412" s="24"/>
      <c r="E412" s="17"/>
      <c r="F412" s="17"/>
      <c r="G412" s="17"/>
      <c r="H412" s="17"/>
      <c r="I412" s="26" t="s">
        <v>209</v>
      </c>
      <c r="J412" s="32"/>
      <c r="K412" s="17"/>
      <c r="L412" s="17"/>
      <c r="M412" s="17"/>
      <c r="N412" s="17"/>
      <c r="O412" s="17"/>
      <c r="P412" s="59" t="s">
        <v>7515</v>
      </c>
      <c r="Q412" s="12"/>
      <c r="R412" s="12"/>
      <c r="S412" s="12"/>
      <c r="T412" s="12"/>
      <c r="U412" s="12"/>
      <c r="V412" s="12"/>
      <c r="Z412" s="12"/>
      <c r="AA412" s="12" t="n">
        <v>5</v>
      </c>
      <c r="AB412" s="12"/>
      <c r="AC412" s="12"/>
      <c r="AD412" s="12"/>
      <c r="AE412" s="12"/>
    </row>
    <row r="413" customFormat="false" ht="15.75" hidden="false" customHeight="false" outlineLevel="0" collapsed="false">
      <c r="A413" s="12" t="str">
        <f aca="false">IF((AA413&gt;=4), "Y", "N")</f>
        <v>Y</v>
      </c>
      <c r="B413" s="74"/>
      <c r="C413" s="26" t="s">
        <v>7918</v>
      </c>
      <c r="D413" s="24"/>
      <c r="E413" s="17"/>
      <c r="F413" s="17"/>
      <c r="G413" s="17"/>
      <c r="H413" s="17"/>
      <c r="I413" s="26" t="s">
        <v>209</v>
      </c>
      <c r="J413" s="32"/>
      <c r="K413" s="17"/>
      <c r="L413" s="17"/>
      <c r="M413" s="17"/>
      <c r="N413" s="17"/>
      <c r="O413" s="17"/>
      <c r="P413" s="59" t="s">
        <v>7515</v>
      </c>
      <c r="Q413" s="12"/>
      <c r="R413" s="12"/>
      <c r="S413" s="12"/>
      <c r="T413" s="12"/>
      <c r="U413" s="12"/>
      <c r="V413" s="12"/>
      <c r="Z413" s="12"/>
      <c r="AA413" s="12" t="n">
        <v>5</v>
      </c>
      <c r="AB413" s="12"/>
      <c r="AC413" s="12"/>
      <c r="AD413" s="12"/>
      <c r="AE413" s="12"/>
    </row>
    <row r="414" customFormat="false" ht="15.75" hidden="false" customHeight="false" outlineLevel="0" collapsed="false">
      <c r="A414" s="12" t="str">
        <f aca="false">IF((AA414&gt;=4), "Y", "N")</f>
        <v>Y</v>
      </c>
      <c r="B414" s="74"/>
      <c r="C414" s="26" t="s">
        <v>7919</v>
      </c>
      <c r="D414" s="24"/>
      <c r="E414" s="17"/>
      <c r="F414" s="17"/>
      <c r="G414" s="17"/>
      <c r="H414" s="17"/>
      <c r="I414" s="26" t="s">
        <v>209</v>
      </c>
      <c r="J414" s="32"/>
      <c r="K414" s="17"/>
      <c r="L414" s="17"/>
      <c r="M414" s="17"/>
      <c r="N414" s="17"/>
      <c r="O414" s="17"/>
      <c r="P414" s="59" t="s">
        <v>7515</v>
      </c>
      <c r="Q414" s="12"/>
      <c r="R414" s="12"/>
      <c r="S414" s="12"/>
      <c r="T414" s="12"/>
      <c r="U414" s="12"/>
      <c r="V414" s="12"/>
      <c r="Z414" s="12"/>
      <c r="AA414" s="12" t="n">
        <v>5</v>
      </c>
      <c r="AB414" s="12"/>
      <c r="AC414" s="12"/>
      <c r="AD414" s="12"/>
      <c r="AE414" s="12"/>
    </row>
  </sheetData>
  <hyperlinks>
    <hyperlink ref="E2" r:id="rId1" display="http://www.edicionsapeticio.com/"/>
    <hyperlink ref="P2" r:id="rId2" display="datos.gob.es"/>
    <hyperlink ref="P3" r:id="rId3" display="datos.gob.es"/>
    <hyperlink ref="E4" r:id="rId4" display="http://absisspain.com/?lang=en"/>
    <hyperlink ref="P4" r:id="rId5" display="datos.gob.es"/>
    <hyperlink ref="E5" r:id="rId6" display="http://act2lead.es/index.html"/>
    <hyperlink ref="P5" r:id="rId7" display="datos.gob.es"/>
    <hyperlink ref="E6" r:id="rId8" display="http://adhocinvestigacion.com/en/"/>
    <hyperlink ref="P6" r:id="rId9" display="datos.gob.es"/>
    <hyperlink ref="P7" r:id="rId10" display="datos.gob.es"/>
    <hyperlink ref="E8" r:id="rId11" display="http://adginvestigacion.com/"/>
    <hyperlink ref="P8" r:id="rId12" display="datos.gob.es"/>
    <hyperlink ref="E9" r:id="rId13" display="http://www.adimen.es/default.aspx"/>
    <hyperlink ref="P9" r:id="rId14" display="datos.gob.es"/>
    <hyperlink ref="E10" r:id="rId15" display="http://www.adslzone.net/"/>
    <hyperlink ref="P10" r:id="rId16" display="datos.gob.es"/>
    <hyperlink ref="E11" r:id="rId17" display="http://advicestrategicconsultants.com/"/>
    <hyperlink ref="P11" r:id="rId18" display="datos.gob.es"/>
    <hyperlink ref="E12" r:id="rId19" display="http://www.aema.info/"/>
    <hyperlink ref="P12" r:id="rId20" display="datos.gob.es"/>
    <hyperlink ref="P13" r:id="rId21" display="datos.gob.es"/>
    <hyperlink ref="E14" r:id="rId22" display="http://www.agoraestudiosdemercado.com/"/>
    <hyperlink ref="P14" r:id="rId23" display="datos.gob.es"/>
    <hyperlink ref="E15" r:id="rId24" display="http://www.agoranetworks.es/"/>
    <hyperlink ref="P15" r:id="rId25" display="datos.gob.es"/>
    <hyperlink ref="E16" r:id="rId26" display="http://www.ahorreluz.es/index.php"/>
    <hyperlink ref="P16" r:id="rId27" display="datos.gob.es"/>
    <hyperlink ref="P17" r:id="rId28" display="datos.gob.es"/>
    <hyperlink ref="E18" r:id="rId29" display="http://apertia-consulting.com/"/>
    <hyperlink ref="P18" r:id="rId30" display="datos.gob.es"/>
    <hyperlink ref="E19" r:id="rId31" display="http://www.alben.es/"/>
    <hyperlink ref="P19" r:id="rId32" display="datos.gob.es"/>
    <hyperlink ref="E20" r:id="rId33" display="http://www.alimarket.es/home"/>
    <hyperlink ref="P20" r:id="rId34" display="datos.gob.es"/>
    <hyperlink ref="E21" r:id="rId35" display="http://www.almamedia.es/"/>
    <hyperlink ref="P21" r:id="rId36" display="datos.gob.es"/>
    <hyperlink ref="E22" r:id="rId37" display="https://www.appannie.com/apps/ios/publisher/alpred-s.l./ "/>
    <hyperlink ref="P22" r:id="rId38" display="datos.gob.es"/>
    <hyperlink ref="P23" r:id="rId39" display="datos.gob.es"/>
    <hyperlink ref="P24" r:id="rId40" display="datos.gob.es"/>
    <hyperlink ref="P25" r:id="rId41" display="datos.gob.es"/>
    <hyperlink ref="E26" r:id="rId42" display="http://www.ambermarketing.com/"/>
    <hyperlink ref="P26" r:id="rId43" display="datos.gob.es"/>
    <hyperlink ref="E27" r:id="rId44" display="http://www.analisiseinvestigacion.com/ "/>
    <hyperlink ref="P27" r:id="rId45" display="datos.gob.es"/>
    <hyperlink ref="P28" r:id="rId46" display="datos.gob.es"/>
    <hyperlink ref="E29" r:id="rId47" display="http://www.grupoasm.com/"/>
    <hyperlink ref="P29" r:id="rId48" display="datos.gob.es"/>
    <hyperlink ref="E30" r:id="rId49" display="http://www.ines.org.es/node/92"/>
    <hyperlink ref="P30" r:id="rId50" display="datos.gob.es"/>
    <hyperlink ref="E31" r:id="rId51" display="https://www.linkedin.com/company/answare-tech"/>
    <hyperlink ref="P31" r:id="rId52" display="datos.gob.es"/>
    <hyperlink ref="E32" r:id="rId53" display="http://www.av-consultores.com/ "/>
    <hyperlink ref="P32" r:id="rId54" display="datos.gob.es"/>
    <hyperlink ref="P33" r:id="rId55" display="datos.gob.es"/>
    <hyperlink ref="P34" r:id="rId56" display="datos.gob.es"/>
    <hyperlink ref="P35" r:id="rId57" display="datos.gob.es"/>
    <hyperlink ref="P36" r:id="rId58" display="datos.gob.es"/>
    <hyperlink ref="P37" r:id="rId59" display="datos.gob.es"/>
    <hyperlink ref="P38" r:id="rId60" display="datos.gob.es"/>
    <hyperlink ref="P39" r:id="rId61" display="datos.gob.es"/>
    <hyperlink ref="P40" r:id="rId62" display="datos.gob.es"/>
    <hyperlink ref="P41" r:id="rId63" display="datos.gob.es"/>
    <hyperlink ref="P42" r:id="rId64" display="datos.gob.es"/>
    <hyperlink ref="P43" r:id="rId65" display="datos.gob.es"/>
    <hyperlink ref="P44" r:id="rId66" display="datos.gob.es"/>
    <hyperlink ref="P45" r:id="rId67" display="datos.gob.es"/>
    <hyperlink ref="P46" r:id="rId68" display="datos.gob.es"/>
    <hyperlink ref="P47" r:id="rId69" display="datos.gob.es"/>
    <hyperlink ref="P48" r:id="rId70" display="datos.gob.es"/>
    <hyperlink ref="P49" r:id="rId71" display="datos.gob.es"/>
    <hyperlink ref="P50" r:id="rId72" display="datos.gob.es"/>
    <hyperlink ref="P51" r:id="rId73" display="datos.gob.es"/>
    <hyperlink ref="P52" r:id="rId74" display="datos.gob.es"/>
    <hyperlink ref="P53" r:id="rId75" display="datos.gob.es"/>
    <hyperlink ref="P54" r:id="rId76" display="datos.gob.es"/>
    <hyperlink ref="P55" r:id="rId77" display="datos.gob.es"/>
    <hyperlink ref="P56" r:id="rId78" display="datos.gob.es"/>
    <hyperlink ref="P57" r:id="rId79" display="datos.gob.es"/>
    <hyperlink ref="P58" r:id="rId80" display="datos.gob.es"/>
    <hyperlink ref="P59" r:id="rId81" display="datos.gob.es"/>
    <hyperlink ref="P60" r:id="rId82" display="datos.gob.es"/>
    <hyperlink ref="P61" r:id="rId83" display="datos.gob.es"/>
    <hyperlink ref="P62" r:id="rId84" display="datos.gob.es"/>
    <hyperlink ref="P63" r:id="rId85" display="datos.gob.es"/>
    <hyperlink ref="P64" r:id="rId86" display="datos.gob.es"/>
    <hyperlink ref="P65" r:id="rId87" display="datos.gob.es"/>
    <hyperlink ref="P66" r:id="rId88" display="datos.gob.es"/>
    <hyperlink ref="P67" r:id="rId89" display="datos.gob.es"/>
    <hyperlink ref="P68" r:id="rId90" display="datos.gob.es"/>
    <hyperlink ref="P69" r:id="rId91" display="datos.gob.es"/>
    <hyperlink ref="P70" r:id="rId92" display="datos.gob.es"/>
    <hyperlink ref="P71" r:id="rId93" display="datos.gob.es"/>
    <hyperlink ref="P72" r:id="rId94" display="datos.gob.es"/>
    <hyperlink ref="P73" r:id="rId95" display="datos.gob.es"/>
    <hyperlink ref="P74" r:id="rId96" display="datos.gob.es"/>
    <hyperlink ref="P75" r:id="rId97" display="datos.gob.es"/>
    <hyperlink ref="P76" r:id="rId98" display="datos.gob.es"/>
    <hyperlink ref="P77" r:id="rId99" display="datos.gob.es"/>
    <hyperlink ref="P78" r:id="rId100" display="datos.gob.es"/>
    <hyperlink ref="P79" r:id="rId101" display="datos.gob.es"/>
    <hyperlink ref="P80" r:id="rId102" display="datos.gob.es"/>
    <hyperlink ref="P81" r:id="rId103" display="datos.gob.es"/>
    <hyperlink ref="P82" r:id="rId104" display="datos.gob.es"/>
    <hyperlink ref="P83" r:id="rId105" display="datos.gob.es"/>
    <hyperlink ref="P84" r:id="rId106" display="datos.gob.es"/>
    <hyperlink ref="P85" r:id="rId107" display="datos.gob.es"/>
    <hyperlink ref="P86" r:id="rId108" display="datos.gob.es"/>
    <hyperlink ref="P87" r:id="rId109" display="datos.gob.es"/>
    <hyperlink ref="P88" r:id="rId110" display="datos.gob.es"/>
    <hyperlink ref="P89" r:id="rId111" display="datos.gob.es"/>
    <hyperlink ref="P90" r:id="rId112" display="datos.gob.es"/>
    <hyperlink ref="P91" r:id="rId113" display="datos.gob.es"/>
    <hyperlink ref="P92" r:id="rId114" display="datos.gob.es"/>
    <hyperlink ref="P93" r:id="rId115" display="datos.gob.es"/>
    <hyperlink ref="P94" r:id="rId116" display="datos.gob.es"/>
    <hyperlink ref="P95" r:id="rId117" display="datos.gob.es"/>
    <hyperlink ref="P96" r:id="rId118" display="datos.gob.es"/>
    <hyperlink ref="P97" r:id="rId119" display="datos.gob.es"/>
    <hyperlink ref="P98" r:id="rId120" display="datos.gob.es"/>
    <hyperlink ref="P99" r:id="rId121" display="datos.gob.es"/>
    <hyperlink ref="P100" r:id="rId122" display="datos.gob.es"/>
    <hyperlink ref="P101" r:id="rId123" display="datos.gob.es"/>
    <hyperlink ref="P102" r:id="rId124" display="datos.gob.es"/>
    <hyperlink ref="P103" r:id="rId125" display="datos.gob.es"/>
    <hyperlink ref="P104" r:id="rId126" display="datos.gob.es"/>
    <hyperlink ref="P105" r:id="rId127" display="datos.gob.es"/>
    <hyperlink ref="P106" r:id="rId128" display="datos.gob.es"/>
    <hyperlink ref="P107" r:id="rId129" display="datos.gob.es"/>
    <hyperlink ref="P108" r:id="rId130" display="datos.gob.es"/>
    <hyperlink ref="P109" r:id="rId131" display="datos.gob.es"/>
    <hyperlink ref="P110" r:id="rId132" display="datos.gob.es"/>
    <hyperlink ref="P111" r:id="rId133" display="datos.gob.es"/>
    <hyperlink ref="P112" r:id="rId134" display="datos.gob.es"/>
    <hyperlink ref="P113" r:id="rId135" display="datos.gob.es"/>
    <hyperlink ref="P114" r:id="rId136" display="datos.gob.es"/>
    <hyperlink ref="P115" r:id="rId137" display="datos.gob.es"/>
    <hyperlink ref="P116" r:id="rId138" display="datos.gob.es"/>
    <hyperlink ref="P117" r:id="rId139" display="datos.gob.es"/>
    <hyperlink ref="P118" r:id="rId140" display="datos.gob.es"/>
    <hyperlink ref="P119" r:id="rId141" display="datos.gob.es"/>
    <hyperlink ref="P120" r:id="rId142" display="datos.gob.es"/>
    <hyperlink ref="P121" r:id="rId143" display="datos.gob.es"/>
    <hyperlink ref="P122" r:id="rId144" display="datos.gob.es"/>
    <hyperlink ref="P123" r:id="rId145" display="datos.gob.es"/>
    <hyperlink ref="P124" r:id="rId146" display="datos.gob.es"/>
    <hyperlink ref="P125" r:id="rId147" display="datos.gob.es"/>
    <hyperlink ref="P126" r:id="rId148" display="datos.gob.es"/>
    <hyperlink ref="P127" r:id="rId149" display="datos.gob.es"/>
    <hyperlink ref="P128" r:id="rId150" display="datos.gob.es"/>
    <hyperlink ref="P129" r:id="rId151" display="datos.gob.es"/>
    <hyperlink ref="P130" r:id="rId152" display="datos.gob.es"/>
    <hyperlink ref="P131" r:id="rId153" display="datos.gob.es"/>
    <hyperlink ref="P132" r:id="rId154" display="datos.gob.es"/>
    <hyperlink ref="P133" r:id="rId155" display="datos.gob.es"/>
    <hyperlink ref="P134" r:id="rId156" display="datos.gob.es"/>
    <hyperlink ref="P135" r:id="rId157" display="datos.gob.es"/>
    <hyperlink ref="P136" r:id="rId158" display="datos.gob.es"/>
    <hyperlink ref="P137" r:id="rId159" display="datos.gob.es"/>
    <hyperlink ref="P138" r:id="rId160" display="datos.gob.es"/>
    <hyperlink ref="P139" r:id="rId161" display="datos.gob.es"/>
    <hyperlink ref="P140" r:id="rId162" display="datos.gob.es"/>
    <hyperlink ref="P141" r:id="rId163" display="datos.gob.es"/>
    <hyperlink ref="P142" r:id="rId164" display="datos.gob.es"/>
    <hyperlink ref="P143" r:id="rId165" display="datos.gob.es"/>
    <hyperlink ref="P144" r:id="rId166" display="datos.gob.es"/>
    <hyperlink ref="P145" r:id="rId167" display="datos.gob.es"/>
    <hyperlink ref="P146" r:id="rId168" display="datos.gob.es"/>
    <hyperlink ref="P147" r:id="rId169" display="datos.gob.es"/>
    <hyperlink ref="P148" r:id="rId170" display="datos.gob.es"/>
    <hyperlink ref="P149" r:id="rId171" display="datos.gob.es"/>
    <hyperlink ref="P150" r:id="rId172" display="datos.gob.es"/>
    <hyperlink ref="P151" r:id="rId173" display="datos.gob.es"/>
    <hyperlink ref="P152" r:id="rId174" display="datos.gob.es"/>
    <hyperlink ref="P153" r:id="rId175" display="datos.gob.es"/>
    <hyperlink ref="P154" r:id="rId176" display="datos.gob.es"/>
    <hyperlink ref="P155" r:id="rId177" display="datos.gob.es"/>
    <hyperlink ref="P156" r:id="rId178" display="datos.gob.es"/>
    <hyperlink ref="P157" r:id="rId179" display="datos.gob.es"/>
    <hyperlink ref="P158" r:id="rId180" display="datos.gob.es"/>
    <hyperlink ref="P159" r:id="rId181" display="datos.gob.es"/>
    <hyperlink ref="P160" r:id="rId182" display="datos.gob.es"/>
    <hyperlink ref="P161" r:id="rId183" display="datos.gob.es"/>
    <hyperlink ref="P162" r:id="rId184" display="datos.gob.es"/>
    <hyperlink ref="P163" r:id="rId185" display="datos.gob.es"/>
    <hyperlink ref="P164" r:id="rId186" display="datos.gob.es"/>
    <hyperlink ref="P165" r:id="rId187" display="datos.gob.es"/>
    <hyperlink ref="P166" r:id="rId188" display="datos.gob.es"/>
    <hyperlink ref="P167" r:id="rId189" display="datos.gob.es"/>
    <hyperlink ref="P168" r:id="rId190" display="datos.gob.es"/>
    <hyperlink ref="P169" r:id="rId191" display="datos.gob.es"/>
    <hyperlink ref="P170" r:id="rId192" display="datos.gob.es"/>
    <hyperlink ref="P171" r:id="rId193" display="datos.gob.es"/>
    <hyperlink ref="P172" r:id="rId194" display="datos.gob.es"/>
    <hyperlink ref="P173" r:id="rId195" display="datos.gob.es"/>
    <hyperlink ref="P174" r:id="rId196" display="datos.gob.es"/>
    <hyperlink ref="P175" r:id="rId197" display="datos.gob.es"/>
    <hyperlink ref="P176" r:id="rId198" display="datos.gob.es"/>
    <hyperlink ref="P177" r:id="rId199" display="datos.gob.es"/>
    <hyperlink ref="P178" r:id="rId200" display="datos.gob.es"/>
    <hyperlink ref="P179" r:id="rId201" display="datos.gob.es"/>
    <hyperlink ref="P180" r:id="rId202" display="datos.gob.es"/>
    <hyperlink ref="P181" r:id="rId203" display="datos.gob.es"/>
    <hyperlink ref="P182" r:id="rId204" display="datos.gob.es"/>
    <hyperlink ref="P183" r:id="rId205" display="datos.gob.es"/>
    <hyperlink ref="P184" r:id="rId206" display="datos.gob.es"/>
    <hyperlink ref="P185" r:id="rId207" display="datos.gob.es"/>
    <hyperlink ref="P186" r:id="rId208" display="datos.gob.es"/>
    <hyperlink ref="P187" r:id="rId209" display="datos.gob.es"/>
    <hyperlink ref="P188" r:id="rId210" display="datos.gob.es"/>
    <hyperlink ref="P189" r:id="rId211" display="datos.gob.es"/>
    <hyperlink ref="P190" r:id="rId212" display="datos.gob.es"/>
    <hyperlink ref="P191" r:id="rId213" display="datos.gob.es"/>
    <hyperlink ref="P192" r:id="rId214" display="datos.gob.es"/>
    <hyperlink ref="P193" r:id="rId215" display="datos.gob.es"/>
    <hyperlink ref="P194" r:id="rId216" display="datos.gob.es"/>
    <hyperlink ref="P195" r:id="rId217" display="datos.gob.es"/>
    <hyperlink ref="P196" r:id="rId218" display="datos.gob.es"/>
    <hyperlink ref="P197" r:id="rId219" display="datos.gob.es"/>
    <hyperlink ref="P198" r:id="rId220" display="datos.gob.es"/>
    <hyperlink ref="P199" r:id="rId221" display="datos.gob.es"/>
    <hyperlink ref="P200" r:id="rId222" display="datos.gob.es"/>
    <hyperlink ref="P201" r:id="rId223" display="datos.gob.es"/>
    <hyperlink ref="P202" r:id="rId224" display="datos.gob.es"/>
    <hyperlink ref="P203" r:id="rId225" display="datos.gob.es"/>
    <hyperlink ref="P204" r:id="rId226" display="datos.gob.es"/>
    <hyperlink ref="P205" r:id="rId227" display="datos.gob.es"/>
    <hyperlink ref="P206" r:id="rId228" display="datos.gob.es"/>
    <hyperlink ref="P207" r:id="rId229" display="datos.gob.es"/>
    <hyperlink ref="P208" r:id="rId230" display="datos.gob.es"/>
    <hyperlink ref="P209" r:id="rId231" display="datos.gob.es"/>
    <hyperlink ref="P210" r:id="rId232" display="datos.gob.es"/>
    <hyperlink ref="P211" r:id="rId233" display="datos.gob.es"/>
    <hyperlink ref="P212" r:id="rId234" display="datos.gob.es"/>
    <hyperlink ref="P213" r:id="rId235" display="datos.gob.es"/>
    <hyperlink ref="P214" r:id="rId236" display="datos.gob.es"/>
    <hyperlink ref="P215" r:id="rId237" display="datos.gob.es"/>
    <hyperlink ref="P216" r:id="rId238" display="datos.gob.es"/>
    <hyperlink ref="P217" r:id="rId239" display="datos.gob.es"/>
    <hyperlink ref="P218" r:id="rId240" display="datos.gob.es"/>
    <hyperlink ref="P219" r:id="rId241" display="datos.gob.es"/>
    <hyperlink ref="P220" r:id="rId242" display="datos.gob.es"/>
    <hyperlink ref="P221" r:id="rId243" display="datos.gob.es"/>
    <hyperlink ref="P222" r:id="rId244" display="datos.gob.es"/>
    <hyperlink ref="P223" r:id="rId245" display="datos.gob.es"/>
    <hyperlink ref="P224" r:id="rId246" display="datos.gob.es"/>
    <hyperlink ref="P225" r:id="rId247" display="datos.gob.es"/>
    <hyperlink ref="P226" r:id="rId248" display="datos.gob.es"/>
    <hyperlink ref="P227" r:id="rId249" display="datos.gob.es"/>
    <hyperlink ref="P228" r:id="rId250" display="datos.gob.es"/>
    <hyperlink ref="P229" r:id="rId251" display="datos.gob.es"/>
    <hyperlink ref="P230" r:id="rId252" display="datos.gob.es"/>
    <hyperlink ref="P231" r:id="rId253" display="datos.gob.es"/>
    <hyperlink ref="P232" r:id="rId254" display="datos.gob.es"/>
    <hyperlink ref="P233" r:id="rId255" display="datos.gob.es"/>
    <hyperlink ref="P234" r:id="rId256" display="datos.gob.es"/>
    <hyperlink ref="P235" r:id="rId257" display="datos.gob.es"/>
    <hyperlink ref="P236" r:id="rId258" display="datos.gob.es"/>
    <hyperlink ref="P237" r:id="rId259" display="datos.gob.es"/>
    <hyperlink ref="P238" r:id="rId260" display="datos.gob.es"/>
    <hyperlink ref="P239" r:id="rId261" display="datos.gob.es"/>
    <hyperlink ref="P240" r:id="rId262" display="datos.gob.es"/>
    <hyperlink ref="P241" r:id="rId263" display="datos.gob.es"/>
    <hyperlink ref="P242" r:id="rId264" display="datos.gob.es"/>
    <hyperlink ref="P243" r:id="rId265" display="datos.gob.es"/>
    <hyperlink ref="P244" r:id="rId266" display="datos.gob.es"/>
    <hyperlink ref="P245" r:id="rId267" display="datos.gob.es"/>
    <hyperlink ref="P246" r:id="rId268" display="datos.gob.es"/>
    <hyperlink ref="P247" r:id="rId269" display="datos.gob.es"/>
    <hyperlink ref="P248" r:id="rId270" display="datos.gob.es"/>
    <hyperlink ref="P249" r:id="rId271" display="datos.gob.es"/>
    <hyperlink ref="P250" r:id="rId272" display="datos.gob.es"/>
    <hyperlink ref="P251" r:id="rId273" display="datos.gob.es"/>
    <hyperlink ref="P252" r:id="rId274" display="datos.gob.es"/>
    <hyperlink ref="P253" r:id="rId275" display="datos.gob.es"/>
    <hyperlink ref="P254" r:id="rId276" display="datos.gob.es"/>
    <hyperlink ref="P255" r:id="rId277" display="datos.gob.es"/>
    <hyperlink ref="P256" r:id="rId278" display="datos.gob.es"/>
    <hyperlink ref="P257" r:id="rId279" display="datos.gob.es"/>
    <hyperlink ref="P258" r:id="rId280" display="datos.gob.es"/>
    <hyperlink ref="P259" r:id="rId281" display="datos.gob.es"/>
    <hyperlink ref="P260" r:id="rId282" display="datos.gob.es"/>
    <hyperlink ref="P261" r:id="rId283" display="datos.gob.es"/>
    <hyperlink ref="P262" r:id="rId284" display="datos.gob.es"/>
    <hyperlink ref="P263" r:id="rId285" display="datos.gob.es"/>
    <hyperlink ref="P264" r:id="rId286" display="datos.gob.es"/>
    <hyperlink ref="P265" r:id="rId287" display="datos.gob.es"/>
    <hyperlink ref="P266" r:id="rId288" display="datos.gob.es"/>
    <hyperlink ref="P267" r:id="rId289" display="datos.gob.es"/>
    <hyperlink ref="P268" r:id="rId290" display="datos.gob.es"/>
    <hyperlink ref="P269" r:id="rId291" display="datos.gob.es"/>
    <hyperlink ref="P270" r:id="rId292" display="datos.gob.es"/>
    <hyperlink ref="P271" r:id="rId293" display="datos.gob.es"/>
    <hyperlink ref="P272" r:id="rId294" display="datos.gob.es"/>
    <hyperlink ref="P273" r:id="rId295" display="datos.gob.es"/>
    <hyperlink ref="P274" r:id="rId296" display="datos.gob.es"/>
    <hyperlink ref="P275" r:id="rId297" display="datos.gob.es"/>
    <hyperlink ref="P276" r:id="rId298" display="datos.gob.es"/>
    <hyperlink ref="P277" r:id="rId299" display="datos.gob.es"/>
    <hyperlink ref="P278" r:id="rId300" display="datos.gob.es"/>
    <hyperlink ref="P279" r:id="rId301" display="datos.gob.es"/>
    <hyperlink ref="P280" r:id="rId302" display="datos.gob.es"/>
    <hyperlink ref="P281" r:id="rId303" display="datos.gob.es"/>
    <hyperlink ref="P282" r:id="rId304" display="datos.gob.es"/>
    <hyperlink ref="P283" r:id="rId305" display="datos.gob.es"/>
    <hyperlink ref="P284" r:id="rId306" display="datos.gob.es"/>
    <hyperlink ref="P285" r:id="rId307" display="datos.gob.es"/>
    <hyperlink ref="P286" r:id="rId308" display="datos.gob.es"/>
    <hyperlink ref="P287" r:id="rId309" display="datos.gob.es"/>
    <hyperlink ref="P288" r:id="rId310" display="datos.gob.es"/>
    <hyperlink ref="P289" r:id="rId311" display="datos.gob.es"/>
    <hyperlink ref="P290" r:id="rId312" display="datos.gob.es"/>
    <hyperlink ref="P291" r:id="rId313" display="datos.gob.es"/>
    <hyperlink ref="P292" r:id="rId314" display="datos.gob.es"/>
    <hyperlink ref="P293" r:id="rId315" display="datos.gob.es"/>
    <hyperlink ref="P294" r:id="rId316" display="datos.gob.es"/>
    <hyperlink ref="P295" r:id="rId317" display="datos.gob.es"/>
    <hyperlink ref="P296" r:id="rId318" display="datos.gob.es"/>
    <hyperlink ref="P297" r:id="rId319" display="datos.gob.es"/>
    <hyperlink ref="P298" r:id="rId320" display="datos.gob.es"/>
    <hyperlink ref="P299" r:id="rId321" display="datos.gob.es"/>
    <hyperlink ref="P300" r:id="rId322" display="datos.gob.es"/>
    <hyperlink ref="P301" r:id="rId323" display="datos.gob.es"/>
    <hyperlink ref="P302" r:id="rId324" display="datos.gob.es"/>
    <hyperlink ref="P303" r:id="rId325" display="datos.gob.es"/>
    <hyperlink ref="P304" r:id="rId326" display="datos.gob.es"/>
    <hyperlink ref="P305" r:id="rId327" display="datos.gob.es"/>
    <hyperlink ref="P306" r:id="rId328" display="datos.gob.es"/>
    <hyperlink ref="P307" r:id="rId329" display="datos.gob.es"/>
    <hyperlink ref="P308" r:id="rId330" display="datos.gob.es"/>
    <hyperlink ref="P309" r:id="rId331" display="datos.gob.es"/>
    <hyperlink ref="P310" r:id="rId332" display="datos.gob.es"/>
    <hyperlink ref="P311" r:id="rId333" display="datos.gob.es"/>
    <hyperlink ref="P312" r:id="rId334" display="datos.gob.es"/>
    <hyperlink ref="P313" r:id="rId335" display="datos.gob.es"/>
    <hyperlink ref="P314" r:id="rId336" display="datos.gob.es"/>
    <hyperlink ref="P315" r:id="rId337" display="datos.gob.es"/>
    <hyperlink ref="P316" r:id="rId338" display="datos.gob.es"/>
    <hyperlink ref="P317" r:id="rId339" display="datos.gob.es"/>
    <hyperlink ref="P318" r:id="rId340" display="datos.gob.es"/>
    <hyperlink ref="P319" r:id="rId341" display="datos.gob.es"/>
    <hyperlink ref="P320" r:id="rId342" display="datos.gob.es"/>
    <hyperlink ref="P321" r:id="rId343" display="datos.gob.es"/>
    <hyperlink ref="P322" r:id="rId344" display="datos.gob.es"/>
    <hyperlink ref="P323" r:id="rId345" display="datos.gob.es"/>
    <hyperlink ref="P324" r:id="rId346" display="datos.gob.es"/>
    <hyperlink ref="P325" r:id="rId347" display="datos.gob.es"/>
    <hyperlink ref="P326" r:id="rId348" display="datos.gob.es"/>
    <hyperlink ref="P327" r:id="rId349" display="datos.gob.es"/>
    <hyperlink ref="P328" r:id="rId350" display="datos.gob.es"/>
    <hyperlink ref="P329" r:id="rId351" display="datos.gob.es"/>
    <hyperlink ref="P330" r:id="rId352" display="datos.gob.es"/>
    <hyperlink ref="P331" r:id="rId353" display="datos.gob.es"/>
    <hyperlink ref="P332" r:id="rId354" display="datos.gob.es"/>
    <hyperlink ref="P333" r:id="rId355" display="datos.gob.es"/>
    <hyperlink ref="P334" r:id="rId356" display="datos.gob.es"/>
    <hyperlink ref="P335" r:id="rId357" display="datos.gob.es"/>
    <hyperlink ref="P336" r:id="rId358" display="datos.gob.es"/>
    <hyperlink ref="P337" r:id="rId359" display="datos.gob.es"/>
    <hyperlink ref="P338" r:id="rId360" display="datos.gob.es"/>
    <hyperlink ref="P339" r:id="rId361" display="datos.gob.es"/>
    <hyperlink ref="P340" r:id="rId362" display="datos.gob.es"/>
    <hyperlink ref="P341" r:id="rId363" display="datos.gob.es"/>
    <hyperlink ref="P342" r:id="rId364" display="datos.gob.es"/>
    <hyperlink ref="P343" r:id="rId365" display="datos.gob.es"/>
    <hyperlink ref="P344" r:id="rId366" display="datos.gob.es"/>
    <hyperlink ref="P345" r:id="rId367" display="datos.gob.es"/>
    <hyperlink ref="P346" r:id="rId368" display="datos.gob.es"/>
    <hyperlink ref="P347" r:id="rId369" display="datos.gob.es"/>
    <hyperlink ref="P348" r:id="rId370" display="datos.gob.es"/>
    <hyperlink ref="P349" r:id="rId371" display="datos.gob.es"/>
    <hyperlink ref="P350" r:id="rId372" display="datos.gob.es"/>
    <hyperlink ref="P351" r:id="rId373" display="datos.gob.es"/>
    <hyperlink ref="P352" r:id="rId374" display="datos.gob.es"/>
    <hyperlink ref="P353" r:id="rId375" display="datos.gob.es"/>
    <hyperlink ref="P354" r:id="rId376" display="datos.gob.es"/>
    <hyperlink ref="P355" r:id="rId377" display="datos.gob.es"/>
    <hyperlink ref="P356" r:id="rId378" display="datos.gob.es"/>
    <hyperlink ref="P357" r:id="rId379" display="datos.gob.es"/>
    <hyperlink ref="P358" r:id="rId380" display="datos.gob.es"/>
    <hyperlink ref="P359" r:id="rId381" display="datos.gob.es"/>
    <hyperlink ref="P360" r:id="rId382" display="datos.gob.es"/>
    <hyperlink ref="P361" r:id="rId383" display="datos.gob.es"/>
    <hyperlink ref="P362" r:id="rId384" display="datos.gob.es"/>
    <hyperlink ref="P363" r:id="rId385" display="datos.gob.es"/>
    <hyperlink ref="P364" r:id="rId386" display="datos.gob.es"/>
    <hyperlink ref="P365" r:id="rId387" display="datos.gob.es"/>
    <hyperlink ref="P366" r:id="rId388" display="datos.gob.es"/>
    <hyperlink ref="P367" r:id="rId389" display="datos.gob.es"/>
    <hyperlink ref="P368" r:id="rId390" display="datos.gob.es"/>
    <hyperlink ref="P369" r:id="rId391" display="datos.gob.es"/>
    <hyperlink ref="P370" r:id="rId392" display="datos.gob.es"/>
    <hyperlink ref="P371" r:id="rId393" display="datos.gob.es"/>
    <hyperlink ref="P372" r:id="rId394" display="datos.gob.es"/>
    <hyperlink ref="P373" r:id="rId395" display="datos.gob.es"/>
    <hyperlink ref="P374" r:id="rId396" display="datos.gob.es"/>
    <hyperlink ref="P375" r:id="rId397" display="datos.gob.es"/>
    <hyperlink ref="P376" r:id="rId398" display="datos.gob.es"/>
    <hyperlink ref="P377" r:id="rId399" display="datos.gob.es"/>
    <hyperlink ref="P378" r:id="rId400" display="datos.gob.es"/>
    <hyperlink ref="P379" r:id="rId401" display="datos.gob.es"/>
    <hyperlink ref="P380" r:id="rId402" display="datos.gob.es"/>
    <hyperlink ref="P381" r:id="rId403" display="datos.gob.es"/>
    <hyperlink ref="P382" r:id="rId404" display="datos.gob.es"/>
    <hyperlink ref="P383" r:id="rId405" display="datos.gob.es"/>
    <hyperlink ref="P384" r:id="rId406" display="datos.gob.es"/>
    <hyperlink ref="P385" r:id="rId407" display="datos.gob.es"/>
    <hyperlink ref="P386" r:id="rId408" display="datos.gob.es"/>
    <hyperlink ref="P387" r:id="rId409" display="datos.gob.es"/>
    <hyperlink ref="P388" r:id="rId410" display="datos.gob.es"/>
    <hyperlink ref="P389" r:id="rId411" display="datos.gob.es"/>
    <hyperlink ref="P390" r:id="rId412" display="datos.gob.es"/>
    <hyperlink ref="P391" r:id="rId413" display="datos.gob.es"/>
    <hyperlink ref="P392" r:id="rId414" display="datos.gob.es"/>
    <hyperlink ref="P393" r:id="rId415" display="datos.gob.es"/>
    <hyperlink ref="P394" r:id="rId416" display="datos.gob.es"/>
    <hyperlink ref="P395" r:id="rId417" display="datos.gob.es"/>
    <hyperlink ref="P396" r:id="rId418" display="datos.gob.es"/>
    <hyperlink ref="P397" r:id="rId419" display="datos.gob.es"/>
    <hyperlink ref="P398" r:id="rId420" display="datos.gob.es"/>
    <hyperlink ref="P399" r:id="rId421" display="datos.gob.es"/>
    <hyperlink ref="P400" r:id="rId422" display="datos.gob.es"/>
    <hyperlink ref="P401" r:id="rId423" display="datos.gob.es"/>
    <hyperlink ref="P402" r:id="rId424" display="datos.gob.es"/>
    <hyperlink ref="P403" r:id="rId425" display="datos.gob.es"/>
    <hyperlink ref="P404" r:id="rId426" display="datos.gob.es"/>
    <hyperlink ref="P405" r:id="rId427" display="datos.gob.es"/>
    <hyperlink ref="P406" r:id="rId428" display="datos.gob.es"/>
    <hyperlink ref="P407" r:id="rId429" display="datos.gob.es"/>
    <hyperlink ref="P408" r:id="rId430" display="datos.gob.es"/>
    <hyperlink ref="P409" r:id="rId431" display="datos.gob.es"/>
    <hyperlink ref="P410" r:id="rId432" display="datos.gob.es"/>
    <hyperlink ref="P411" r:id="rId433" display="datos.gob.es"/>
    <hyperlink ref="P412" r:id="rId434" display="datos.gob.es"/>
    <hyperlink ref="P413" r:id="rId435" display="datos.gob.es"/>
    <hyperlink ref="P414" r:id="rId436" display="datos.gob.e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X25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cols>
    <col collapsed="false" hidden="false" max="1" min="1" style="0" width="19.9948979591837"/>
    <col collapsed="false" hidden="false" max="3" min="2" style="0" width="25.7091836734694"/>
    <col collapsed="false" hidden="false" max="5" min="4" style="0" width="23.1377551020408"/>
    <col collapsed="false" hidden="false" max="6" min="6" style="0" width="18.7091836734694"/>
    <col collapsed="false" hidden="false" max="7" min="7" style="0" width="16.7142857142857"/>
    <col collapsed="false" hidden="false" max="1025" min="8" style="0" width="14.4285714285714"/>
  </cols>
  <sheetData>
    <row r="1" customFormat="false" ht="15.75" hidden="false" customHeight="false" outlineLevel="0" collapsed="false">
      <c r="A1" s="129" t="s">
        <v>8294</v>
      </c>
      <c r="B1" s="130" t="s">
        <v>8295</v>
      </c>
      <c r="C1" s="130" t="s">
        <v>8296</v>
      </c>
      <c r="D1" s="131" t="s">
        <v>8297</v>
      </c>
      <c r="E1" s="131" t="s">
        <v>8298</v>
      </c>
      <c r="F1" s="131" t="s">
        <v>8299</v>
      </c>
      <c r="G1" s="131" t="s">
        <v>8300</v>
      </c>
      <c r="H1" s="131" t="s">
        <v>8301</v>
      </c>
      <c r="I1" s="132"/>
      <c r="J1" s="132"/>
      <c r="K1" s="132"/>
      <c r="L1" s="132"/>
      <c r="M1" s="132"/>
      <c r="N1" s="132"/>
      <c r="O1" s="132"/>
      <c r="P1" s="132"/>
      <c r="Q1" s="132"/>
      <c r="R1" s="132"/>
      <c r="S1" s="132"/>
      <c r="T1" s="132"/>
      <c r="U1" s="132"/>
      <c r="V1" s="132"/>
      <c r="W1" s="132"/>
      <c r="X1" s="132"/>
    </row>
    <row r="2" customFormat="false" ht="15.75" hidden="false" customHeight="false" outlineLevel="0" collapsed="false">
      <c r="A2" s="26" t="s">
        <v>8302</v>
      </c>
      <c r="B2" s="26" t="s">
        <v>8303</v>
      </c>
      <c r="C2" s="26" t="s">
        <v>8303</v>
      </c>
      <c r="D2" s="26" t="s">
        <v>8304</v>
      </c>
      <c r="E2" s="26" t="s">
        <v>8305</v>
      </c>
      <c r="F2" s="26" t="s">
        <v>1272</v>
      </c>
      <c r="G2" s="26" t="s">
        <v>8306</v>
      </c>
      <c r="H2" s="26" t="s">
        <v>8307</v>
      </c>
      <c r="I2" s="133"/>
      <c r="J2" s="133"/>
      <c r="K2" s="133"/>
      <c r="L2" s="133"/>
      <c r="M2" s="133"/>
      <c r="N2" s="133"/>
      <c r="O2" s="133"/>
      <c r="P2" s="133"/>
      <c r="Q2" s="133"/>
      <c r="R2" s="133"/>
      <c r="S2" s="133"/>
      <c r="T2" s="133"/>
      <c r="U2" s="133"/>
      <c r="V2" s="133"/>
      <c r="W2" s="133"/>
      <c r="X2" s="133"/>
    </row>
    <row r="3" customFormat="false" ht="15.75" hidden="false" customHeight="false" outlineLevel="0" collapsed="false">
      <c r="A3" s="26" t="s">
        <v>8308</v>
      </c>
      <c r="B3" s="26" t="s">
        <v>8309</v>
      </c>
      <c r="C3" s="26" t="s">
        <v>478</v>
      </c>
      <c r="D3" s="26" t="s">
        <v>478</v>
      </c>
      <c r="E3" s="26" t="s">
        <v>478</v>
      </c>
      <c r="F3" s="26" t="s">
        <v>478</v>
      </c>
      <c r="G3" s="26" t="s">
        <v>478</v>
      </c>
      <c r="H3" s="26" t="s">
        <v>478</v>
      </c>
      <c r="I3" s="133"/>
      <c r="J3" s="133"/>
      <c r="K3" s="133"/>
      <c r="L3" s="133"/>
      <c r="M3" s="133"/>
      <c r="N3" s="133"/>
      <c r="O3" s="133"/>
      <c r="P3" s="133"/>
      <c r="Q3" s="133"/>
      <c r="R3" s="133"/>
      <c r="S3" s="133"/>
      <c r="T3" s="133"/>
      <c r="U3" s="133"/>
      <c r="V3" s="133"/>
      <c r="W3" s="133"/>
      <c r="X3" s="133"/>
    </row>
    <row r="4" customFormat="false" ht="15.75" hidden="false" customHeight="false" outlineLevel="0" collapsed="false">
      <c r="A4" s="26" t="s">
        <v>8310</v>
      </c>
      <c r="B4" s="26" t="s">
        <v>8311</v>
      </c>
      <c r="C4" s="26" t="s">
        <v>8311</v>
      </c>
      <c r="D4" s="26" t="s">
        <v>8312</v>
      </c>
      <c r="E4" s="26" t="s">
        <v>8313</v>
      </c>
      <c r="F4" s="26" t="s">
        <v>8314</v>
      </c>
      <c r="G4" s="26" t="s">
        <v>8315</v>
      </c>
      <c r="H4" s="26" t="s">
        <v>8316</v>
      </c>
      <c r="I4" s="133"/>
      <c r="J4" s="133"/>
      <c r="K4" s="133"/>
      <c r="L4" s="133"/>
      <c r="M4" s="133"/>
      <c r="N4" s="133"/>
      <c r="O4" s="133"/>
      <c r="P4" s="133"/>
      <c r="Q4" s="133"/>
      <c r="R4" s="133"/>
      <c r="S4" s="133"/>
      <c r="T4" s="133"/>
      <c r="U4" s="133"/>
      <c r="V4" s="133"/>
      <c r="W4" s="133"/>
      <c r="X4" s="133"/>
    </row>
    <row r="5" customFormat="false" ht="15.75" hidden="false" customHeight="false" outlineLevel="0" collapsed="false">
      <c r="A5" s="26" t="s">
        <v>8317</v>
      </c>
      <c r="B5" s="26" t="s">
        <v>8318</v>
      </c>
      <c r="C5" s="26" t="s">
        <v>8318</v>
      </c>
      <c r="D5" s="26" t="s">
        <v>8319</v>
      </c>
      <c r="E5" s="26" t="s">
        <v>8320</v>
      </c>
      <c r="F5" s="26" t="s">
        <v>8321</v>
      </c>
      <c r="G5" s="26" t="s">
        <v>8315</v>
      </c>
      <c r="H5" s="26" t="s">
        <v>8316</v>
      </c>
      <c r="I5" s="133"/>
      <c r="J5" s="133"/>
      <c r="K5" s="133"/>
      <c r="L5" s="133"/>
      <c r="M5" s="133"/>
      <c r="N5" s="133"/>
      <c r="O5" s="133"/>
      <c r="P5" s="133"/>
      <c r="Q5" s="133"/>
      <c r="R5" s="133"/>
      <c r="S5" s="133"/>
      <c r="T5" s="133"/>
      <c r="U5" s="133"/>
      <c r="V5" s="133"/>
      <c r="W5" s="133"/>
      <c r="X5" s="133"/>
    </row>
    <row r="6" customFormat="false" ht="15.75" hidden="false" customHeight="false" outlineLevel="0" collapsed="false">
      <c r="A6" s="26" t="s">
        <v>8322</v>
      </c>
      <c r="B6" s="26" t="s">
        <v>8323</v>
      </c>
      <c r="C6" s="26" t="s">
        <v>8323</v>
      </c>
      <c r="D6" s="26" t="s">
        <v>8324</v>
      </c>
      <c r="E6" s="26" t="s">
        <v>8325</v>
      </c>
      <c r="F6" s="26" t="s">
        <v>8326</v>
      </c>
      <c r="G6" s="26" t="s">
        <v>8315</v>
      </c>
      <c r="H6" s="26" t="s">
        <v>8316</v>
      </c>
      <c r="I6" s="133"/>
      <c r="J6" s="133"/>
      <c r="K6" s="133"/>
      <c r="L6" s="133"/>
      <c r="M6" s="133"/>
      <c r="N6" s="133"/>
      <c r="O6" s="133"/>
      <c r="P6" s="133"/>
      <c r="Q6" s="133"/>
      <c r="R6" s="133"/>
      <c r="S6" s="133"/>
      <c r="T6" s="133"/>
      <c r="U6" s="133"/>
      <c r="V6" s="133"/>
      <c r="W6" s="133"/>
      <c r="X6" s="133"/>
    </row>
    <row r="7" customFormat="false" ht="15.75" hidden="false" customHeight="false" outlineLevel="0" collapsed="false">
      <c r="A7" s="26" t="s">
        <v>8327</v>
      </c>
      <c r="B7" s="26" t="s">
        <v>8328</v>
      </c>
      <c r="C7" s="26" t="s">
        <v>8328</v>
      </c>
      <c r="D7" s="26" t="s">
        <v>8329</v>
      </c>
      <c r="E7" s="26" t="s">
        <v>8313</v>
      </c>
      <c r="F7" s="26" t="s">
        <v>8314</v>
      </c>
      <c r="G7" s="26" t="s">
        <v>8330</v>
      </c>
      <c r="H7" s="26" t="s">
        <v>8331</v>
      </c>
      <c r="I7" s="133"/>
      <c r="J7" s="133"/>
      <c r="K7" s="133"/>
      <c r="L7" s="133"/>
      <c r="M7" s="133"/>
      <c r="N7" s="133"/>
      <c r="O7" s="133"/>
      <c r="P7" s="133"/>
      <c r="Q7" s="133"/>
      <c r="R7" s="133"/>
      <c r="S7" s="133"/>
      <c r="T7" s="133"/>
      <c r="U7" s="133"/>
      <c r="V7" s="133"/>
      <c r="W7" s="133"/>
      <c r="X7" s="133"/>
    </row>
    <row r="8" customFormat="false" ht="15.75" hidden="false" customHeight="false" outlineLevel="0" collapsed="false">
      <c r="A8" s="26" t="s">
        <v>8332</v>
      </c>
      <c r="B8" s="26" t="s">
        <v>8333</v>
      </c>
      <c r="C8" s="26" t="s">
        <v>8333</v>
      </c>
      <c r="D8" s="26" t="s">
        <v>8334</v>
      </c>
      <c r="E8" s="26" t="s">
        <v>8335</v>
      </c>
      <c r="F8" s="26" t="s">
        <v>8336</v>
      </c>
      <c r="G8" s="26" t="s">
        <v>8315</v>
      </c>
      <c r="H8" s="26" t="s">
        <v>8316</v>
      </c>
      <c r="I8" s="133"/>
      <c r="J8" s="133"/>
      <c r="K8" s="133"/>
      <c r="L8" s="133"/>
      <c r="M8" s="133"/>
      <c r="N8" s="133"/>
      <c r="O8" s="133"/>
      <c r="P8" s="133"/>
      <c r="Q8" s="133"/>
      <c r="R8" s="133"/>
      <c r="S8" s="133"/>
      <c r="T8" s="133"/>
      <c r="U8" s="133"/>
      <c r="V8" s="133"/>
      <c r="W8" s="133"/>
      <c r="X8" s="133"/>
    </row>
    <row r="9" customFormat="false" ht="15.75" hidden="false" customHeight="false" outlineLevel="0" collapsed="false">
      <c r="A9" s="26" t="s">
        <v>8337</v>
      </c>
      <c r="B9" s="26" t="s">
        <v>8338</v>
      </c>
      <c r="C9" s="26" t="s">
        <v>478</v>
      </c>
      <c r="D9" s="26" t="s">
        <v>478</v>
      </c>
      <c r="E9" s="26" t="s">
        <v>478</v>
      </c>
      <c r="F9" s="26" t="s">
        <v>478</v>
      </c>
      <c r="G9" s="26" t="s">
        <v>478</v>
      </c>
      <c r="H9" s="26" t="s">
        <v>478</v>
      </c>
      <c r="I9" s="133"/>
      <c r="J9" s="133"/>
      <c r="K9" s="133"/>
      <c r="L9" s="133"/>
      <c r="M9" s="133"/>
      <c r="N9" s="133"/>
      <c r="O9" s="133"/>
      <c r="P9" s="133"/>
      <c r="Q9" s="133"/>
      <c r="R9" s="133"/>
      <c r="S9" s="133"/>
      <c r="T9" s="133"/>
      <c r="U9" s="133"/>
      <c r="V9" s="133"/>
      <c r="W9" s="133"/>
      <c r="X9" s="133"/>
    </row>
    <row r="10" customFormat="false" ht="15.75" hidden="false" customHeight="false" outlineLevel="0" collapsed="false">
      <c r="A10" s="26" t="s">
        <v>8339</v>
      </c>
      <c r="B10" s="26" t="s">
        <v>8340</v>
      </c>
      <c r="C10" s="26" t="s">
        <v>478</v>
      </c>
      <c r="D10" s="26" t="s">
        <v>478</v>
      </c>
      <c r="E10" s="26" t="s">
        <v>478</v>
      </c>
      <c r="F10" s="26" t="s">
        <v>478</v>
      </c>
      <c r="G10" s="26" t="s">
        <v>478</v>
      </c>
      <c r="H10" s="26" t="s">
        <v>478</v>
      </c>
      <c r="I10" s="133"/>
      <c r="J10" s="133"/>
      <c r="K10" s="133"/>
      <c r="L10" s="133"/>
      <c r="M10" s="133"/>
      <c r="N10" s="133"/>
      <c r="O10" s="133"/>
      <c r="P10" s="133"/>
      <c r="Q10" s="133"/>
      <c r="R10" s="133"/>
      <c r="S10" s="133"/>
      <c r="T10" s="133"/>
      <c r="U10" s="133"/>
      <c r="V10" s="133"/>
      <c r="W10" s="133"/>
      <c r="X10" s="133"/>
    </row>
    <row r="11" customFormat="false" ht="15.75" hidden="false" customHeight="false" outlineLevel="0" collapsed="false">
      <c r="A11" s="26" t="s">
        <v>8341</v>
      </c>
      <c r="B11" s="26" t="s">
        <v>8342</v>
      </c>
      <c r="C11" s="26" t="s">
        <v>8342</v>
      </c>
      <c r="D11" s="26" t="s">
        <v>8343</v>
      </c>
      <c r="E11" s="26" t="s">
        <v>8344</v>
      </c>
      <c r="F11" s="26" t="s">
        <v>8345</v>
      </c>
      <c r="G11" s="26" t="s">
        <v>8330</v>
      </c>
      <c r="H11" s="26" t="s">
        <v>8331</v>
      </c>
      <c r="I11" s="133"/>
      <c r="J11" s="133"/>
      <c r="K11" s="133"/>
      <c r="L11" s="133"/>
      <c r="M11" s="133"/>
      <c r="N11" s="133"/>
      <c r="O11" s="133"/>
      <c r="P11" s="133"/>
      <c r="Q11" s="133"/>
      <c r="R11" s="133"/>
      <c r="S11" s="133"/>
      <c r="T11" s="133"/>
      <c r="U11" s="133"/>
      <c r="V11" s="133"/>
      <c r="W11" s="133"/>
      <c r="X11" s="133"/>
    </row>
    <row r="12" customFormat="false" ht="15.75" hidden="false" customHeight="false" outlineLevel="0" collapsed="false">
      <c r="A12" s="26" t="s">
        <v>918</v>
      </c>
      <c r="B12" s="26" t="s">
        <v>8346</v>
      </c>
      <c r="C12" s="26" t="s">
        <v>8346</v>
      </c>
      <c r="D12" s="26" t="s">
        <v>131</v>
      </c>
      <c r="E12" s="26" t="s">
        <v>8344</v>
      </c>
      <c r="F12" s="26" t="s">
        <v>8345</v>
      </c>
      <c r="G12" s="26" t="s">
        <v>8315</v>
      </c>
      <c r="H12" s="26" t="s">
        <v>8316</v>
      </c>
      <c r="I12" s="133"/>
      <c r="J12" s="133"/>
      <c r="K12" s="133"/>
      <c r="L12" s="133"/>
      <c r="M12" s="133"/>
      <c r="N12" s="133"/>
      <c r="O12" s="133"/>
      <c r="P12" s="133"/>
      <c r="Q12" s="133"/>
      <c r="R12" s="133"/>
      <c r="S12" s="133"/>
      <c r="T12" s="133"/>
      <c r="U12" s="133"/>
      <c r="V12" s="133"/>
      <c r="W12" s="133"/>
      <c r="X12" s="133"/>
    </row>
    <row r="13" customFormat="false" ht="15.75" hidden="false" customHeight="false" outlineLevel="0" collapsed="false">
      <c r="A13" s="26" t="s">
        <v>8347</v>
      </c>
      <c r="B13" s="26" t="s">
        <v>8348</v>
      </c>
      <c r="C13" s="26" t="s">
        <v>8348</v>
      </c>
      <c r="D13" s="26" t="s">
        <v>8349</v>
      </c>
      <c r="E13" s="26" t="s">
        <v>8313</v>
      </c>
      <c r="F13" s="26" t="s">
        <v>8314</v>
      </c>
      <c r="G13" s="26" t="s">
        <v>8350</v>
      </c>
      <c r="H13" s="26" t="s">
        <v>8351</v>
      </c>
      <c r="I13" s="133"/>
      <c r="J13" s="133"/>
      <c r="K13" s="133"/>
      <c r="L13" s="133"/>
      <c r="M13" s="133"/>
      <c r="N13" s="133"/>
      <c r="O13" s="133"/>
      <c r="P13" s="133"/>
      <c r="Q13" s="133"/>
      <c r="R13" s="133"/>
      <c r="S13" s="133"/>
      <c r="T13" s="133"/>
      <c r="U13" s="133"/>
      <c r="V13" s="133"/>
      <c r="W13" s="133"/>
      <c r="X13" s="133"/>
    </row>
    <row r="14" customFormat="false" ht="15.75" hidden="false" customHeight="false" outlineLevel="0" collapsed="false">
      <c r="A14" s="26" t="s">
        <v>8352</v>
      </c>
      <c r="B14" s="26" t="s">
        <v>8353</v>
      </c>
      <c r="C14" s="26" t="s">
        <v>8353</v>
      </c>
      <c r="D14" s="26" t="s">
        <v>8354</v>
      </c>
      <c r="E14" s="26" t="s">
        <v>8344</v>
      </c>
      <c r="F14" s="26" t="s">
        <v>8345</v>
      </c>
      <c r="G14" s="26" t="s">
        <v>8330</v>
      </c>
      <c r="H14" s="26" t="s">
        <v>8331</v>
      </c>
      <c r="I14" s="133"/>
      <c r="J14" s="133"/>
      <c r="K14" s="133"/>
      <c r="L14" s="133"/>
      <c r="M14" s="133"/>
      <c r="N14" s="133"/>
      <c r="O14" s="133"/>
      <c r="P14" s="133"/>
      <c r="Q14" s="133"/>
      <c r="R14" s="133"/>
      <c r="S14" s="133"/>
      <c r="T14" s="133"/>
      <c r="U14" s="133"/>
      <c r="V14" s="133"/>
      <c r="W14" s="133"/>
      <c r="X14" s="133"/>
    </row>
    <row r="15" customFormat="false" ht="15.75" hidden="false" customHeight="false" outlineLevel="0" collapsed="false">
      <c r="A15" s="26" t="s">
        <v>8355</v>
      </c>
      <c r="B15" s="26" t="s">
        <v>8356</v>
      </c>
      <c r="C15" s="26" t="s">
        <v>8356</v>
      </c>
      <c r="D15" s="26" t="s">
        <v>260</v>
      </c>
      <c r="E15" s="26" t="s">
        <v>8325</v>
      </c>
      <c r="F15" s="26" t="s">
        <v>8326</v>
      </c>
      <c r="G15" s="26" t="s">
        <v>8330</v>
      </c>
      <c r="H15" s="26" t="s">
        <v>8331</v>
      </c>
      <c r="I15" s="133"/>
      <c r="J15" s="133"/>
      <c r="K15" s="133"/>
      <c r="L15" s="133"/>
      <c r="M15" s="133"/>
      <c r="N15" s="133"/>
      <c r="O15" s="133"/>
      <c r="P15" s="133"/>
      <c r="Q15" s="133"/>
      <c r="R15" s="133"/>
      <c r="S15" s="133"/>
      <c r="T15" s="133"/>
      <c r="U15" s="133"/>
      <c r="V15" s="133"/>
      <c r="W15" s="133"/>
      <c r="X15" s="133"/>
    </row>
    <row r="16" customFormat="false" ht="15.75" hidden="false" customHeight="false" outlineLevel="0" collapsed="false">
      <c r="A16" s="26" t="s">
        <v>8357</v>
      </c>
      <c r="B16" s="26" t="s">
        <v>8358</v>
      </c>
      <c r="C16" s="26" t="s">
        <v>8358</v>
      </c>
      <c r="D16" s="26" t="s">
        <v>8359</v>
      </c>
      <c r="E16" s="26" t="s">
        <v>8313</v>
      </c>
      <c r="F16" s="26" t="s">
        <v>8314</v>
      </c>
      <c r="G16" s="26" t="s">
        <v>8330</v>
      </c>
      <c r="H16" s="26" t="s">
        <v>8331</v>
      </c>
      <c r="I16" s="133"/>
      <c r="J16" s="133"/>
      <c r="K16" s="133"/>
      <c r="L16" s="133"/>
      <c r="M16" s="133"/>
      <c r="N16" s="133"/>
      <c r="O16" s="133"/>
      <c r="P16" s="133"/>
      <c r="Q16" s="133"/>
      <c r="R16" s="133"/>
      <c r="S16" s="133"/>
      <c r="T16" s="133"/>
      <c r="U16" s="133"/>
      <c r="V16" s="133"/>
      <c r="W16" s="133"/>
      <c r="X16" s="133"/>
    </row>
    <row r="17" customFormat="false" ht="15.75" hidden="false" customHeight="false" outlineLevel="0" collapsed="false">
      <c r="A17" s="26" t="s">
        <v>1364</v>
      </c>
      <c r="B17" s="26" t="s">
        <v>8360</v>
      </c>
      <c r="C17" s="26" t="s">
        <v>8360</v>
      </c>
      <c r="D17" s="26" t="s">
        <v>8361</v>
      </c>
      <c r="E17" s="26" t="s">
        <v>8313</v>
      </c>
      <c r="F17" s="26" t="s">
        <v>8314</v>
      </c>
      <c r="G17" s="26" t="s">
        <v>8315</v>
      </c>
      <c r="H17" s="26" t="s">
        <v>8316</v>
      </c>
      <c r="I17" s="133"/>
      <c r="J17" s="133"/>
      <c r="K17" s="133"/>
      <c r="L17" s="133"/>
      <c r="M17" s="133"/>
      <c r="N17" s="133"/>
      <c r="O17" s="133"/>
      <c r="P17" s="133"/>
      <c r="Q17" s="133"/>
      <c r="R17" s="133"/>
      <c r="S17" s="133"/>
      <c r="T17" s="133"/>
      <c r="U17" s="133"/>
      <c r="V17" s="133"/>
      <c r="W17" s="133"/>
      <c r="X17" s="133"/>
    </row>
    <row r="18" customFormat="false" ht="15.75" hidden="false" customHeight="false" outlineLevel="0" collapsed="false">
      <c r="A18" s="26" t="s">
        <v>8362</v>
      </c>
      <c r="B18" s="26" t="s">
        <v>8363</v>
      </c>
      <c r="C18" s="26" t="s">
        <v>8364</v>
      </c>
      <c r="D18" s="26" t="s">
        <v>8365</v>
      </c>
      <c r="E18" s="26" t="s">
        <v>8344</v>
      </c>
      <c r="F18" s="26" t="s">
        <v>8345</v>
      </c>
      <c r="G18" s="26" t="s">
        <v>8330</v>
      </c>
      <c r="H18" s="26" t="s">
        <v>8331</v>
      </c>
      <c r="I18" s="133"/>
      <c r="J18" s="133"/>
      <c r="K18" s="133"/>
      <c r="L18" s="133"/>
      <c r="M18" s="133"/>
      <c r="N18" s="133"/>
      <c r="O18" s="133"/>
      <c r="P18" s="133"/>
      <c r="Q18" s="133"/>
      <c r="R18" s="133"/>
      <c r="S18" s="133"/>
      <c r="T18" s="133"/>
      <c r="U18" s="133"/>
      <c r="V18" s="133"/>
      <c r="W18" s="133"/>
      <c r="X18" s="133"/>
    </row>
    <row r="19" customFormat="false" ht="15.75" hidden="false" customHeight="false" outlineLevel="0" collapsed="false">
      <c r="A19" s="26" t="s">
        <v>8366</v>
      </c>
      <c r="B19" s="26" t="s">
        <v>8367</v>
      </c>
      <c r="C19" s="26" t="s">
        <v>8367</v>
      </c>
      <c r="D19" s="26" t="s">
        <v>184</v>
      </c>
      <c r="E19" s="26" t="s">
        <v>8320</v>
      </c>
      <c r="F19" s="26" t="s">
        <v>8321</v>
      </c>
      <c r="G19" s="26" t="s">
        <v>8330</v>
      </c>
      <c r="H19" s="26" t="s">
        <v>8331</v>
      </c>
      <c r="I19" s="133"/>
      <c r="J19" s="133"/>
      <c r="K19" s="133"/>
      <c r="L19" s="133"/>
      <c r="M19" s="133"/>
      <c r="N19" s="133"/>
      <c r="O19" s="133"/>
      <c r="P19" s="133"/>
      <c r="Q19" s="133"/>
      <c r="R19" s="133"/>
      <c r="S19" s="133"/>
      <c r="T19" s="133"/>
      <c r="U19" s="133"/>
      <c r="V19" s="133"/>
      <c r="W19" s="133"/>
      <c r="X19" s="133"/>
    </row>
    <row r="20" customFormat="false" ht="15.75" hidden="false" customHeight="false" outlineLevel="0" collapsed="false">
      <c r="A20" s="26" t="s">
        <v>8368</v>
      </c>
      <c r="B20" s="26" t="s">
        <v>8369</v>
      </c>
      <c r="C20" s="26" t="s">
        <v>8369</v>
      </c>
      <c r="D20" s="26" t="s">
        <v>1829</v>
      </c>
      <c r="E20" s="26" t="s">
        <v>8305</v>
      </c>
      <c r="F20" s="26" t="s">
        <v>1272</v>
      </c>
      <c r="G20" s="26" t="s">
        <v>8306</v>
      </c>
      <c r="H20" s="26" t="s">
        <v>8307</v>
      </c>
      <c r="I20" s="133"/>
      <c r="J20" s="133"/>
      <c r="K20" s="133"/>
      <c r="L20" s="133"/>
      <c r="M20" s="133"/>
      <c r="N20" s="133"/>
      <c r="O20" s="133"/>
      <c r="P20" s="133"/>
      <c r="Q20" s="133"/>
      <c r="R20" s="133"/>
      <c r="S20" s="133"/>
      <c r="T20" s="133"/>
      <c r="U20" s="133"/>
      <c r="V20" s="133"/>
      <c r="W20" s="133"/>
      <c r="X20" s="133"/>
    </row>
    <row r="21" customFormat="false" ht="15.75" hidden="false" customHeight="false" outlineLevel="0" collapsed="false">
      <c r="A21" s="26" t="s">
        <v>8370</v>
      </c>
      <c r="B21" s="26" t="s">
        <v>8371</v>
      </c>
      <c r="C21" s="26" t="s">
        <v>8371</v>
      </c>
      <c r="D21" s="26" t="s">
        <v>8372</v>
      </c>
      <c r="E21" s="26" t="s">
        <v>8344</v>
      </c>
      <c r="F21" s="26" t="s">
        <v>8345</v>
      </c>
      <c r="G21" s="26" t="s">
        <v>8330</v>
      </c>
      <c r="H21" s="26" t="s">
        <v>8331</v>
      </c>
      <c r="I21" s="133"/>
      <c r="J21" s="133"/>
      <c r="K21" s="133"/>
      <c r="L21" s="133"/>
      <c r="M21" s="133"/>
      <c r="N21" s="133"/>
      <c r="O21" s="133"/>
      <c r="P21" s="133"/>
      <c r="Q21" s="133"/>
      <c r="R21" s="133"/>
      <c r="S21" s="133"/>
      <c r="T21" s="133"/>
      <c r="U21" s="133"/>
      <c r="V21" s="133"/>
      <c r="W21" s="133"/>
      <c r="X21" s="133"/>
    </row>
    <row r="22" customFormat="false" ht="15.75" hidden="false" customHeight="false" outlineLevel="0" collapsed="false">
      <c r="A22" s="26" t="s">
        <v>8373</v>
      </c>
      <c r="B22" s="26" t="s">
        <v>8374</v>
      </c>
      <c r="C22" s="26" t="s">
        <v>8374</v>
      </c>
      <c r="D22" s="26" t="s">
        <v>8375</v>
      </c>
      <c r="E22" s="26" t="s">
        <v>8313</v>
      </c>
      <c r="F22" s="26" t="s">
        <v>8314</v>
      </c>
      <c r="G22" s="26" t="s">
        <v>8315</v>
      </c>
      <c r="H22" s="26" t="s">
        <v>8316</v>
      </c>
      <c r="I22" s="133"/>
      <c r="J22" s="133"/>
      <c r="K22" s="133"/>
      <c r="L22" s="133"/>
      <c r="M22" s="133"/>
      <c r="N22" s="133"/>
      <c r="O22" s="133"/>
      <c r="P22" s="133"/>
      <c r="Q22" s="133"/>
      <c r="R22" s="133"/>
      <c r="S22" s="133"/>
      <c r="T22" s="133"/>
      <c r="U22" s="133"/>
      <c r="V22" s="133"/>
      <c r="W22" s="133"/>
      <c r="X22" s="133"/>
    </row>
    <row r="23" customFormat="false" ht="15.75" hidden="false" customHeight="false" outlineLevel="0" collapsed="false">
      <c r="A23" s="26" t="s">
        <v>8376</v>
      </c>
      <c r="B23" s="26" t="s">
        <v>8377</v>
      </c>
      <c r="C23" s="26" t="s">
        <v>8377</v>
      </c>
      <c r="D23" s="26" t="s">
        <v>905</v>
      </c>
      <c r="E23" s="26" t="s">
        <v>8313</v>
      </c>
      <c r="F23" s="26" t="s">
        <v>8314</v>
      </c>
      <c r="G23" s="26" t="s">
        <v>8330</v>
      </c>
      <c r="H23" s="26" t="s">
        <v>8331</v>
      </c>
      <c r="I23" s="133"/>
      <c r="J23" s="133"/>
      <c r="K23" s="133"/>
      <c r="L23" s="133"/>
      <c r="M23" s="133"/>
      <c r="N23" s="133"/>
      <c r="O23" s="133"/>
      <c r="P23" s="133"/>
      <c r="Q23" s="133"/>
      <c r="R23" s="133"/>
      <c r="S23" s="133"/>
      <c r="T23" s="133"/>
      <c r="U23" s="133"/>
      <c r="V23" s="133"/>
      <c r="W23" s="133"/>
      <c r="X23" s="133"/>
    </row>
    <row r="24" customFormat="false" ht="15.75" hidden="false" customHeight="false" outlineLevel="0" collapsed="false">
      <c r="A24" s="26" t="s">
        <v>8378</v>
      </c>
      <c r="B24" s="26" t="s">
        <v>8379</v>
      </c>
      <c r="C24" s="26" t="s">
        <v>8379</v>
      </c>
      <c r="D24" s="26" t="s">
        <v>8380</v>
      </c>
      <c r="E24" s="26" t="s">
        <v>8344</v>
      </c>
      <c r="F24" s="26" t="s">
        <v>8345</v>
      </c>
      <c r="G24" s="26" t="s">
        <v>8315</v>
      </c>
      <c r="H24" s="26" t="s">
        <v>8316</v>
      </c>
      <c r="I24" s="133"/>
      <c r="J24" s="133"/>
      <c r="K24" s="133"/>
      <c r="L24" s="133"/>
      <c r="M24" s="133"/>
      <c r="N24" s="133"/>
      <c r="O24" s="133"/>
      <c r="P24" s="133"/>
      <c r="Q24" s="133"/>
      <c r="R24" s="133"/>
      <c r="S24" s="133"/>
      <c r="T24" s="133"/>
      <c r="U24" s="133"/>
      <c r="V24" s="133"/>
      <c r="W24" s="133"/>
      <c r="X24" s="133"/>
    </row>
    <row r="25" customFormat="false" ht="15.75" hidden="false" customHeight="false" outlineLevel="0" collapsed="false">
      <c r="A25" s="26" t="s">
        <v>8381</v>
      </c>
      <c r="B25" s="26" t="s">
        <v>8382</v>
      </c>
      <c r="C25" s="26" t="s">
        <v>8382</v>
      </c>
      <c r="D25" s="26" t="s">
        <v>8383</v>
      </c>
      <c r="E25" s="26" t="s">
        <v>8335</v>
      </c>
      <c r="F25" s="26" t="s">
        <v>8336</v>
      </c>
      <c r="G25" s="26" t="s">
        <v>8306</v>
      </c>
      <c r="H25" s="26" t="s">
        <v>8307</v>
      </c>
      <c r="I25" s="133"/>
      <c r="J25" s="133"/>
      <c r="K25" s="133"/>
      <c r="L25" s="133"/>
      <c r="M25" s="133"/>
      <c r="N25" s="133"/>
      <c r="O25" s="133"/>
      <c r="P25" s="133"/>
      <c r="Q25" s="133"/>
      <c r="R25" s="133"/>
      <c r="S25" s="133"/>
      <c r="T25" s="133"/>
      <c r="U25" s="133"/>
      <c r="V25" s="133"/>
      <c r="W25" s="133"/>
      <c r="X25" s="133"/>
    </row>
    <row r="26" customFormat="false" ht="15.75" hidden="false" customHeight="false" outlineLevel="0" collapsed="false">
      <c r="A26" s="26" t="s">
        <v>8384</v>
      </c>
      <c r="B26" s="26" t="s">
        <v>8385</v>
      </c>
      <c r="C26" s="26" t="s">
        <v>8385</v>
      </c>
      <c r="D26" s="26" t="s">
        <v>8386</v>
      </c>
      <c r="E26" s="26" t="s">
        <v>8344</v>
      </c>
      <c r="F26" s="26" t="s">
        <v>8345</v>
      </c>
      <c r="G26" s="26" t="s">
        <v>8330</v>
      </c>
      <c r="H26" s="26" t="s">
        <v>8331</v>
      </c>
      <c r="I26" s="133"/>
      <c r="J26" s="133"/>
      <c r="K26" s="133"/>
      <c r="L26" s="133"/>
      <c r="M26" s="133"/>
      <c r="N26" s="133"/>
      <c r="O26" s="133"/>
      <c r="P26" s="133"/>
      <c r="Q26" s="133"/>
      <c r="R26" s="133"/>
      <c r="S26" s="133"/>
      <c r="T26" s="133"/>
      <c r="U26" s="133"/>
      <c r="V26" s="133"/>
      <c r="W26" s="133"/>
      <c r="X26" s="133"/>
    </row>
    <row r="27" customFormat="false" ht="15.75" hidden="false" customHeight="false" outlineLevel="0" collapsed="false">
      <c r="A27" s="26" t="s">
        <v>8387</v>
      </c>
      <c r="B27" s="26" t="s">
        <v>8388</v>
      </c>
      <c r="C27" s="26" t="s">
        <v>8388</v>
      </c>
      <c r="D27" s="26" t="s">
        <v>8389</v>
      </c>
      <c r="E27" s="26" t="s">
        <v>8305</v>
      </c>
      <c r="F27" s="26" t="s">
        <v>1272</v>
      </c>
      <c r="G27" s="26" t="s">
        <v>8350</v>
      </c>
      <c r="H27" s="26" t="s">
        <v>8351</v>
      </c>
      <c r="I27" s="133"/>
      <c r="J27" s="133"/>
      <c r="K27" s="133"/>
      <c r="L27" s="133"/>
      <c r="M27" s="133"/>
      <c r="N27" s="133"/>
      <c r="O27" s="133"/>
      <c r="P27" s="133"/>
      <c r="Q27" s="133"/>
      <c r="R27" s="133"/>
      <c r="S27" s="133"/>
      <c r="T27" s="133"/>
      <c r="U27" s="133"/>
      <c r="V27" s="133"/>
      <c r="W27" s="133"/>
      <c r="X27" s="133"/>
    </row>
    <row r="28" customFormat="false" ht="15.75" hidden="false" customHeight="false" outlineLevel="0" collapsed="false">
      <c r="A28" s="26" t="s">
        <v>8390</v>
      </c>
      <c r="B28" s="26" t="s">
        <v>8391</v>
      </c>
      <c r="C28" s="26" t="s">
        <v>8391</v>
      </c>
      <c r="D28" s="26" t="s">
        <v>770</v>
      </c>
      <c r="E28" s="26" t="s">
        <v>8344</v>
      </c>
      <c r="F28" s="26" t="s">
        <v>8345</v>
      </c>
      <c r="G28" s="26" t="s">
        <v>8350</v>
      </c>
      <c r="H28" s="26" t="s">
        <v>8351</v>
      </c>
      <c r="I28" s="133"/>
      <c r="J28" s="133"/>
      <c r="K28" s="133"/>
      <c r="L28" s="133"/>
      <c r="M28" s="133"/>
      <c r="N28" s="133"/>
      <c r="O28" s="133"/>
      <c r="P28" s="133"/>
      <c r="Q28" s="133"/>
      <c r="R28" s="133"/>
      <c r="S28" s="133"/>
      <c r="T28" s="133"/>
      <c r="U28" s="133"/>
      <c r="V28" s="133"/>
      <c r="W28" s="133"/>
      <c r="X28" s="133"/>
    </row>
    <row r="29" customFormat="false" ht="15.75" hidden="false" customHeight="false" outlineLevel="0" collapsed="false">
      <c r="A29" s="26" t="s">
        <v>8392</v>
      </c>
      <c r="B29" s="26" t="s">
        <v>8393</v>
      </c>
      <c r="C29" s="26" t="s">
        <v>478</v>
      </c>
      <c r="D29" s="26" t="s">
        <v>478</v>
      </c>
      <c r="E29" s="26" t="s">
        <v>478</v>
      </c>
      <c r="F29" s="26" t="s">
        <v>478</v>
      </c>
      <c r="G29" s="26" t="s">
        <v>478</v>
      </c>
      <c r="H29" s="26" t="s">
        <v>478</v>
      </c>
      <c r="I29" s="133"/>
      <c r="J29" s="133"/>
      <c r="K29" s="133"/>
      <c r="L29" s="133"/>
      <c r="M29" s="133"/>
      <c r="N29" s="133"/>
      <c r="O29" s="133"/>
      <c r="P29" s="133"/>
      <c r="Q29" s="133"/>
      <c r="R29" s="133"/>
      <c r="S29" s="133"/>
      <c r="T29" s="133"/>
      <c r="U29" s="133"/>
      <c r="V29" s="133"/>
      <c r="W29" s="133"/>
      <c r="X29" s="133"/>
    </row>
    <row r="30" customFormat="false" ht="15.75" hidden="false" customHeight="false" outlineLevel="0" collapsed="false">
      <c r="A30" s="26" t="s">
        <v>8394</v>
      </c>
      <c r="B30" s="26" t="s">
        <v>8395</v>
      </c>
      <c r="C30" s="26" t="s">
        <v>8395</v>
      </c>
      <c r="D30" s="26" t="s">
        <v>8396</v>
      </c>
      <c r="E30" s="26" t="s">
        <v>8313</v>
      </c>
      <c r="F30" s="26" t="s">
        <v>8314</v>
      </c>
      <c r="G30" s="26" t="s">
        <v>8315</v>
      </c>
      <c r="H30" s="26" t="s">
        <v>8316</v>
      </c>
      <c r="I30" s="133"/>
      <c r="J30" s="133"/>
      <c r="K30" s="133"/>
      <c r="L30" s="133"/>
      <c r="M30" s="133"/>
      <c r="N30" s="133"/>
      <c r="O30" s="133"/>
      <c r="P30" s="133"/>
      <c r="Q30" s="133"/>
      <c r="R30" s="133"/>
      <c r="S30" s="133"/>
      <c r="T30" s="133"/>
      <c r="U30" s="133"/>
      <c r="V30" s="133"/>
      <c r="W30" s="133"/>
      <c r="X30" s="133"/>
    </row>
    <row r="31" customFormat="false" ht="15.75" hidden="false" customHeight="false" outlineLevel="0" collapsed="false">
      <c r="A31" s="26" t="s">
        <v>8397</v>
      </c>
      <c r="B31" s="26" t="s">
        <v>8398</v>
      </c>
      <c r="C31" s="26" t="s">
        <v>8398</v>
      </c>
      <c r="D31" s="26" t="s">
        <v>8399</v>
      </c>
      <c r="E31" s="26" t="s">
        <v>8335</v>
      </c>
      <c r="F31" s="26" t="s">
        <v>8336</v>
      </c>
      <c r="G31" s="26" t="s">
        <v>8315</v>
      </c>
      <c r="H31" s="26" t="s">
        <v>8316</v>
      </c>
      <c r="I31" s="133"/>
      <c r="J31" s="133"/>
      <c r="K31" s="133"/>
      <c r="L31" s="133"/>
      <c r="M31" s="133"/>
      <c r="N31" s="133"/>
      <c r="O31" s="133"/>
      <c r="P31" s="133"/>
      <c r="Q31" s="133"/>
      <c r="R31" s="133"/>
      <c r="S31" s="133"/>
      <c r="T31" s="133"/>
      <c r="U31" s="133"/>
      <c r="V31" s="133"/>
      <c r="W31" s="133"/>
      <c r="X31" s="133"/>
    </row>
    <row r="32" customFormat="false" ht="15.75" hidden="false" customHeight="false" outlineLevel="0" collapsed="false">
      <c r="A32" s="26" t="s">
        <v>8400</v>
      </c>
      <c r="B32" s="26" t="s">
        <v>8401</v>
      </c>
      <c r="C32" s="26" t="s">
        <v>8401</v>
      </c>
      <c r="D32" s="26" t="s">
        <v>557</v>
      </c>
      <c r="E32" s="26" t="s">
        <v>8344</v>
      </c>
      <c r="F32" s="26" t="s">
        <v>8345</v>
      </c>
      <c r="G32" s="26" t="s">
        <v>8315</v>
      </c>
      <c r="H32" s="26" t="s">
        <v>8316</v>
      </c>
      <c r="I32" s="133"/>
      <c r="J32" s="133"/>
      <c r="K32" s="133"/>
      <c r="L32" s="133"/>
      <c r="M32" s="133"/>
      <c r="N32" s="133"/>
      <c r="O32" s="133"/>
      <c r="P32" s="133"/>
      <c r="Q32" s="133"/>
      <c r="R32" s="133"/>
      <c r="S32" s="133"/>
      <c r="T32" s="133"/>
      <c r="U32" s="133"/>
      <c r="V32" s="133"/>
      <c r="W32" s="133"/>
      <c r="X32" s="133"/>
    </row>
    <row r="33" customFormat="false" ht="15.75" hidden="false" customHeight="false" outlineLevel="0" collapsed="false">
      <c r="A33" s="26" t="s">
        <v>8402</v>
      </c>
      <c r="B33" s="26" t="s">
        <v>8403</v>
      </c>
      <c r="C33" s="26" t="s">
        <v>478</v>
      </c>
      <c r="D33" s="26" t="s">
        <v>478</v>
      </c>
      <c r="E33" s="26" t="s">
        <v>478</v>
      </c>
      <c r="F33" s="26" t="s">
        <v>478</v>
      </c>
      <c r="G33" s="26" t="s">
        <v>478</v>
      </c>
      <c r="H33" s="26" t="s">
        <v>478</v>
      </c>
      <c r="I33" s="133"/>
      <c r="J33" s="133"/>
      <c r="K33" s="133"/>
      <c r="L33" s="133"/>
      <c r="M33" s="133"/>
      <c r="N33" s="133"/>
      <c r="O33" s="133"/>
      <c r="P33" s="133"/>
      <c r="Q33" s="133"/>
      <c r="R33" s="133"/>
      <c r="S33" s="133"/>
      <c r="T33" s="133"/>
      <c r="U33" s="133"/>
      <c r="V33" s="133"/>
      <c r="W33" s="133"/>
      <c r="X33" s="133"/>
    </row>
    <row r="34" customFormat="false" ht="15.75" hidden="false" customHeight="false" outlineLevel="0" collapsed="false">
      <c r="A34" s="26" t="s">
        <v>8404</v>
      </c>
      <c r="B34" s="26" t="s">
        <v>8405</v>
      </c>
      <c r="C34" s="26" t="s">
        <v>8405</v>
      </c>
      <c r="D34" s="26" t="s">
        <v>8406</v>
      </c>
      <c r="E34" s="26" t="s">
        <v>8325</v>
      </c>
      <c r="F34" s="26" t="s">
        <v>8326</v>
      </c>
      <c r="G34" s="26" t="s">
        <v>8330</v>
      </c>
      <c r="H34" s="26" t="s">
        <v>8331</v>
      </c>
      <c r="I34" s="133"/>
      <c r="J34" s="133"/>
      <c r="K34" s="133"/>
      <c r="L34" s="133"/>
      <c r="M34" s="133"/>
      <c r="N34" s="133"/>
      <c r="O34" s="133"/>
      <c r="P34" s="133"/>
      <c r="Q34" s="133"/>
      <c r="R34" s="133"/>
      <c r="S34" s="133"/>
      <c r="T34" s="133"/>
      <c r="U34" s="133"/>
      <c r="V34" s="133"/>
      <c r="W34" s="133"/>
      <c r="X34" s="133"/>
    </row>
    <row r="35" customFormat="false" ht="15.75" hidden="false" customHeight="false" outlineLevel="0" collapsed="false">
      <c r="A35" s="26" t="s">
        <v>8407</v>
      </c>
      <c r="B35" s="26" t="s">
        <v>8408</v>
      </c>
      <c r="C35" s="26" t="s">
        <v>8408</v>
      </c>
      <c r="D35" s="26" t="s">
        <v>2832</v>
      </c>
      <c r="E35" s="26" t="s">
        <v>8313</v>
      </c>
      <c r="F35" s="26" t="s">
        <v>8314</v>
      </c>
      <c r="G35" s="26" t="s">
        <v>8315</v>
      </c>
      <c r="H35" s="26" t="s">
        <v>8316</v>
      </c>
      <c r="I35" s="133"/>
      <c r="J35" s="133"/>
      <c r="K35" s="133"/>
      <c r="L35" s="133"/>
      <c r="M35" s="133"/>
      <c r="N35" s="133"/>
      <c r="O35" s="133"/>
      <c r="P35" s="133"/>
      <c r="Q35" s="133"/>
      <c r="R35" s="133"/>
      <c r="S35" s="133"/>
      <c r="T35" s="133"/>
      <c r="U35" s="133"/>
      <c r="V35" s="133"/>
      <c r="W35" s="133"/>
      <c r="X35" s="133"/>
    </row>
    <row r="36" customFormat="false" ht="15.75" hidden="false" customHeight="false" outlineLevel="0" collapsed="false">
      <c r="A36" s="26" t="s">
        <v>8409</v>
      </c>
      <c r="B36" s="26" t="s">
        <v>8410</v>
      </c>
      <c r="C36" s="26" t="s">
        <v>8410</v>
      </c>
      <c r="D36" s="26" t="s">
        <v>8411</v>
      </c>
      <c r="E36" s="26" t="s">
        <v>8335</v>
      </c>
      <c r="F36" s="26" t="s">
        <v>8336</v>
      </c>
      <c r="G36" s="26" t="s">
        <v>8306</v>
      </c>
      <c r="H36" s="26" t="s">
        <v>8307</v>
      </c>
      <c r="I36" s="133"/>
      <c r="J36" s="133"/>
      <c r="K36" s="133"/>
      <c r="L36" s="133"/>
      <c r="M36" s="133"/>
      <c r="N36" s="133"/>
      <c r="O36" s="133"/>
      <c r="P36" s="133"/>
      <c r="Q36" s="133"/>
      <c r="R36" s="133"/>
      <c r="S36" s="133"/>
      <c r="T36" s="133"/>
      <c r="U36" s="133"/>
      <c r="V36" s="133"/>
      <c r="W36" s="133"/>
      <c r="X36" s="133"/>
    </row>
    <row r="37" customFormat="false" ht="15.75" hidden="false" customHeight="false" outlineLevel="0" collapsed="false">
      <c r="A37" s="26" t="s">
        <v>8412</v>
      </c>
      <c r="B37" s="26" t="s">
        <v>8413</v>
      </c>
      <c r="C37" s="26" t="s">
        <v>8413</v>
      </c>
      <c r="D37" s="26" t="s">
        <v>8414</v>
      </c>
      <c r="E37" s="26" t="s">
        <v>8335</v>
      </c>
      <c r="F37" s="26" t="s">
        <v>8336</v>
      </c>
      <c r="G37" s="26" t="s">
        <v>8306</v>
      </c>
      <c r="H37" s="26" t="s">
        <v>8307</v>
      </c>
      <c r="I37" s="133"/>
      <c r="J37" s="133"/>
      <c r="K37" s="133"/>
      <c r="L37" s="133"/>
      <c r="M37" s="133"/>
      <c r="N37" s="133"/>
      <c r="O37" s="133"/>
      <c r="P37" s="133"/>
      <c r="Q37" s="133"/>
      <c r="R37" s="133"/>
      <c r="S37" s="133"/>
      <c r="T37" s="133"/>
      <c r="U37" s="133"/>
      <c r="V37" s="133"/>
      <c r="W37" s="133"/>
      <c r="X37" s="133"/>
    </row>
    <row r="38" customFormat="false" ht="15.75" hidden="false" customHeight="false" outlineLevel="0" collapsed="false">
      <c r="A38" s="26" t="s">
        <v>8415</v>
      </c>
      <c r="B38" s="26" t="s">
        <v>8416</v>
      </c>
      <c r="C38" s="26" t="s">
        <v>8416</v>
      </c>
      <c r="D38" s="26" t="s">
        <v>8417</v>
      </c>
      <c r="E38" s="26" t="s">
        <v>8325</v>
      </c>
      <c r="F38" s="26" t="s">
        <v>8326</v>
      </c>
      <c r="G38" s="26" t="s">
        <v>8306</v>
      </c>
      <c r="H38" s="26" t="s">
        <v>8307</v>
      </c>
      <c r="I38" s="133"/>
      <c r="J38" s="133"/>
      <c r="K38" s="133"/>
      <c r="L38" s="133"/>
      <c r="M38" s="133"/>
      <c r="N38" s="133"/>
      <c r="O38" s="133"/>
      <c r="P38" s="133"/>
      <c r="Q38" s="133"/>
      <c r="R38" s="133"/>
      <c r="S38" s="133"/>
      <c r="T38" s="133"/>
      <c r="U38" s="133"/>
      <c r="V38" s="133"/>
      <c r="W38" s="133"/>
      <c r="X38" s="133"/>
    </row>
    <row r="39" customFormat="false" ht="15.75" hidden="false" customHeight="false" outlineLevel="0" collapsed="false">
      <c r="A39" s="26" t="s">
        <v>8418</v>
      </c>
      <c r="B39" s="26" t="s">
        <v>8419</v>
      </c>
      <c r="C39" s="26" t="s">
        <v>8419</v>
      </c>
      <c r="D39" s="26" t="s">
        <v>8420</v>
      </c>
      <c r="E39" s="26" t="s">
        <v>8335</v>
      </c>
      <c r="F39" s="26" t="s">
        <v>8336</v>
      </c>
      <c r="G39" s="26" t="s">
        <v>8350</v>
      </c>
      <c r="H39" s="26" t="s">
        <v>8351</v>
      </c>
      <c r="I39" s="133"/>
      <c r="J39" s="133"/>
      <c r="K39" s="133"/>
      <c r="L39" s="133"/>
      <c r="M39" s="133"/>
      <c r="N39" s="133"/>
      <c r="O39" s="133"/>
      <c r="P39" s="133"/>
      <c r="Q39" s="133"/>
      <c r="R39" s="133"/>
      <c r="S39" s="133"/>
      <c r="T39" s="133"/>
      <c r="U39" s="133"/>
      <c r="V39" s="133"/>
      <c r="W39" s="133"/>
      <c r="X39" s="133"/>
    </row>
    <row r="40" customFormat="false" ht="15.75" hidden="false" customHeight="false" outlineLevel="0" collapsed="false">
      <c r="A40" s="26" t="s">
        <v>72</v>
      </c>
      <c r="B40" s="26" t="s">
        <v>8421</v>
      </c>
      <c r="C40" s="26" t="s">
        <v>8421</v>
      </c>
      <c r="D40" s="26" t="s">
        <v>561</v>
      </c>
      <c r="E40" s="26" t="s">
        <v>8422</v>
      </c>
      <c r="F40" s="26" t="s">
        <v>8423</v>
      </c>
      <c r="G40" s="26" t="s">
        <v>8330</v>
      </c>
      <c r="H40" s="26" t="s">
        <v>8331</v>
      </c>
      <c r="I40" s="133"/>
      <c r="J40" s="133"/>
      <c r="K40" s="133"/>
      <c r="L40" s="133"/>
      <c r="M40" s="133"/>
      <c r="N40" s="133"/>
      <c r="O40" s="133"/>
      <c r="P40" s="133"/>
      <c r="Q40" s="133"/>
      <c r="R40" s="133"/>
      <c r="S40" s="133"/>
      <c r="T40" s="133"/>
      <c r="U40" s="133"/>
      <c r="V40" s="133"/>
      <c r="W40" s="133"/>
      <c r="X40" s="133"/>
    </row>
    <row r="41" customFormat="false" ht="15.75" hidden="false" customHeight="false" outlineLevel="0" collapsed="false">
      <c r="A41" s="26" t="s">
        <v>8424</v>
      </c>
      <c r="B41" s="26" t="s">
        <v>8425</v>
      </c>
      <c r="C41" s="26" t="s">
        <v>8426</v>
      </c>
      <c r="D41" s="26" t="s">
        <v>8427</v>
      </c>
      <c r="E41" s="26" t="s">
        <v>8335</v>
      </c>
      <c r="F41" s="26" t="s">
        <v>8336</v>
      </c>
      <c r="G41" s="26" t="s">
        <v>8350</v>
      </c>
      <c r="H41" s="26" t="s">
        <v>8351</v>
      </c>
      <c r="I41" s="133"/>
      <c r="J41" s="133"/>
      <c r="K41" s="133"/>
      <c r="L41" s="133"/>
      <c r="M41" s="133"/>
      <c r="N41" s="133"/>
      <c r="O41" s="133"/>
      <c r="P41" s="133"/>
      <c r="Q41" s="133"/>
      <c r="R41" s="133"/>
      <c r="S41" s="133"/>
      <c r="T41" s="133"/>
      <c r="U41" s="133"/>
      <c r="V41" s="133"/>
      <c r="W41" s="133"/>
      <c r="X41" s="133"/>
    </row>
    <row r="42" customFormat="false" ht="15.75" hidden="false" customHeight="false" outlineLevel="0" collapsed="false">
      <c r="A42" s="26" t="s">
        <v>2813</v>
      </c>
      <c r="B42" s="26" t="s">
        <v>8428</v>
      </c>
      <c r="C42" s="26" t="s">
        <v>8428</v>
      </c>
      <c r="D42" s="26" t="s">
        <v>8429</v>
      </c>
      <c r="E42" s="26" t="s">
        <v>8344</v>
      </c>
      <c r="F42" s="26" t="s">
        <v>8345</v>
      </c>
      <c r="G42" s="26" t="s">
        <v>8330</v>
      </c>
      <c r="H42" s="26" t="s">
        <v>8331</v>
      </c>
      <c r="I42" s="133"/>
      <c r="J42" s="133"/>
      <c r="K42" s="133"/>
      <c r="L42" s="133"/>
      <c r="M42" s="133"/>
      <c r="N42" s="133"/>
      <c r="O42" s="133"/>
      <c r="P42" s="133"/>
      <c r="Q42" s="133"/>
      <c r="R42" s="133"/>
      <c r="S42" s="133"/>
      <c r="T42" s="133"/>
      <c r="U42" s="133"/>
      <c r="V42" s="133"/>
      <c r="W42" s="133"/>
      <c r="X42" s="133"/>
    </row>
    <row r="43" customFormat="false" ht="15.75" hidden="false" customHeight="false" outlineLevel="0" collapsed="false">
      <c r="A43" s="26" t="s">
        <v>8430</v>
      </c>
      <c r="B43" s="26" t="s">
        <v>8431</v>
      </c>
      <c r="C43" s="26" t="s">
        <v>8431</v>
      </c>
      <c r="D43" s="26" t="s">
        <v>8432</v>
      </c>
      <c r="E43" s="26" t="s">
        <v>8335</v>
      </c>
      <c r="F43" s="26" t="s">
        <v>8336</v>
      </c>
      <c r="G43" s="26" t="s">
        <v>8306</v>
      </c>
      <c r="H43" s="26" t="s">
        <v>8307</v>
      </c>
      <c r="I43" s="133"/>
      <c r="J43" s="133"/>
      <c r="K43" s="133"/>
      <c r="L43" s="133"/>
      <c r="M43" s="133"/>
      <c r="N43" s="133"/>
      <c r="O43" s="133"/>
      <c r="P43" s="133"/>
      <c r="Q43" s="133"/>
      <c r="R43" s="133"/>
      <c r="S43" s="133"/>
      <c r="T43" s="133"/>
      <c r="U43" s="133"/>
      <c r="V43" s="133"/>
      <c r="W43" s="133"/>
      <c r="X43" s="133"/>
    </row>
    <row r="44" customFormat="false" ht="15.75" hidden="false" customHeight="false" outlineLevel="0" collapsed="false">
      <c r="A44" s="26" t="s">
        <v>8433</v>
      </c>
      <c r="B44" s="26" t="s">
        <v>8434</v>
      </c>
      <c r="C44" s="26" t="s">
        <v>8434</v>
      </c>
      <c r="D44" s="26" t="s">
        <v>8435</v>
      </c>
      <c r="E44" s="26" t="s">
        <v>8335</v>
      </c>
      <c r="F44" s="26" t="s">
        <v>8336</v>
      </c>
      <c r="G44" s="26" t="s">
        <v>8306</v>
      </c>
      <c r="H44" s="26" t="s">
        <v>8307</v>
      </c>
      <c r="I44" s="133"/>
      <c r="J44" s="133"/>
      <c r="K44" s="133"/>
      <c r="L44" s="133"/>
      <c r="M44" s="133"/>
      <c r="N44" s="133"/>
      <c r="O44" s="133"/>
      <c r="P44" s="133"/>
      <c r="Q44" s="133"/>
      <c r="R44" s="133"/>
      <c r="S44" s="133"/>
      <c r="T44" s="133"/>
      <c r="U44" s="133"/>
      <c r="V44" s="133"/>
      <c r="W44" s="133"/>
      <c r="X44" s="133"/>
    </row>
    <row r="45" customFormat="false" ht="15.75" hidden="false" customHeight="false" outlineLevel="0" collapsed="false">
      <c r="A45" s="26" t="s">
        <v>8436</v>
      </c>
      <c r="B45" s="26" t="s">
        <v>8437</v>
      </c>
      <c r="C45" s="26" t="s">
        <v>8437</v>
      </c>
      <c r="D45" s="26" t="s">
        <v>724</v>
      </c>
      <c r="E45" s="26" t="s">
        <v>8344</v>
      </c>
      <c r="F45" s="26" t="s">
        <v>8345</v>
      </c>
      <c r="G45" s="26" t="s">
        <v>8330</v>
      </c>
      <c r="H45" s="26" t="s">
        <v>8331</v>
      </c>
      <c r="I45" s="133"/>
      <c r="J45" s="133"/>
      <c r="K45" s="133"/>
      <c r="L45" s="133"/>
      <c r="M45" s="133"/>
      <c r="N45" s="133"/>
      <c r="O45" s="133"/>
      <c r="P45" s="133"/>
      <c r="Q45" s="133"/>
      <c r="R45" s="133"/>
      <c r="S45" s="133"/>
      <c r="T45" s="133"/>
      <c r="U45" s="133"/>
      <c r="V45" s="133"/>
      <c r="W45" s="133"/>
      <c r="X45" s="133"/>
    </row>
    <row r="46" customFormat="false" ht="15.75" hidden="false" customHeight="false" outlineLevel="0" collapsed="false">
      <c r="A46" s="26" t="s">
        <v>8438</v>
      </c>
      <c r="B46" s="26" t="s">
        <v>8439</v>
      </c>
      <c r="C46" s="26" t="s">
        <v>8439</v>
      </c>
      <c r="D46" s="26" t="s">
        <v>2108</v>
      </c>
      <c r="E46" s="26" t="s">
        <v>8325</v>
      </c>
      <c r="F46" s="26" t="s">
        <v>8326</v>
      </c>
      <c r="G46" s="26" t="s">
        <v>8315</v>
      </c>
      <c r="H46" s="26" t="s">
        <v>8316</v>
      </c>
      <c r="I46" s="133"/>
      <c r="J46" s="133"/>
      <c r="K46" s="133"/>
      <c r="L46" s="133"/>
      <c r="M46" s="133"/>
      <c r="N46" s="133"/>
      <c r="O46" s="133"/>
      <c r="P46" s="133"/>
      <c r="Q46" s="133"/>
      <c r="R46" s="133"/>
      <c r="S46" s="133"/>
      <c r="T46" s="133"/>
      <c r="U46" s="133"/>
      <c r="V46" s="133"/>
      <c r="W46" s="133"/>
      <c r="X46" s="133"/>
    </row>
    <row r="47" customFormat="false" ht="15.75" hidden="false" customHeight="false" outlineLevel="0" collapsed="false">
      <c r="A47" s="26" t="s">
        <v>8440</v>
      </c>
      <c r="B47" s="26" t="s">
        <v>8441</v>
      </c>
      <c r="C47" s="26" t="s">
        <v>478</v>
      </c>
      <c r="D47" s="26" t="s">
        <v>478</v>
      </c>
      <c r="E47" s="26" t="s">
        <v>478</v>
      </c>
      <c r="F47" s="26" t="s">
        <v>478</v>
      </c>
      <c r="G47" s="26" t="s">
        <v>478</v>
      </c>
      <c r="H47" s="26" t="s">
        <v>478</v>
      </c>
      <c r="I47" s="133"/>
      <c r="J47" s="133"/>
      <c r="K47" s="133"/>
      <c r="L47" s="133"/>
      <c r="M47" s="133"/>
      <c r="N47" s="133"/>
      <c r="O47" s="133"/>
      <c r="P47" s="133"/>
      <c r="Q47" s="133"/>
      <c r="R47" s="133"/>
      <c r="S47" s="133"/>
      <c r="T47" s="133"/>
      <c r="U47" s="133"/>
      <c r="V47" s="133"/>
      <c r="W47" s="133"/>
      <c r="X47" s="133"/>
    </row>
    <row r="48" customFormat="false" ht="15.75" hidden="false" customHeight="false" outlineLevel="0" collapsed="false">
      <c r="A48" s="26" t="s">
        <v>8442</v>
      </c>
      <c r="B48" s="26" t="s">
        <v>478</v>
      </c>
      <c r="C48" s="26" t="s">
        <v>8443</v>
      </c>
      <c r="D48" s="26" t="s">
        <v>8444</v>
      </c>
      <c r="E48" s="26" t="s">
        <v>8313</v>
      </c>
      <c r="F48" s="26" t="s">
        <v>8314</v>
      </c>
      <c r="G48" s="26" t="s">
        <v>8330</v>
      </c>
      <c r="H48" s="26" t="s">
        <v>8331</v>
      </c>
      <c r="I48" s="133"/>
      <c r="J48" s="133"/>
      <c r="K48" s="133"/>
      <c r="L48" s="133"/>
      <c r="M48" s="133"/>
      <c r="N48" s="133"/>
      <c r="O48" s="133"/>
      <c r="P48" s="133"/>
      <c r="Q48" s="133"/>
      <c r="R48" s="133"/>
      <c r="S48" s="133"/>
      <c r="T48" s="133"/>
      <c r="U48" s="133"/>
      <c r="V48" s="133"/>
      <c r="W48" s="133"/>
      <c r="X48" s="133"/>
    </row>
    <row r="49" customFormat="false" ht="15.75" hidden="false" customHeight="false" outlineLevel="0" collapsed="false">
      <c r="A49" s="26" t="s">
        <v>8445</v>
      </c>
      <c r="B49" s="26" t="s">
        <v>8446</v>
      </c>
      <c r="C49" s="26"/>
      <c r="D49" s="26"/>
      <c r="E49" s="26"/>
      <c r="F49" s="26"/>
      <c r="G49" s="26"/>
      <c r="H49" s="26"/>
      <c r="I49" s="133"/>
      <c r="J49" s="133"/>
      <c r="K49" s="133"/>
      <c r="L49" s="133"/>
      <c r="M49" s="133"/>
      <c r="N49" s="133"/>
      <c r="O49" s="133"/>
      <c r="P49" s="133"/>
      <c r="Q49" s="133"/>
      <c r="R49" s="133"/>
      <c r="S49" s="133"/>
      <c r="T49" s="133"/>
      <c r="U49" s="133"/>
      <c r="V49" s="133"/>
      <c r="W49" s="133"/>
      <c r="X49" s="133"/>
    </row>
    <row r="50" customFormat="false" ht="15.75" hidden="false" customHeight="false" outlineLevel="0" collapsed="false">
      <c r="A50" s="26" t="s">
        <v>1030</v>
      </c>
      <c r="B50" s="26" t="s">
        <v>8447</v>
      </c>
      <c r="C50" s="26" t="s">
        <v>8447</v>
      </c>
      <c r="D50" s="26" t="s">
        <v>88</v>
      </c>
      <c r="E50" s="26" t="s">
        <v>8344</v>
      </c>
      <c r="F50" s="26" t="s">
        <v>8345</v>
      </c>
      <c r="G50" s="26" t="s">
        <v>8315</v>
      </c>
      <c r="H50" s="26" t="s">
        <v>8316</v>
      </c>
      <c r="I50" s="133"/>
      <c r="J50" s="133"/>
      <c r="K50" s="133"/>
      <c r="L50" s="133"/>
      <c r="M50" s="133"/>
      <c r="N50" s="133"/>
      <c r="O50" s="133"/>
      <c r="P50" s="133"/>
      <c r="Q50" s="133"/>
      <c r="R50" s="133"/>
      <c r="S50" s="133"/>
      <c r="T50" s="133"/>
      <c r="U50" s="133"/>
      <c r="V50" s="133"/>
      <c r="W50" s="133"/>
      <c r="X50" s="133"/>
    </row>
    <row r="51" customFormat="false" ht="15.75" hidden="false" customHeight="false" outlineLevel="0" collapsed="false">
      <c r="A51" s="26" t="s">
        <v>8448</v>
      </c>
      <c r="B51" s="26" t="s">
        <v>8449</v>
      </c>
      <c r="C51" s="26" t="s">
        <v>8449</v>
      </c>
      <c r="D51" s="26" t="s">
        <v>8450</v>
      </c>
      <c r="E51" s="26" t="s">
        <v>8335</v>
      </c>
      <c r="F51" s="26" t="s">
        <v>8336</v>
      </c>
      <c r="G51" s="26" t="s">
        <v>8306</v>
      </c>
      <c r="H51" s="26" t="s">
        <v>8307</v>
      </c>
      <c r="I51" s="133"/>
      <c r="J51" s="133"/>
      <c r="K51" s="133"/>
      <c r="L51" s="133"/>
      <c r="M51" s="133"/>
      <c r="N51" s="133"/>
      <c r="O51" s="133"/>
      <c r="P51" s="133"/>
      <c r="Q51" s="133"/>
      <c r="R51" s="133"/>
      <c r="S51" s="133"/>
      <c r="T51" s="133"/>
      <c r="U51" s="133"/>
      <c r="V51" s="133"/>
      <c r="W51" s="133"/>
      <c r="X51" s="133"/>
    </row>
    <row r="52" customFormat="false" ht="15.75" hidden="false" customHeight="false" outlineLevel="0" collapsed="false">
      <c r="A52" s="26" t="s">
        <v>8451</v>
      </c>
      <c r="B52" s="26" t="s">
        <v>8452</v>
      </c>
      <c r="C52" s="26" t="s">
        <v>8453</v>
      </c>
      <c r="D52" s="26" t="s">
        <v>8454</v>
      </c>
      <c r="E52" s="26" t="s">
        <v>8335</v>
      </c>
      <c r="F52" s="26" t="s">
        <v>8336</v>
      </c>
      <c r="G52" s="26" t="s">
        <v>8350</v>
      </c>
      <c r="H52" s="26" t="s">
        <v>8351</v>
      </c>
      <c r="I52" s="133"/>
      <c r="J52" s="133"/>
      <c r="K52" s="133"/>
      <c r="L52" s="133"/>
      <c r="M52" s="133"/>
      <c r="N52" s="133"/>
      <c r="O52" s="133"/>
      <c r="P52" s="133"/>
      <c r="Q52" s="133"/>
      <c r="R52" s="133"/>
      <c r="S52" s="133"/>
      <c r="T52" s="133"/>
      <c r="U52" s="133"/>
      <c r="V52" s="133"/>
      <c r="W52" s="133"/>
      <c r="X52" s="133"/>
    </row>
    <row r="53" customFormat="false" ht="15.75" hidden="false" customHeight="false" outlineLevel="0" collapsed="false">
      <c r="A53" s="26" t="s">
        <v>8455</v>
      </c>
      <c r="B53" s="26" t="s">
        <v>8456</v>
      </c>
      <c r="C53" s="26" t="s">
        <v>8457</v>
      </c>
      <c r="D53" s="26" t="s">
        <v>8458</v>
      </c>
      <c r="E53" s="26" t="s">
        <v>8335</v>
      </c>
      <c r="F53" s="26" t="s">
        <v>8336</v>
      </c>
      <c r="G53" s="26" t="s">
        <v>8306</v>
      </c>
      <c r="H53" s="26" t="s">
        <v>8307</v>
      </c>
      <c r="I53" s="133"/>
      <c r="J53" s="133"/>
      <c r="K53" s="133"/>
      <c r="L53" s="133"/>
      <c r="M53" s="133"/>
      <c r="N53" s="133"/>
      <c r="O53" s="133"/>
      <c r="P53" s="133"/>
      <c r="Q53" s="133"/>
      <c r="R53" s="133"/>
      <c r="S53" s="133"/>
      <c r="T53" s="133"/>
      <c r="U53" s="133"/>
      <c r="V53" s="133"/>
      <c r="W53" s="133"/>
      <c r="X53" s="133"/>
    </row>
    <row r="54" customFormat="false" ht="15.75" hidden="false" customHeight="false" outlineLevel="0" collapsed="false">
      <c r="A54" s="26" t="s">
        <v>8459</v>
      </c>
      <c r="B54" s="26" t="s">
        <v>8460</v>
      </c>
      <c r="C54" s="26" t="s">
        <v>478</v>
      </c>
      <c r="D54" s="26" t="s">
        <v>478</v>
      </c>
      <c r="E54" s="26" t="s">
        <v>478</v>
      </c>
      <c r="F54" s="26" t="s">
        <v>478</v>
      </c>
      <c r="G54" s="26" t="s">
        <v>478</v>
      </c>
      <c r="H54" s="26" t="s">
        <v>478</v>
      </c>
      <c r="I54" s="133"/>
      <c r="J54" s="133"/>
      <c r="K54" s="133"/>
      <c r="L54" s="133"/>
      <c r="M54" s="133"/>
      <c r="N54" s="133"/>
      <c r="O54" s="133"/>
      <c r="P54" s="133"/>
      <c r="Q54" s="133"/>
      <c r="R54" s="133"/>
      <c r="S54" s="133"/>
      <c r="T54" s="133"/>
      <c r="U54" s="133"/>
      <c r="V54" s="133"/>
      <c r="W54" s="133"/>
      <c r="X54" s="133"/>
    </row>
    <row r="55" customFormat="false" ht="15.75" hidden="false" customHeight="false" outlineLevel="0" collapsed="false">
      <c r="A55" s="26" t="s">
        <v>8461</v>
      </c>
      <c r="B55" s="26" t="s">
        <v>8462</v>
      </c>
      <c r="C55" s="26" t="s">
        <v>8462</v>
      </c>
      <c r="D55" s="26" t="s">
        <v>547</v>
      </c>
      <c r="E55" s="26" t="s">
        <v>8344</v>
      </c>
      <c r="F55" s="26" t="s">
        <v>8345</v>
      </c>
      <c r="G55" s="26" t="s">
        <v>8315</v>
      </c>
      <c r="H55" s="26" t="s">
        <v>8316</v>
      </c>
      <c r="I55" s="133"/>
      <c r="J55" s="133"/>
      <c r="K55" s="133"/>
      <c r="L55" s="133"/>
      <c r="M55" s="133"/>
      <c r="N55" s="133"/>
      <c r="O55" s="133"/>
      <c r="P55" s="133"/>
      <c r="Q55" s="133"/>
      <c r="R55" s="133"/>
      <c r="S55" s="133"/>
      <c r="T55" s="133"/>
      <c r="U55" s="133"/>
      <c r="V55" s="133"/>
      <c r="W55" s="133"/>
      <c r="X55" s="133"/>
    </row>
    <row r="56" customFormat="false" ht="15.75" hidden="false" customHeight="false" outlineLevel="0" collapsed="false">
      <c r="A56" s="26" t="s">
        <v>8463</v>
      </c>
      <c r="B56" s="26" t="s">
        <v>8464</v>
      </c>
      <c r="C56" s="26" t="s">
        <v>8464</v>
      </c>
      <c r="D56" s="26" t="s">
        <v>8465</v>
      </c>
      <c r="E56" s="26" t="s">
        <v>8335</v>
      </c>
      <c r="F56" s="26" t="s">
        <v>8336</v>
      </c>
      <c r="G56" s="26" t="s">
        <v>8350</v>
      </c>
      <c r="H56" s="26" t="s">
        <v>8351</v>
      </c>
      <c r="I56" s="133"/>
      <c r="J56" s="133"/>
      <c r="K56" s="133"/>
      <c r="L56" s="133"/>
      <c r="M56" s="133"/>
      <c r="N56" s="133"/>
      <c r="O56" s="133"/>
      <c r="P56" s="133"/>
      <c r="Q56" s="133"/>
      <c r="R56" s="133"/>
      <c r="S56" s="133"/>
      <c r="T56" s="133"/>
      <c r="U56" s="133"/>
      <c r="V56" s="133"/>
      <c r="W56" s="133"/>
      <c r="X56" s="133"/>
    </row>
    <row r="57" customFormat="false" ht="15.75" hidden="false" customHeight="false" outlineLevel="0" collapsed="false">
      <c r="A57" s="26" t="s">
        <v>8466</v>
      </c>
      <c r="B57" s="26" t="s">
        <v>8467</v>
      </c>
      <c r="C57" s="26" t="s">
        <v>8467</v>
      </c>
      <c r="D57" s="26" t="s">
        <v>8468</v>
      </c>
      <c r="E57" s="26" t="s">
        <v>8313</v>
      </c>
      <c r="F57" s="26" t="s">
        <v>8314</v>
      </c>
      <c r="G57" s="26" t="s">
        <v>8330</v>
      </c>
      <c r="H57" s="26" t="s">
        <v>8331</v>
      </c>
      <c r="I57" s="133"/>
      <c r="J57" s="133"/>
      <c r="K57" s="133"/>
      <c r="L57" s="133"/>
      <c r="M57" s="133"/>
      <c r="N57" s="133"/>
      <c r="O57" s="133"/>
      <c r="P57" s="133"/>
      <c r="Q57" s="133"/>
      <c r="R57" s="133"/>
      <c r="S57" s="133"/>
      <c r="T57" s="133"/>
      <c r="U57" s="133"/>
      <c r="V57" s="133"/>
      <c r="W57" s="133"/>
      <c r="X57" s="133"/>
    </row>
    <row r="58" customFormat="false" ht="15.75" hidden="false" customHeight="false" outlineLevel="0" collapsed="false">
      <c r="A58" s="26" t="s">
        <v>8469</v>
      </c>
      <c r="B58" s="26" t="s">
        <v>8470</v>
      </c>
      <c r="C58" s="26" t="s">
        <v>8470</v>
      </c>
      <c r="D58" s="26" t="s">
        <v>8471</v>
      </c>
      <c r="E58" s="26" t="s">
        <v>8344</v>
      </c>
      <c r="F58" s="26" t="s">
        <v>8345</v>
      </c>
      <c r="G58" s="26" t="s">
        <v>8315</v>
      </c>
      <c r="H58" s="26" t="s">
        <v>8316</v>
      </c>
      <c r="I58" s="133"/>
      <c r="J58" s="133"/>
      <c r="K58" s="133"/>
      <c r="L58" s="133"/>
      <c r="M58" s="133"/>
      <c r="N58" s="133"/>
      <c r="O58" s="133"/>
      <c r="P58" s="133"/>
      <c r="Q58" s="133"/>
      <c r="R58" s="133"/>
      <c r="S58" s="133"/>
      <c r="T58" s="133"/>
      <c r="U58" s="133"/>
      <c r="V58" s="133"/>
      <c r="W58" s="133"/>
      <c r="X58" s="133"/>
    </row>
    <row r="59" customFormat="false" ht="15.75" hidden="false" customHeight="false" outlineLevel="0" collapsed="false">
      <c r="A59" s="26" t="s">
        <v>8472</v>
      </c>
      <c r="B59" s="26" t="s">
        <v>8473</v>
      </c>
      <c r="C59" s="26" t="s">
        <v>8473</v>
      </c>
      <c r="D59" s="26" t="s">
        <v>8474</v>
      </c>
      <c r="E59" s="26" t="s">
        <v>8344</v>
      </c>
      <c r="F59" s="26" t="s">
        <v>8345</v>
      </c>
      <c r="G59" s="26" t="s">
        <v>8330</v>
      </c>
      <c r="H59" s="26" t="s">
        <v>8331</v>
      </c>
      <c r="I59" s="133"/>
      <c r="J59" s="133"/>
      <c r="K59" s="133"/>
      <c r="L59" s="133"/>
      <c r="M59" s="133"/>
      <c r="N59" s="133"/>
      <c r="O59" s="133"/>
      <c r="P59" s="133"/>
      <c r="Q59" s="133"/>
      <c r="R59" s="133"/>
      <c r="S59" s="133"/>
      <c r="T59" s="133"/>
      <c r="U59" s="133"/>
      <c r="V59" s="133"/>
      <c r="W59" s="133"/>
      <c r="X59" s="133"/>
    </row>
    <row r="60" customFormat="false" ht="15.75" hidden="false" customHeight="false" outlineLevel="0" collapsed="false">
      <c r="A60" s="26" t="s">
        <v>8475</v>
      </c>
      <c r="B60" s="26" t="s">
        <v>8476</v>
      </c>
      <c r="C60" s="26" t="s">
        <v>8476</v>
      </c>
      <c r="D60" s="26" t="s">
        <v>8477</v>
      </c>
      <c r="E60" s="26" t="s">
        <v>8313</v>
      </c>
      <c r="F60" s="26" t="s">
        <v>8314</v>
      </c>
      <c r="G60" s="26" t="s">
        <v>8330</v>
      </c>
      <c r="H60" s="26" t="s">
        <v>8331</v>
      </c>
      <c r="I60" s="133"/>
      <c r="J60" s="133"/>
      <c r="K60" s="133"/>
      <c r="L60" s="133"/>
      <c r="M60" s="133"/>
      <c r="N60" s="133"/>
      <c r="O60" s="133"/>
      <c r="P60" s="133"/>
      <c r="Q60" s="133"/>
      <c r="R60" s="133"/>
      <c r="S60" s="133"/>
      <c r="T60" s="133"/>
      <c r="U60" s="133"/>
      <c r="V60" s="133"/>
      <c r="W60" s="133"/>
      <c r="X60" s="133"/>
    </row>
    <row r="61" customFormat="false" ht="15.75" hidden="false" customHeight="false" outlineLevel="0" collapsed="false">
      <c r="A61" s="26" t="s">
        <v>8478</v>
      </c>
      <c r="B61" s="26" t="s">
        <v>8479</v>
      </c>
      <c r="C61" s="26" t="s">
        <v>8479</v>
      </c>
      <c r="D61" s="26" t="s">
        <v>2616</v>
      </c>
      <c r="E61" s="26" t="s">
        <v>8313</v>
      </c>
      <c r="F61" s="26" t="s">
        <v>8314</v>
      </c>
      <c r="G61" s="26" t="s">
        <v>8330</v>
      </c>
      <c r="H61" s="26" t="s">
        <v>8331</v>
      </c>
      <c r="I61" s="133"/>
      <c r="J61" s="133"/>
      <c r="K61" s="133"/>
      <c r="L61" s="133"/>
      <c r="M61" s="133"/>
      <c r="N61" s="133"/>
      <c r="O61" s="133"/>
      <c r="P61" s="133"/>
      <c r="Q61" s="133"/>
      <c r="R61" s="133"/>
      <c r="S61" s="133"/>
      <c r="T61" s="133"/>
      <c r="U61" s="133"/>
      <c r="V61" s="133"/>
      <c r="W61" s="133"/>
      <c r="X61" s="133"/>
    </row>
    <row r="62" customFormat="false" ht="15.75" hidden="false" customHeight="false" outlineLevel="0" collapsed="false">
      <c r="A62" s="26" t="s">
        <v>8480</v>
      </c>
      <c r="B62" s="26" t="s">
        <v>8481</v>
      </c>
      <c r="C62" s="26" t="s">
        <v>8481</v>
      </c>
      <c r="D62" s="26" t="s">
        <v>7370</v>
      </c>
      <c r="E62" s="26" t="s">
        <v>8313</v>
      </c>
      <c r="F62" s="26" t="s">
        <v>8314</v>
      </c>
      <c r="G62" s="26" t="s">
        <v>8330</v>
      </c>
      <c r="H62" s="26" t="s">
        <v>8331</v>
      </c>
      <c r="I62" s="133"/>
      <c r="J62" s="133"/>
      <c r="K62" s="133"/>
      <c r="L62" s="133"/>
      <c r="M62" s="133"/>
      <c r="N62" s="133"/>
      <c r="O62" s="133"/>
      <c r="P62" s="133"/>
      <c r="Q62" s="133"/>
      <c r="R62" s="133"/>
      <c r="S62" s="133"/>
      <c r="T62" s="133"/>
      <c r="U62" s="133"/>
      <c r="V62" s="133"/>
      <c r="W62" s="133"/>
      <c r="X62" s="133"/>
    </row>
    <row r="63" customFormat="false" ht="15.75" hidden="false" customHeight="false" outlineLevel="0" collapsed="false">
      <c r="A63" s="26" t="s">
        <v>8482</v>
      </c>
      <c r="B63" s="26" t="s">
        <v>8483</v>
      </c>
      <c r="C63" s="26" t="s">
        <v>8483</v>
      </c>
      <c r="D63" s="26" t="s">
        <v>8484</v>
      </c>
      <c r="E63" s="26" t="s">
        <v>8320</v>
      </c>
      <c r="F63" s="26" t="s">
        <v>8321</v>
      </c>
      <c r="G63" s="26" t="s">
        <v>8350</v>
      </c>
      <c r="H63" s="26" t="s">
        <v>8351</v>
      </c>
      <c r="I63" s="133"/>
      <c r="J63" s="133"/>
      <c r="K63" s="133"/>
      <c r="L63" s="133"/>
      <c r="M63" s="133"/>
      <c r="N63" s="133"/>
      <c r="O63" s="133"/>
      <c r="P63" s="133"/>
      <c r="Q63" s="133"/>
      <c r="R63" s="133"/>
      <c r="S63" s="133"/>
      <c r="T63" s="133"/>
      <c r="U63" s="133"/>
      <c r="V63" s="133"/>
      <c r="W63" s="133"/>
      <c r="X63" s="133"/>
    </row>
    <row r="64" customFormat="false" ht="15.75" hidden="false" customHeight="false" outlineLevel="0" collapsed="false">
      <c r="A64" s="26" t="s">
        <v>8485</v>
      </c>
      <c r="B64" s="26" t="s">
        <v>8486</v>
      </c>
      <c r="C64" s="26" t="s">
        <v>8486</v>
      </c>
      <c r="D64" s="26" t="s">
        <v>8487</v>
      </c>
      <c r="E64" s="26" t="s">
        <v>8344</v>
      </c>
      <c r="F64" s="26" t="s">
        <v>8345</v>
      </c>
      <c r="G64" s="26" t="s">
        <v>8315</v>
      </c>
      <c r="H64" s="26" t="s">
        <v>8316</v>
      </c>
      <c r="I64" s="133"/>
      <c r="J64" s="133"/>
      <c r="K64" s="133"/>
      <c r="L64" s="133"/>
      <c r="M64" s="133"/>
      <c r="N64" s="133"/>
      <c r="O64" s="133"/>
      <c r="P64" s="133"/>
      <c r="Q64" s="133"/>
      <c r="R64" s="133"/>
      <c r="S64" s="133"/>
      <c r="T64" s="133"/>
      <c r="U64" s="133"/>
      <c r="V64" s="133"/>
      <c r="W64" s="133"/>
      <c r="X64" s="133"/>
    </row>
    <row r="65" customFormat="false" ht="15.75" hidden="false" customHeight="false" outlineLevel="0" collapsed="false">
      <c r="A65" s="26" t="s">
        <v>8488</v>
      </c>
      <c r="B65" s="26" t="s">
        <v>8489</v>
      </c>
      <c r="C65" s="26" t="s">
        <v>8489</v>
      </c>
      <c r="D65" s="26" t="s">
        <v>8490</v>
      </c>
      <c r="E65" s="26" t="s">
        <v>8344</v>
      </c>
      <c r="F65" s="26" t="s">
        <v>8345</v>
      </c>
      <c r="G65" s="26" t="s">
        <v>8315</v>
      </c>
      <c r="H65" s="26" t="s">
        <v>8316</v>
      </c>
      <c r="I65" s="133"/>
      <c r="J65" s="133"/>
      <c r="K65" s="133"/>
      <c r="L65" s="133"/>
      <c r="M65" s="133"/>
      <c r="N65" s="133"/>
      <c r="O65" s="133"/>
      <c r="P65" s="133"/>
      <c r="Q65" s="133"/>
      <c r="R65" s="133"/>
      <c r="S65" s="133"/>
      <c r="T65" s="133"/>
      <c r="U65" s="133"/>
      <c r="V65" s="133"/>
      <c r="W65" s="133"/>
      <c r="X65" s="133"/>
    </row>
    <row r="66" customFormat="false" ht="15.75" hidden="false" customHeight="false" outlineLevel="0" collapsed="false">
      <c r="A66" s="26" t="s">
        <v>8491</v>
      </c>
      <c r="B66" s="26" t="s">
        <v>8492</v>
      </c>
      <c r="C66" s="26" t="s">
        <v>8492</v>
      </c>
      <c r="D66" s="26" t="s">
        <v>4022</v>
      </c>
      <c r="E66" s="26" t="s">
        <v>8344</v>
      </c>
      <c r="F66" s="26" t="s">
        <v>8345</v>
      </c>
      <c r="G66" s="26" t="s">
        <v>8315</v>
      </c>
      <c r="H66" s="26" t="s">
        <v>8316</v>
      </c>
      <c r="I66" s="133"/>
      <c r="J66" s="133"/>
      <c r="K66" s="133"/>
      <c r="L66" s="133"/>
      <c r="M66" s="133"/>
      <c r="N66" s="133"/>
      <c r="O66" s="133"/>
      <c r="P66" s="133"/>
      <c r="Q66" s="133"/>
      <c r="R66" s="133"/>
      <c r="S66" s="133"/>
      <c r="T66" s="133"/>
      <c r="U66" s="133"/>
      <c r="V66" s="133"/>
      <c r="W66" s="133"/>
      <c r="X66" s="133"/>
    </row>
    <row r="67" customFormat="false" ht="15.75" hidden="false" customHeight="false" outlineLevel="0" collapsed="false">
      <c r="A67" s="26" t="s">
        <v>8493</v>
      </c>
      <c r="B67" s="26" t="s">
        <v>8494</v>
      </c>
      <c r="C67" s="26" t="s">
        <v>8495</v>
      </c>
      <c r="D67" s="26" t="s">
        <v>8496</v>
      </c>
      <c r="E67" s="26" t="s">
        <v>8320</v>
      </c>
      <c r="F67" s="26" t="s">
        <v>8321</v>
      </c>
      <c r="G67" s="26" t="s">
        <v>8350</v>
      </c>
      <c r="H67" s="26" t="s">
        <v>8351</v>
      </c>
      <c r="I67" s="133"/>
      <c r="J67" s="133"/>
      <c r="K67" s="133"/>
      <c r="L67" s="133"/>
      <c r="M67" s="133"/>
      <c r="N67" s="133"/>
      <c r="O67" s="133"/>
      <c r="P67" s="133"/>
      <c r="Q67" s="133"/>
      <c r="R67" s="133"/>
      <c r="S67" s="133"/>
      <c r="T67" s="133"/>
      <c r="U67" s="133"/>
      <c r="V67" s="133"/>
      <c r="W67" s="133"/>
      <c r="X67" s="133"/>
    </row>
    <row r="68" customFormat="false" ht="15.75" hidden="false" customHeight="false" outlineLevel="0" collapsed="false">
      <c r="A68" s="26" t="s">
        <v>8497</v>
      </c>
      <c r="B68" s="26" t="s">
        <v>8498</v>
      </c>
      <c r="C68" s="26" t="s">
        <v>8498</v>
      </c>
      <c r="D68" s="26" t="s">
        <v>1773</v>
      </c>
      <c r="E68" s="26" t="s">
        <v>8344</v>
      </c>
      <c r="F68" s="26" t="s">
        <v>8345</v>
      </c>
      <c r="G68" s="26" t="s">
        <v>8350</v>
      </c>
      <c r="H68" s="26" t="s">
        <v>8351</v>
      </c>
      <c r="I68" s="133"/>
      <c r="J68" s="133"/>
      <c r="K68" s="133"/>
      <c r="L68" s="133"/>
      <c r="M68" s="133"/>
      <c r="N68" s="133"/>
      <c r="O68" s="133"/>
      <c r="P68" s="133"/>
      <c r="Q68" s="133"/>
      <c r="R68" s="133"/>
      <c r="S68" s="133"/>
      <c r="T68" s="133"/>
      <c r="U68" s="133"/>
      <c r="V68" s="133"/>
      <c r="W68" s="133"/>
      <c r="X68" s="133"/>
    </row>
    <row r="69" customFormat="false" ht="15.75" hidden="false" customHeight="false" outlineLevel="0" collapsed="false">
      <c r="A69" s="26" t="s">
        <v>8499</v>
      </c>
      <c r="B69" s="26" t="s">
        <v>8500</v>
      </c>
      <c r="C69" s="26" t="s">
        <v>8500</v>
      </c>
      <c r="D69" s="26" t="s">
        <v>8501</v>
      </c>
      <c r="E69" s="26" t="s">
        <v>8335</v>
      </c>
      <c r="F69" s="26" t="s">
        <v>8336</v>
      </c>
      <c r="G69" s="26" t="s">
        <v>8330</v>
      </c>
      <c r="H69" s="26" t="s">
        <v>8331</v>
      </c>
      <c r="I69" s="133"/>
      <c r="J69" s="133"/>
      <c r="K69" s="133"/>
      <c r="L69" s="133"/>
      <c r="M69" s="133"/>
      <c r="N69" s="133"/>
      <c r="O69" s="133"/>
      <c r="P69" s="133"/>
      <c r="Q69" s="133"/>
      <c r="R69" s="133"/>
      <c r="S69" s="133"/>
      <c r="T69" s="133"/>
      <c r="U69" s="133"/>
      <c r="V69" s="133"/>
      <c r="W69" s="133"/>
      <c r="X69" s="133"/>
    </row>
    <row r="70" customFormat="false" ht="15.75" hidden="false" customHeight="false" outlineLevel="0" collapsed="false">
      <c r="A70" s="26" t="s">
        <v>8502</v>
      </c>
      <c r="B70" s="26" t="s">
        <v>8503</v>
      </c>
      <c r="C70" s="26" t="s">
        <v>8503</v>
      </c>
      <c r="D70" s="26" t="s">
        <v>8504</v>
      </c>
      <c r="E70" s="26" t="s">
        <v>8335</v>
      </c>
      <c r="F70" s="26" t="s">
        <v>8336</v>
      </c>
      <c r="G70" s="26" t="s">
        <v>8306</v>
      </c>
      <c r="H70" s="26" t="s">
        <v>8307</v>
      </c>
      <c r="I70" s="133"/>
      <c r="J70" s="133"/>
      <c r="K70" s="133"/>
      <c r="L70" s="133"/>
      <c r="M70" s="133"/>
      <c r="N70" s="133"/>
      <c r="O70" s="133"/>
      <c r="P70" s="133"/>
      <c r="Q70" s="133"/>
      <c r="R70" s="133"/>
      <c r="S70" s="133"/>
      <c r="T70" s="133"/>
      <c r="U70" s="133"/>
      <c r="V70" s="133"/>
      <c r="W70" s="133"/>
      <c r="X70" s="133"/>
    </row>
    <row r="71" customFormat="false" ht="15.75" hidden="false" customHeight="false" outlineLevel="0" collapsed="false">
      <c r="A71" s="26" t="s">
        <v>8505</v>
      </c>
      <c r="B71" s="26" t="s">
        <v>8506</v>
      </c>
      <c r="C71" s="26" t="s">
        <v>8506</v>
      </c>
      <c r="D71" s="26" t="s">
        <v>8507</v>
      </c>
      <c r="E71" s="26" t="s">
        <v>8313</v>
      </c>
      <c r="F71" s="26" t="s">
        <v>8314</v>
      </c>
      <c r="G71" s="26" t="s">
        <v>8330</v>
      </c>
      <c r="H71" s="26" t="s">
        <v>8331</v>
      </c>
      <c r="I71" s="133"/>
      <c r="J71" s="133"/>
      <c r="K71" s="133"/>
      <c r="L71" s="133"/>
      <c r="M71" s="133"/>
      <c r="N71" s="133"/>
      <c r="O71" s="133"/>
      <c r="P71" s="133"/>
      <c r="Q71" s="133"/>
      <c r="R71" s="133"/>
      <c r="S71" s="133"/>
      <c r="T71" s="133"/>
      <c r="U71" s="133"/>
      <c r="V71" s="133"/>
      <c r="W71" s="133"/>
      <c r="X71" s="133"/>
    </row>
    <row r="72" customFormat="false" ht="15.75" hidden="false" customHeight="false" outlineLevel="0" collapsed="false">
      <c r="A72" s="26" t="s">
        <v>8508</v>
      </c>
      <c r="B72" s="26" t="s">
        <v>8509</v>
      </c>
      <c r="C72" s="26" t="s">
        <v>8509</v>
      </c>
      <c r="D72" s="26" t="s">
        <v>8510</v>
      </c>
      <c r="E72" s="26" t="s">
        <v>8335</v>
      </c>
      <c r="F72" s="26" t="s">
        <v>8336</v>
      </c>
      <c r="G72" s="26" t="s">
        <v>8306</v>
      </c>
      <c r="H72" s="26" t="s">
        <v>8307</v>
      </c>
      <c r="I72" s="133"/>
      <c r="J72" s="133"/>
      <c r="K72" s="133"/>
      <c r="L72" s="133"/>
      <c r="M72" s="133"/>
      <c r="N72" s="133"/>
      <c r="O72" s="133"/>
      <c r="P72" s="133"/>
      <c r="Q72" s="133"/>
      <c r="R72" s="133"/>
      <c r="S72" s="133"/>
      <c r="T72" s="133"/>
      <c r="U72" s="133"/>
      <c r="V72" s="133"/>
      <c r="W72" s="133"/>
      <c r="X72" s="133"/>
    </row>
    <row r="73" customFormat="false" ht="15.75" hidden="false" customHeight="false" outlineLevel="0" collapsed="false">
      <c r="A73" s="26" t="s">
        <v>8511</v>
      </c>
      <c r="B73" s="26" t="s">
        <v>8512</v>
      </c>
      <c r="C73" s="26"/>
      <c r="D73" s="26"/>
      <c r="E73" s="26"/>
      <c r="F73" s="26"/>
      <c r="G73" s="26"/>
      <c r="H73" s="26"/>
      <c r="I73" s="133"/>
      <c r="J73" s="133"/>
      <c r="K73" s="133"/>
      <c r="L73" s="133"/>
      <c r="M73" s="133"/>
      <c r="N73" s="133"/>
      <c r="O73" s="133"/>
      <c r="P73" s="133"/>
      <c r="Q73" s="133"/>
      <c r="R73" s="133"/>
      <c r="S73" s="133"/>
      <c r="T73" s="133"/>
      <c r="U73" s="133"/>
      <c r="V73" s="133"/>
      <c r="W73" s="133"/>
      <c r="X73" s="133"/>
    </row>
    <row r="74" customFormat="false" ht="15.75" hidden="false" customHeight="false" outlineLevel="0" collapsed="false">
      <c r="A74" s="26" t="s">
        <v>8513</v>
      </c>
      <c r="B74" s="26" t="s">
        <v>8514</v>
      </c>
      <c r="C74" s="26" t="s">
        <v>8515</v>
      </c>
      <c r="D74" s="26" t="s">
        <v>8516</v>
      </c>
      <c r="E74" s="26" t="s">
        <v>8313</v>
      </c>
      <c r="F74" s="26" t="s">
        <v>8314</v>
      </c>
      <c r="G74" s="26" t="s">
        <v>8330</v>
      </c>
      <c r="H74" s="26" t="s">
        <v>8331</v>
      </c>
      <c r="I74" s="133"/>
      <c r="J74" s="133"/>
      <c r="K74" s="133"/>
      <c r="L74" s="133"/>
      <c r="M74" s="133"/>
      <c r="N74" s="133"/>
      <c r="O74" s="133"/>
      <c r="P74" s="133"/>
      <c r="Q74" s="133"/>
      <c r="R74" s="133"/>
      <c r="S74" s="133"/>
      <c r="T74" s="133"/>
      <c r="U74" s="133"/>
      <c r="V74" s="133"/>
      <c r="W74" s="133"/>
      <c r="X74" s="133"/>
    </row>
    <row r="75" customFormat="false" ht="15.75" hidden="false" customHeight="false" outlineLevel="0" collapsed="false">
      <c r="A75" s="26" t="s">
        <v>8517</v>
      </c>
      <c r="B75" s="26" t="s">
        <v>8518</v>
      </c>
      <c r="C75" s="26" t="s">
        <v>8518</v>
      </c>
      <c r="D75" s="26" t="s">
        <v>8519</v>
      </c>
      <c r="E75" s="26" t="s">
        <v>8325</v>
      </c>
      <c r="F75" s="26" t="s">
        <v>8326</v>
      </c>
      <c r="G75" s="26" t="s">
        <v>8315</v>
      </c>
      <c r="H75" s="26" t="s">
        <v>8316</v>
      </c>
      <c r="I75" s="133"/>
      <c r="J75" s="133"/>
      <c r="K75" s="133"/>
      <c r="L75" s="133"/>
      <c r="M75" s="133"/>
      <c r="N75" s="133"/>
      <c r="O75" s="133"/>
      <c r="P75" s="133"/>
      <c r="Q75" s="133"/>
      <c r="R75" s="133"/>
      <c r="S75" s="133"/>
      <c r="T75" s="133"/>
      <c r="U75" s="133"/>
      <c r="V75" s="133"/>
      <c r="W75" s="133"/>
      <c r="X75" s="133"/>
    </row>
    <row r="76" customFormat="false" ht="15.75" hidden="false" customHeight="false" outlineLevel="0" collapsed="false">
      <c r="A76" s="26" t="s">
        <v>8520</v>
      </c>
      <c r="B76" s="26" t="s">
        <v>8521</v>
      </c>
      <c r="C76" s="26" t="s">
        <v>8521</v>
      </c>
      <c r="D76" s="26" t="s">
        <v>2073</v>
      </c>
      <c r="E76" s="26" t="s">
        <v>8313</v>
      </c>
      <c r="F76" s="26" t="s">
        <v>8314</v>
      </c>
      <c r="G76" s="26" t="s">
        <v>8330</v>
      </c>
      <c r="H76" s="26" t="s">
        <v>8331</v>
      </c>
      <c r="I76" s="133"/>
      <c r="J76" s="133"/>
      <c r="K76" s="133"/>
      <c r="L76" s="133"/>
      <c r="M76" s="133"/>
      <c r="N76" s="133"/>
      <c r="O76" s="133"/>
      <c r="P76" s="133"/>
      <c r="Q76" s="133"/>
      <c r="R76" s="133"/>
      <c r="S76" s="133"/>
      <c r="T76" s="133"/>
      <c r="U76" s="133"/>
      <c r="V76" s="133"/>
      <c r="W76" s="133"/>
      <c r="X76" s="133"/>
    </row>
    <row r="77" customFormat="false" ht="15.75" hidden="false" customHeight="false" outlineLevel="0" collapsed="false">
      <c r="A77" s="26" t="s">
        <v>8522</v>
      </c>
      <c r="B77" s="26" t="s">
        <v>8523</v>
      </c>
      <c r="C77" s="26" t="s">
        <v>8523</v>
      </c>
      <c r="D77" s="26" t="s">
        <v>886</v>
      </c>
      <c r="E77" s="26" t="s">
        <v>8313</v>
      </c>
      <c r="F77" s="26" t="s">
        <v>8314</v>
      </c>
      <c r="G77" s="26" t="s">
        <v>8330</v>
      </c>
      <c r="H77" s="26" t="s">
        <v>8331</v>
      </c>
      <c r="I77" s="133"/>
      <c r="J77" s="133"/>
      <c r="K77" s="133"/>
      <c r="L77" s="133"/>
      <c r="M77" s="133"/>
      <c r="N77" s="133"/>
      <c r="O77" s="133"/>
      <c r="P77" s="133"/>
      <c r="Q77" s="133"/>
      <c r="R77" s="133"/>
      <c r="S77" s="133"/>
      <c r="T77" s="133"/>
      <c r="U77" s="133"/>
      <c r="V77" s="133"/>
      <c r="W77" s="133"/>
      <c r="X77" s="133"/>
    </row>
    <row r="78" customFormat="false" ht="15.75" hidden="false" customHeight="false" outlineLevel="0" collapsed="false">
      <c r="A78" s="26" t="s">
        <v>8524</v>
      </c>
      <c r="B78" s="26" t="s">
        <v>8525</v>
      </c>
      <c r="C78" s="26" t="s">
        <v>478</v>
      </c>
      <c r="D78" s="26" t="s">
        <v>478</v>
      </c>
      <c r="E78" s="26" t="s">
        <v>478</v>
      </c>
      <c r="F78" s="26" t="s">
        <v>478</v>
      </c>
      <c r="G78" s="26" t="s">
        <v>478</v>
      </c>
      <c r="H78" s="26" t="s">
        <v>478</v>
      </c>
      <c r="I78" s="133"/>
      <c r="J78" s="133"/>
      <c r="K78" s="133"/>
      <c r="L78" s="133"/>
      <c r="M78" s="133"/>
      <c r="N78" s="133"/>
      <c r="O78" s="133"/>
      <c r="P78" s="133"/>
      <c r="Q78" s="133"/>
      <c r="R78" s="133"/>
      <c r="S78" s="133"/>
      <c r="T78" s="133"/>
      <c r="U78" s="133"/>
      <c r="V78" s="133"/>
      <c r="W78" s="133"/>
      <c r="X78" s="133"/>
    </row>
    <row r="79" customFormat="false" ht="15.75" hidden="false" customHeight="false" outlineLevel="0" collapsed="false">
      <c r="A79" s="26" t="s">
        <v>8526</v>
      </c>
      <c r="B79" s="26" t="s">
        <v>8527</v>
      </c>
      <c r="C79" s="26" t="s">
        <v>8527</v>
      </c>
      <c r="D79" s="26" t="s">
        <v>8528</v>
      </c>
      <c r="E79" s="26" t="s">
        <v>8325</v>
      </c>
      <c r="F79" s="26" t="s">
        <v>8326</v>
      </c>
      <c r="G79" s="26" t="s">
        <v>8330</v>
      </c>
      <c r="H79" s="26" t="s">
        <v>8331</v>
      </c>
      <c r="I79" s="133"/>
      <c r="J79" s="133"/>
      <c r="K79" s="133"/>
      <c r="L79" s="133"/>
      <c r="M79" s="133"/>
      <c r="N79" s="133"/>
      <c r="O79" s="133"/>
      <c r="P79" s="133"/>
      <c r="Q79" s="133"/>
      <c r="R79" s="133"/>
      <c r="S79" s="133"/>
      <c r="T79" s="133"/>
      <c r="U79" s="133"/>
      <c r="V79" s="133"/>
      <c r="W79" s="133"/>
      <c r="X79" s="133"/>
    </row>
    <row r="80" customFormat="false" ht="15.75" hidden="false" customHeight="false" outlineLevel="0" collapsed="false">
      <c r="A80" s="26" t="s">
        <v>8529</v>
      </c>
      <c r="B80" s="26" t="s">
        <v>8530</v>
      </c>
      <c r="C80" s="26" t="s">
        <v>478</v>
      </c>
      <c r="D80" s="26" t="s">
        <v>478</v>
      </c>
      <c r="E80" s="26" t="s">
        <v>478</v>
      </c>
      <c r="F80" s="26" t="s">
        <v>478</v>
      </c>
      <c r="G80" s="26" t="s">
        <v>478</v>
      </c>
      <c r="H80" s="26" t="s">
        <v>478</v>
      </c>
      <c r="I80" s="133"/>
      <c r="J80" s="133"/>
      <c r="K80" s="133"/>
      <c r="L80" s="133"/>
      <c r="M80" s="133"/>
      <c r="N80" s="133"/>
      <c r="O80" s="133"/>
      <c r="P80" s="133"/>
      <c r="Q80" s="133"/>
      <c r="R80" s="133"/>
      <c r="S80" s="133"/>
      <c r="T80" s="133"/>
      <c r="U80" s="133"/>
      <c r="V80" s="133"/>
      <c r="W80" s="133"/>
      <c r="X80" s="133"/>
    </row>
    <row r="81" customFormat="false" ht="15.75" hidden="false" customHeight="false" outlineLevel="0" collapsed="false">
      <c r="A81" s="26" t="s">
        <v>444</v>
      </c>
      <c r="B81" s="26" t="s">
        <v>8531</v>
      </c>
      <c r="C81" s="26" t="s">
        <v>8531</v>
      </c>
      <c r="D81" s="26" t="s">
        <v>8532</v>
      </c>
      <c r="E81" s="26" t="s">
        <v>8335</v>
      </c>
      <c r="F81" s="26" t="s">
        <v>8336</v>
      </c>
      <c r="G81" s="26" t="s">
        <v>8315</v>
      </c>
      <c r="H81" s="26" t="s">
        <v>8316</v>
      </c>
      <c r="I81" s="133"/>
      <c r="J81" s="133"/>
      <c r="K81" s="133"/>
      <c r="L81" s="133"/>
      <c r="M81" s="133"/>
      <c r="N81" s="133"/>
      <c r="O81" s="133"/>
      <c r="P81" s="133"/>
      <c r="Q81" s="133"/>
      <c r="R81" s="133"/>
      <c r="S81" s="133"/>
      <c r="T81" s="133"/>
      <c r="U81" s="133"/>
      <c r="V81" s="133"/>
      <c r="W81" s="133"/>
      <c r="X81" s="133"/>
    </row>
    <row r="82" customFormat="false" ht="15.75" hidden="false" customHeight="false" outlineLevel="0" collapsed="false">
      <c r="A82" s="26" t="s">
        <v>8533</v>
      </c>
      <c r="B82" s="26" t="s">
        <v>8534</v>
      </c>
      <c r="C82" s="26" t="s">
        <v>8535</v>
      </c>
      <c r="D82" s="26" t="s">
        <v>8536</v>
      </c>
      <c r="E82" s="26" t="s">
        <v>8335</v>
      </c>
      <c r="F82" s="26" t="s">
        <v>8336</v>
      </c>
      <c r="G82" s="26" t="s">
        <v>8306</v>
      </c>
      <c r="H82" s="26" t="s">
        <v>8307</v>
      </c>
      <c r="I82" s="133"/>
      <c r="J82" s="133"/>
      <c r="K82" s="133"/>
      <c r="L82" s="133"/>
      <c r="M82" s="133"/>
      <c r="N82" s="133"/>
      <c r="O82" s="133"/>
      <c r="P82" s="133"/>
      <c r="Q82" s="133"/>
      <c r="R82" s="133"/>
      <c r="S82" s="133"/>
      <c r="T82" s="133"/>
      <c r="U82" s="133"/>
      <c r="V82" s="133"/>
      <c r="W82" s="133"/>
      <c r="X82" s="133"/>
    </row>
    <row r="83" customFormat="false" ht="15.75" hidden="false" customHeight="false" outlineLevel="0" collapsed="false">
      <c r="A83" s="26" t="s">
        <v>8537</v>
      </c>
      <c r="B83" s="26" t="s">
        <v>8538</v>
      </c>
      <c r="C83" s="26" t="s">
        <v>8538</v>
      </c>
      <c r="D83" s="26" t="s">
        <v>2560</v>
      </c>
      <c r="E83" s="26" t="s">
        <v>8313</v>
      </c>
      <c r="F83" s="26" t="s">
        <v>8314</v>
      </c>
      <c r="G83" s="26" t="s">
        <v>8350</v>
      </c>
      <c r="H83" s="26" t="s">
        <v>8351</v>
      </c>
      <c r="I83" s="133"/>
      <c r="J83" s="133"/>
      <c r="K83" s="133"/>
      <c r="L83" s="133"/>
      <c r="M83" s="133"/>
      <c r="N83" s="133"/>
      <c r="O83" s="133"/>
      <c r="P83" s="133"/>
      <c r="Q83" s="133"/>
      <c r="R83" s="133"/>
      <c r="S83" s="133"/>
      <c r="T83" s="133"/>
      <c r="U83" s="133"/>
      <c r="V83" s="133"/>
      <c r="W83" s="133"/>
      <c r="X83" s="133"/>
    </row>
    <row r="84" customFormat="false" ht="15.75" hidden="false" customHeight="false" outlineLevel="0" collapsed="false">
      <c r="A84" s="26" t="s">
        <v>8539</v>
      </c>
      <c r="B84" s="26" t="s">
        <v>8540</v>
      </c>
      <c r="C84" s="26" t="s">
        <v>8540</v>
      </c>
      <c r="D84" s="26" t="s">
        <v>610</v>
      </c>
      <c r="E84" s="26" t="s">
        <v>8313</v>
      </c>
      <c r="F84" s="26" t="s">
        <v>8314</v>
      </c>
      <c r="G84" s="26" t="s">
        <v>8330</v>
      </c>
      <c r="H84" s="26" t="s">
        <v>8331</v>
      </c>
      <c r="I84" s="133"/>
      <c r="J84" s="133"/>
      <c r="K84" s="133"/>
      <c r="L84" s="133"/>
      <c r="M84" s="133"/>
      <c r="N84" s="133"/>
      <c r="O84" s="133"/>
      <c r="P84" s="133"/>
      <c r="Q84" s="133"/>
      <c r="R84" s="133"/>
      <c r="S84" s="133"/>
      <c r="T84" s="133"/>
      <c r="U84" s="133"/>
      <c r="V84" s="133"/>
      <c r="W84" s="133"/>
      <c r="X84" s="133"/>
    </row>
    <row r="85" customFormat="false" ht="15.75" hidden="false" customHeight="false" outlineLevel="0" collapsed="false">
      <c r="A85" s="26" t="s">
        <v>8541</v>
      </c>
      <c r="B85" s="26" t="s">
        <v>8542</v>
      </c>
      <c r="C85" s="26" t="s">
        <v>8542</v>
      </c>
      <c r="D85" s="26" t="s">
        <v>65</v>
      </c>
      <c r="E85" s="26" t="s">
        <v>8335</v>
      </c>
      <c r="F85" s="26" t="s">
        <v>8336</v>
      </c>
      <c r="G85" s="26" t="s">
        <v>8350</v>
      </c>
      <c r="H85" s="26" t="s">
        <v>8351</v>
      </c>
      <c r="I85" s="133"/>
      <c r="J85" s="133"/>
      <c r="K85" s="133"/>
      <c r="L85" s="133"/>
      <c r="M85" s="133"/>
      <c r="N85" s="133"/>
      <c r="O85" s="133"/>
      <c r="P85" s="133"/>
      <c r="Q85" s="133"/>
      <c r="R85" s="133"/>
      <c r="S85" s="133"/>
      <c r="T85" s="133"/>
      <c r="U85" s="133"/>
      <c r="V85" s="133"/>
      <c r="W85" s="133"/>
      <c r="X85" s="133"/>
    </row>
    <row r="86" customFormat="false" ht="15.75" hidden="false" customHeight="false" outlineLevel="0" collapsed="false">
      <c r="A86" s="26" t="s">
        <v>8543</v>
      </c>
      <c r="B86" s="26" t="s">
        <v>8544</v>
      </c>
      <c r="C86" s="26" t="s">
        <v>478</v>
      </c>
      <c r="D86" s="26" t="s">
        <v>478</v>
      </c>
      <c r="E86" s="26" t="s">
        <v>478</v>
      </c>
      <c r="F86" s="26" t="s">
        <v>478</v>
      </c>
      <c r="G86" s="26" t="s">
        <v>478</v>
      </c>
      <c r="H86" s="26" t="s">
        <v>478</v>
      </c>
      <c r="I86" s="133"/>
      <c r="J86" s="133"/>
      <c r="K86" s="133"/>
      <c r="L86" s="133"/>
      <c r="M86" s="133"/>
      <c r="N86" s="133"/>
      <c r="O86" s="133"/>
      <c r="P86" s="133"/>
      <c r="Q86" s="133"/>
      <c r="R86" s="133"/>
      <c r="S86" s="133"/>
      <c r="T86" s="133"/>
      <c r="U86" s="133"/>
      <c r="V86" s="133"/>
      <c r="W86" s="133"/>
      <c r="X86" s="133"/>
    </row>
    <row r="87" customFormat="false" ht="15.75" hidden="false" customHeight="false" outlineLevel="0" collapsed="false">
      <c r="A87" s="26" t="s">
        <v>8545</v>
      </c>
      <c r="B87" s="26" t="s">
        <v>8546</v>
      </c>
      <c r="C87" s="26" t="s">
        <v>8546</v>
      </c>
      <c r="D87" s="26" t="s">
        <v>8218</v>
      </c>
      <c r="E87" s="26" t="s">
        <v>8313</v>
      </c>
      <c r="F87" s="26" t="s">
        <v>8314</v>
      </c>
      <c r="G87" s="26" t="s">
        <v>8330</v>
      </c>
      <c r="H87" s="26" t="s">
        <v>8331</v>
      </c>
      <c r="I87" s="133"/>
      <c r="J87" s="133"/>
      <c r="K87" s="133"/>
      <c r="L87" s="133"/>
      <c r="M87" s="133"/>
      <c r="N87" s="133"/>
      <c r="O87" s="133"/>
      <c r="P87" s="133"/>
      <c r="Q87" s="133"/>
      <c r="R87" s="133"/>
      <c r="S87" s="133"/>
      <c r="T87" s="133"/>
      <c r="U87" s="133"/>
      <c r="V87" s="133"/>
      <c r="W87" s="133"/>
      <c r="X87" s="133"/>
    </row>
    <row r="88" customFormat="false" ht="15.75" hidden="false" customHeight="false" outlineLevel="0" collapsed="false">
      <c r="A88" s="26" t="s">
        <v>8547</v>
      </c>
      <c r="B88" s="26" t="s">
        <v>8548</v>
      </c>
      <c r="C88" s="26" t="s">
        <v>8548</v>
      </c>
      <c r="D88" s="26" t="s">
        <v>8549</v>
      </c>
      <c r="E88" s="26" t="s">
        <v>8313</v>
      </c>
      <c r="F88" s="26" t="s">
        <v>8314</v>
      </c>
      <c r="G88" s="26" t="s">
        <v>8330</v>
      </c>
      <c r="H88" s="26" t="s">
        <v>8331</v>
      </c>
      <c r="I88" s="133"/>
      <c r="J88" s="133"/>
      <c r="K88" s="133"/>
      <c r="L88" s="133"/>
      <c r="M88" s="133"/>
      <c r="N88" s="133"/>
      <c r="O88" s="133"/>
      <c r="P88" s="133"/>
      <c r="Q88" s="133"/>
      <c r="R88" s="133"/>
      <c r="S88" s="133"/>
      <c r="T88" s="133"/>
      <c r="U88" s="133"/>
      <c r="V88" s="133"/>
      <c r="W88" s="133"/>
      <c r="X88" s="133"/>
    </row>
    <row r="89" customFormat="false" ht="15.75" hidden="false" customHeight="false" outlineLevel="0" collapsed="false">
      <c r="A89" s="26" t="s">
        <v>8550</v>
      </c>
      <c r="B89" s="26" t="s">
        <v>8551</v>
      </c>
      <c r="C89" s="26" t="s">
        <v>8551</v>
      </c>
      <c r="D89" s="26" t="s">
        <v>8552</v>
      </c>
      <c r="E89" s="26" t="s">
        <v>8344</v>
      </c>
      <c r="F89" s="26" t="s">
        <v>8345</v>
      </c>
      <c r="G89" s="26" t="s">
        <v>8315</v>
      </c>
      <c r="H89" s="26" t="s">
        <v>8316</v>
      </c>
      <c r="I89" s="133"/>
      <c r="J89" s="133"/>
      <c r="K89" s="133"/>
      <c r="L89" s="133"/>
      <c r="M89" s="133"/>
      <c r="N89" s="133"/>
      <c r="O89" s="133"/>
      <c r="P89" s="133"/>
      <c r="Q89" s="133"/>
      <c r="R89" s="133"/>
      <c r="S89" s="133"/>
      <c r="T89" s="133"/>
      <c r="U89" s="133"/>
      <c r="V89" s="133"/>
      <c r="W89" s="133"/>
      <c r="X89" s="133"/>
    </row>
    <row r="90" customFormat="false" ht="15.75" hidden="false" customHeight="false" outlineLevel="0" collapsed="false">
      <c r="A90" s="26" t="s">
        <v>8553</v>
      </c>
      <c r="B90" s="26" t="s">
        <v>8554</v>
      </c>
      <c r="C90" s="26" t="s">
        <v>478</v>
      </c>
      <c r="D90" s="26" t="s">
        <v>478</v>
      </c>
      <c r="E90" s="26" t="s">
        <v>478</v>
      </c>
      <c r="F90" s="26" t="s">
        <v>478</v>
      </c>
      <c r="G90" s="26" t="s">
        <v>478</v>
      </c>
      <c r="H90" s="26" t="s">
        <v>478</v>
      </c>
      <c r="I90" s="133"/>
      <c r="J90" s="133"/>
      <c r="K90" s="133"/>
      <c r="L90" s="133"/>
      <c r="M90" s="133"/>
      <c r="N90" s="133"/>
      <c r="O90" s="133"/>
      <c r="P90" s="133"/>
      <c r="Q90" s="133"/>
      <c r="R90" s="133"/>
      <c r="S90" s="133"/>
      <c r="T90" s="133"/>
      <c r="U90" s="133"/>
      <c r="V90" s="133"/>
      <c r="W90" s="133"/>
      <c r="X90" s="133"/>
    </row>
    <row r="91" customFormat="false" ht="15.75" hidden="false" customHeight="false" outlineLevel="0" collapsed="false">
      <c r="A91" s="26" t="s">
        <v>8555</v>
      </c>
      <c r="B91" s="26" t="s">
        <v>8556</v>
      </c>
      <c r="C91" s="26" t="s">
        <v>8556</v>
      </c>
      <c r="D91" s="26" t="s">
        <v>8557</v>
      </c>
      <c r="E91" s="26" t="s">
        <v>8325</v>
      </c>
      <c r="F91" s="26" t="s">
        <v>8326</v>
      </c>
      <c r="G91" s="26" t="s">
        <v>8330</v>
      </c>
      <c r="H91" s="26" t="s">
        <v>8331</v>
      </c>
      <c r="I91" s="133"/>
      <c r="J91" s="133"/>
      <c r="K91" s="133"/>
      <c r="L91" s="133"/>
      <c r="M91" s="133"/>
      <c r="N91" s="133"/>
      <c r="O91" s="133"/>
      <c r="P91" s="133"/>
      <c r="Q91" s="133"/>
      <c r="R91" s="133"/>
      <c r="S91" s="133"/>
      <c r="T91" s="133"/>
      <c r="U91" s="133"/>
      <c r="V91" s="133"/>
      <c r="W91" s="133"/>
      <c r="X91" s="133"/>
    </row>
    <row r="92" customFormat="false" ht="15.75" hidden="false" customHeight="false" outlineLevel="0" collapsed="false">
      <c r="A92" s="26" t="s">
        <v>8558</v>
      </c>
      <c r="B92" s="26" t="s">
        <v>8559</v>
      </c>
      <c r="C92" s="26" t="s">
        <v>8559</v>
      </c>
      <c r="D92" s="26" t="s">
        <v>3819</v>
      </c>
      <c r="E92" s="26" t="s">
        <v>8344</v>
      </c>
      <c r="F92" s="26" t="s">
        <v>8345</v>
      </c>
      <c r="G92" s="26" t="s">
        <v>8350</v>
      </c>
      <c r="H92" s="26" t="s">
        <v>8351</v>
      </c>
      <c r="I92" s="133"/>
      <c r="J92" s="133"/>
      <c r="K92" s="133"/>
      <c r="L92" s="133"/>
      <c r="M92" s="133"/>
      <c r="N92" s="133"/>
      <c r="O92" s="133"/>
      <c r="P92" s="133"/>
      <c r="Q92" s="133"/>
      <c r="R92" s="133"/>
      <c r="S92" s="133"/>
      <c r="T92" s="133"/>
      <c r="U92" s="133"/>
      <c r="V92" s="133"/>
      <c r="W92" s="133"/>
      <c r="X92" s="133"/>
    </row>
    <row r="93" customFormat="false" ht="15.75" hidden="false" customHeight="false" outlineLevel="0" collapsed="false">
      <c r="A93" s="26" t="s">
        <v>8560</v>
      </c>
      <c r="B93" s="26" t="s">
        <v>8561</v>
      </c>
      <c r="C93" s="26" t="s">
        <v>478</v>
      </c>
      <c r="D93" s="26" t="s">
        <v>478</v>
      </c>
      <c r="E93" s="26" t="s">
        <v>478</v>
      </c>
      <c r="F93" s="26" t="s">
        <v>478</v>
      </c>
      <c r="G93" s="26" t="s">
        <v>478</v>
      </c>
      <c r="H93" s="26" t="s">
        <v>478</v>
      </c>
      <c r="I93" s="133"/>
      <c r="J93" s="133"/>
      <c r="K93" s="133"/>
      <c r="L93" s="133"/>
      <c r="M93" s="133"/>
      <c r="N93" s="133"/>
      <c r="O93" s="133"/>
      <c r="P93" s="133"/>
      <c r="Q93" s="133"/>
      <c r="R93" s="133"/>
      <c r="S93" s="133"/>
      <c r="T93" s="133"/>
      <c r="U93" s="133"/>
      <c r="V93" s="133"/>
      <c r="W93" s="133"/>
      <c r="X93" s="133"/>
    </row>
    <row r="94" customFormat="false" ht="15.75" hidden="false" customHeight="false" outlineLevel="0" collapsed="false">
      <c r="A94" s="26" t="s">
        <v>8562</v>
      </c>
      <c r="B94" s="26" t="s">
        <v>8563</v>
      </c>
      <c r="C94" s="26" t="s">
        <v>8563</v>
      </c>
      <c r="D94" s="26" t="s">
        <v>8564</v>
      </c>
      <c r="E94" s="26" t="s">
        <v>8335</v>
      </c>
      <c r="F94" s="26" t="s">
        <v>8336</v>
      </c>
      <c r="G94" s="26" t="s">
        <v>8306</v>
      </c>
      <c r="H94" s="26" t="s">
        <v>8307</v>
      </c>
      <c r="I94" s="133"/>
      <c r="J94" s="133"/>
      <c r="K94" s="133"/>
      <c r="L94" s="133"/>
      <c r="M94" s="133"/>
      <c r="N94" s="133"/>
      <c r="O94" s="133"/>
      <c r="P94" s="133"/>
      <c r="Q94" s="133"/>
      <c r="R94" s="133"/>
      <c r="S94" s="133"/>
      <c r="T94" s="133"/>
      <c r="U94" s="133"/>
      <c r="V94" s="133"/>
      <c r="W94" s="133"/>
      <c r="X94" s="133"/>
    </row>
    <row r="95" customFormat="false" ht="15.75" hidden="false" customHeight="false" outlineLevel="0" collapsed="false">
      <c r="A95" s="26" t="s">
        <v>8565</v>
      </c>
      <c r="B95" s="26" t="s">
        <v>8566</v>
      </c>
      <c r="C95" s="26" t="s">
        <v>8566</v>
      </c>
      <c r="D95" s="26" t="s">
        <v>8567</v>
      </c>
      <c r="E95" s="26" t="s">
        <v>8335</v>
      </c>
      <c r="F95" s="26" t="s">
        <v>8336</v>
      </c>
      <c r="G95" s="26" t="s">
        <v>8306</v>
      </c>
      <c r="H95" s="26" t="s">
        <v>8307</v>
      </c>
      <c r="I95" s="133"/>
      <c r="J95" s="133"/>
      <c r="K95" s="133"/>
      <c r="L95" s="133"/>
      <c r="M95" s="133"/>
      <c r="N95" s="133"/>
      <c r="O95" s="133"/>
      <c r="P95" s="133"/>
      <c r="Q95" s="133"/>
      <c r="R95" s="133"/>
      <c r="S95" s="133"/>
      <c r="T95" s="133"/>
      <c r="U95" s="133"/>
      <c r="V95" s="133"/>
      <c r="W95" s="133"/>
      <c r="X95" s="133"/>
    </row>
    <row r="96" customFormat="false" ht="15.75" hidden="false" customHeight="false" outlineLevel="0" collapsed="false">
      <c r="A96" s="26" t="s">
        <v>8568</v>
      </c>
      <c r="B96" s="26" t="s">
        <v>8569</v>
      </c>
      <c r="C96" s="26" t="s">
        <v>8569</v>
      </c>
      <c r="D96" s="26" t="s">
        <v>8570</v>
      </c>
      <c r="E96" s="26" t="s">
        <v>8344</v>
      </c>
      <c r="F96" s="26" t="s">
        <v>8345</v>
      </c>
      <c r="G96" s="26" t="s">
        <v>8350</v>
      </c>
      <c r="H96" s="26" t="s">
        <v>8351</v>
      </c>
      <c r="I96" s="133"/>
      <c r="J96" s="133"/>
      <c r="K96" s="133"/>
      <c r="L96" s="133"/>
      <c r="M96" s="133"/>
      <c r="N96" s="133"/>
      <c r="O96" s="133"/>
      <c r="P96" s="133"/>
      <c r="Q96" s="133"/>
      <c r="R96" s="133"/>
      <c r="S96" s="133"/>
      <c r="T96" s="133"/>
      <c r="U96" s="133"/>
      <c r="V96" s="133"/>
      <c r="W96" s="133"/>
      <c r="X96" s="133"/>
    </row>
    <row r="97" customFormat="false" ht="15.75" hidden="false" customHeight="false" outlineLevel="0" collapsed="false">
      <c r="A97" s="26" t="s">
        <v>8571</v>
      </c>
      <c r="B97" s="26" t="s">
        <v>8572</v>
      </c>
      <c r="C97" s="26" t="s">
        <v>8572</v>
      </c>
      <c r="D97" s="26" t="s">
        <v>8573</v>
      </c>
      <c r="E97" s="26" t="s">
        <v>8344</v>
      </c>
      <c r="F97" s="26" t="s">
        <v>8345</v>
      </c>
      <c r="G97" s="26" t="s">
        <v>8306</v>
      </c>
      <c r="H97" s="26" t="s">
        <v>8307</v>
      </c>
      <c r="I97" s="133"/>
      <c r="J97" s="133"/>
      <c r="K97" s="133"/>
      <c r="L97" s="133"/>
      <c r="M97" s="133"/>
      <c r="N97" s="133"/>
      <c r="O97" s="133"/>
      <c r="P97" s="133"/>
      <c r="Q97" s="133"/>
      <c r="R97" s="133"/>
      <c r="S97" s="133"/>
      <c r="T97" s="133"/>
      <c r="U97" s="133"/>
      <c r="V97" s="133"/>
      <c r="W97" s="133"/>
      <c r="X97" s="133"/>
    </row>
    <row r="98" customFormat="false" ht="15.75" hidden="false" customHeight="false" outlineLevel="0" collapsed="false">
      <c r="A98" s="26" t="s">
        <v>8574</v>
      </c>
      <c r="B98" s="26" t="s">
        <v>8575</v>
      </c>
      <c r="C98" s="26" t="s">
        <v>478</v>
      </c>
      <c r="D98" s="26" t="s">
        <v>478</v>
      </c>
      <c r="E98" s="26" t="s">
        <v>478</v>
      </c>
      <c r="F98" s="26" t="s">
        <v>478</v>
      </c>
      <c r="G98" s="26" t="s">
        <v>478</v>
      </c>
      <c r="H98" s="26" t="s">
        <v>478</v>
      </c>
      <c r="I98" s="133"/>
      <c r="J98" s="133"/>
      <c r="K98" s="133"/>
      <c r="L98" s="133"/>
      <c r="M98" s="133"/>
      <c r="N98" s="133"/>
      <c r="O98" s="133"/>
      <c r="P98" s="133"/>
      <c r="Q98" s="133"/>
      <c r="R98" s="133"/>
      <c r="S98" s="133"/>
      <c r="T98" s="133"/>
      <c r="U98" s="133"/>
      <c r="V98" s="133"/>
      <c r="W98" s="133"/>
      <c r="X98" s="133"/>
    </row>
    <row r="99" customFormat="false" ht="15.75" hidden="false" customHeight="false" outlineLevel="0" collapsed="false">
      <c r="A99" s="26" t="s">
        <v>353</v>
      </c>
      <c r="B99" s="26" t="s">
        <v>8576</v>
      </c>
      <c r="C99" s="26" t="s">
        <v>478</v>
      </c>
      <c r="D99" s="26" t="s">
        <v>478</v>
      </c>
      <c r="E99" s="26" t="s">
        <v>478</v>
      </c>
      <c r="F99" s="26" t="s">
        <v>478</v>
      </c>
      <c r="G99" s="26" t="s">
        <v>478</v>
      </c>
      <c r="H99" s="26" t="s">
        <v>478</v>
      </c>
      <c r="I99" s="133"/>
      <c r="J99" s="133"/>
      <c r="K99" s="133"/>
      <c r="L99" s="133"/>
      <c r="M99" s="133"/>
      <c r="N99" s="133"/>
      <c r="O99" s="133"/>
      <c r="P99" s="133"/>
      <c r="Q99" s="133"/>
      <c r="R99" s="133"/>
      <c r="S99" s="133"/>
      <c r="T99" s="133"/>
      <c r="U99" s="133"/>
      <c r="V99" s="133"/>
      <c r="W99" s="133"/>
      <c r="X99" s="133"/>
    </row>
    <row r="100" customFormat="false" ht="15.75" hidden="false" customHeight="false" outlineLevel="0" collapsed="false">
      <c r="A100" s="26" t="s">
        <v>8577</v>
      </c>
      <c r="B100" s="26" t="s">
        <v>8578</v>
      </c>
      <c r="C100" s="26" t="s">
        <v>8578</v>
      </c>
      <c r="D100" s="26" t="s">
        <v>8579</v>
      </c>
      <c r="E100" s="26" t="s">
        <v>8344</v>
      </c>
      <c r="F100" s="26" t="s">
        <v>8345</v>
      </c>
      <c r="G100" s="26" t="s">
        <v>8350</v>
      </c>
      <c r="H100" s="26" t="s">
        <v>8351</v>
      </c>
      <c r="I100" s="133"/>
      <c r="J100" s="133"/>
      <c r="K100" s="133"/>
      <c r="L100" s="133"/>
      <c r="M100" s="133"/>
      <c r="N100" s="133"/>
      <c r="O100" s="133"/>
      <c r="P100" s="133"/>
      <c r="Q100" s="133"/>
      <c r="R100" s="133"/>
      <c r="S100" s="133"/>
      <c r="T100" s="133"/>
      <c r="U100" s="133"/>
      <c r="V100" s="133"/>
      <c r="W100" s="133"/>
      <c r="X100" s="133"/>
    </row>
    <row r="101" customFormat="false" ht="15.75" hidden="false" customHeight="false" outlineLevel="0" collapsed="false">
      <c r="A101" s="26" t="s">
        <v>8580</v>
      </c>
      <c r="B101" s="26" t="s">
        <v>8581</v>
      </c>
      <c r="C101" s="26" t="s">
        <v>8582</v>
      </c>
      <c r="D101" s="26" t="s">
        <v>8583</v>
      </c>
      <c r="E101" s="26" t="s">
        <v>8325</v>
      </c>
      <c r="F101" s="26" t="s">
        <v>8326</v>
      </c>
      <c r="G101" s="26" t="s">
        <v>8330</v>
      </c>
      <c r="H101" s="26" t="s">
        <v>8331</v>
      </c>
      <c r="I101" s="133"/>
      <c r="J101" s="133"/>
      <c r="K101" s="133"/>
      <c r="L101" s="133"/>
      <c r="M101" s="133"/>
      <c r="N101" s="133"/>
      <c r="O101" s="133"/>
      <c r="P101" s="133"/>
      <c r="Q101" s="133"/>
      <c r="R101" s="133"/>
      <c r="S101" s="133"/>
      <c r="T101" s="133"/>
      <c r="U101" s="133"/>
      <c r="V101" s="133"/>
      <c r="W101" s="133"/>
      <c r="X101" s="133"/>
    </row>
    <row r="102" customFormat="false" ht="15.75" hidden="false" customHeight="false" outlineLevel="0" collapsed="false">
      <c r="A102" s="26" t="s">
        <v>8584</v>
      </c>
      <c r="B102" s="26" t="s">
        <v>8585</v>
      </c>
      <c r="C102" s="26" t="s">
        <v>8585</v>
      </c>
      <c r="D102" s="26" t="s">
        <v>4100</v>
      </c>
      <c r="E102" s="26" t="s">
        <v>8313</v>
      </c>
      <c r="F102" s="26" t="s">
        <v>8314</v>
      </c>
      <c r="G102" s="26" t="s">
        <v>8315</v>
      </c>
      <c r="H102" s="26" t="s">
        <v>8316</v>
      </c>
      <c r="I102" s="133"/>
      <c r="J102" s="133"/>
      <c r="K102" s="133"/>
      <c r="L102" s="133"/>
      <c r="M102" s="133"/>
      <c r="N102" s="133"/>
      <c r="O102" s="133"/>
      <c r="P102" s="133"/>
      <c r="Q102" s="133"/>
      <c r="R102" s="133"/>
      <c r="S102" s="133"/>
      <c r="T102" s="133"/>
      <c r="U102" s="133"/>
      <c r="V102" s="133"/>
      <c r="W102" s="133"/>
      <c r="X102" s="133"/>
    </row>
    <row r="103" customFormat="false" ht="15.75" hidden="false" customHeight="false" outlineLevel="0" collapsed="false">
      <c r="A103" s="26" t="s">
        <v>8586</v>
      </c>
      <c r="B103" s="26" t="s">
        <v>8587</v>
      </c>
      <c r="C103" s="26" t="s">
        <v>8587</v>
      </c>
      <c r="D103" s="26" t="s">
        <v>3234</v>
      </c>
      <c r="E103" s="26" t="s">
        <v>8313</v>
      </c>
      <c r="F103" s="26" t="s">
        <v>8314</v>
      </c>
      <c r="G103" s="26" t="s">
        <v>8330</v>
      </c>
      <c r="H103" s="26" t="s">
        <v>8331</v>
      </c>
      <c r="I103" s="133"/>
      <c r="J103" s="133"/>
      <c r="K103" s="133"/>
      <c r="L103" s="133"/>
      <c r="M103" s="133"/>
      <c r="N103" s="133"/>
      <c r="O103" s="133"/>
      <c r="P103" s="133"/>
      <c r="Q103" s="133"/>
      <c r="R103" s="133"/>
      <c r="S103" s="133"/>
      <c r="T103" s="133"/>
      <c r="U103" s="133"/>
      <c r="V103" s="133"/>
      <c r="W103" s="133"/>
      <c r="X103" s="133"/>
    </row>
    <row r="104" customFormat="false" ht="15.75" hidden="false" customHeight="false" outlineLevel="0" collapsed="false">
      <c r="A104" s="26" t="s">
        <v>3482</v>
      </c>
      <c r="B104" s="26" t="s">
        <v>8588</v>
      </c>
      <c r="C104" s="26" t="s">
        <v>8588</v>
      </c>
      <c r="D104" s="26" t="s">
        <v>82</v>
      </c>
      <c r="E104" s="26" t="s">
        <v>8305</v>
      </c>
      <c r="F104" s="26" t="s">
        <v>1272</v>
      </c>
      <c r="G104" s="26" t="s">
        <v>8350</v>
      </c>
      <c r="H104" s="26" t="s">
        <v>8351</v>
      </c>
      <c r="I104" s="133"/>
      <c r="J104" s="133"/>
      <c r="K104" s="133"/>
      <c r="L104" s="133"/>
      <c r="M104" s="133"/>
      <c r="N104" s="133"/>
      <c r="O104" s="133"/>
      <c r="P104" s="133"/>
      <c r="Q104" s="133"/>
      <c r="R104" s="133"/>
      <c r="S104" s="133"/>
      <c r="T104" s="133"/>
      <c r="U104" s="133"/>
      <c r="V104" s="133"/>
      <c r="W104" s="133"/>
      <c r="X104" s="133"/>
    </row>
    <row r="105" customFormat="false" ht="15.75" hidden="false" customHeight="false" outlineLevel="0" collapsed="false">
      <c r="A105" s="26" t="s">
        <v>8589</v>
      </c>
      <c r="B105" s="26" t="s">
        <v>8590</v>
      </c>
      <c r="C105" s="26" t="s">
        <v>8590</v>
      </c>
      <c r="D105" s="26" t="s">
        <v>551</v>
      </c>
      <c r="E105" s="26" t="s">
        <v>8325</v>
      </c>
      <c r="F105" s="26" t="s">
        <v>8326</v>
      </c>
      <c r="G105" s="26" t="s">
        <v>8350</v>
      </c>
      <c r="H105" s="26" t="s">
        <v>8351</v>
      </c>
      <c r="I105" s="133"/>
      <c r="J105" s="133"/>
      <c r="K105" s="133"/>
      <c r="L105" s="133"/>
      <c r="M105" s="133"/>
      <c r="N105" s="133"/>
      <c r="O105" s="133"/>
      <c r="P105" s="133"/>
      <c r="Q105" s="133"/>
      <c r="R105" s="133"/>
      <c r="S105" s="133"/>
      <c r="T105" s="133"/>
      <c r="U105" s="133"/>
      <c r="V105" s="133"/>
      <c r="W105" s="133"/>
      <c r="X105" s="133"/>
    </row>
    <row r="106" customFormat="false" ht="15.75" hidden="false" customHeight="false" outlineLevel="0" collapsed="false">
      <c r="A106" s="26" t="s">
        <v>8591</v>
      </c>
      <c r="B106" s="26" t="s">
        <v>8592</v>
      </c>
      <c r="C106" s="26" t="s">
        <v>478</v>
      </c>
      <c r="D106" s="26" t="s">
        <v>478</v>
      </c>
      <c r="E106" s="26" t="s">
        <v>478</v>
      </c>
      <c r="F106" s="26" t="s">
        <v>478</v>
      </c>
      <c r="G106" s="26" t="s">
        <v>478</v>
      </c>
      <c r="H106" s="26" t="s">
        <v>478</v>
      </c>
      <c r="I106" s="133"/>
      <c r="J106" s="133"/>
      <c r="K106" s="133"/>
      <c r="L106" s="133"/>
      <c r="M106" s="133"/>
      <c r="N106" s="133"/>
      <c r="O106" s="133"/>
      <c r="P106" s="133"/>
      <c r="Q106" s="133"/>
      <c r="R106" s="133"/>
      <c r="S106" s="133"/>
      <c r="T106" s="133"/>
      <c r="U106" s="133"/>
      <c r="V106" s="133"/>
      <c r="W106" s="133"/>
      <c r="X106" s="133"/>
    </row>
    <row r="107" customFormat="false" ht="15.75" hidden="false" customHeight="false" outlineLevel="0" collapsed="false">
      <c r="A107" s="26" t="s">
        <v>8593</v>
      </c>
      <c r="B107" s="26" t="s">
        <v>8594</v>
      </c>
      <c r="C107" s="26" t="s">
        <v>8595</v>
      </c>
      <c r="D107" s="26" t="s">
        <v>8596</v>
      </c>
      <c r="E107" s="26" t="s">
        <v>8320</v>
      </c>
      <c r="F107" s="26" t="s">
        <v>8321</v>
      </c>
      <c r="G107" s="26" t="s">
        <v>8315</v>
      </c>
      <c r="H107" s="26" t="s">
        <v>8316</v>
      </c>
      <c r="I107" s="133"/>
      <c r="J107" s="133"/>
      <c r="K107" s="133"/>
      <c r="L107" s="133"/>
      <c r="M107" s="133"/>
      <c r="N107" s="133"/>
      <c r="O107" s="133"/>
      <c r="P107" s="133"/>
      <c r="Q107" s="133"/>
      <c r="R107" s="133"/>
      <c r="S107" s="133"/>
      <c r="T107" s="133"/>
      <c r="U107" s="133"/>
      <c r="V107" s="133"/>
      <c r="W107" s="133"/>
      <c r="X107" s="133"/>
    </row>
    <row r="108" customFormat="false" ht="15.75" hidden="false" customHeight="false" outlineLevel="0" collapsed="false">
      <c r="A108" s="26" t="s">
        <v>8597</v>
      </c>
      <c r="B108" s="26" t="s">
        <v>8598</v>
      </c>
      <c r="C108" s="26" t="s">
        <v>8598</v>
      </c>
      <c r="D108" s="26" t="s">
        <v>8599</v>
      </c>
      <c r="E108" s="26" t="s">
        <v>8320</v>
      </c>
      <c r="F108" s="26" t="s">
        <v>8321</v>
      </c>
      <c r="G108" s="26" t="s">
        <v>8315</v>
      </c>
      <c r="H108" s="26" t="s">
        <v>8316</v>
      </c>
      <c r="I108" s="133"/>
      <c r="J108" s="133"/>
      <c r="K108" s="133"/>
      <c r="L108" s="133"/>
      <c r="M108" s="133"/>
      <c r="N108" s="133"/>
      <c r="O108" s="133"/>
      <c r="P108" s="133"/>
      <c r="Q108" s="133"/>
      <c r="R108" s="133"/>
      <c r="S108" s="133"/>
      <c r="T108" s="133"/>
      <c r="U108" s="133"/>
      <c r="V108" s="133"/>
      <c r="W108" s="133"/>
      <c r="X108" s="133"/>
    </row>
    <row r="109" customFormat="false" ht="15.75" hidden="false" customHeight="false" outlineLevel="0" collapsed="false">
      <c r="A109" s="26" t="s">
        <v>8600</v>
      </c>
      <c r="B109" s="26" t="s">
        <v>8601</v>
      </c>
      <c r="C109" s="26" t="s">
        <v>8601</v>
      </c>
      <c r="D109" s="26" t="s">
        <v>3123</v>
      </c>
      <c r="E109" s="26" t="s">
        <v>8313</v>
      </c>
      <c r="F109" s="26" t="s">
        <v>8314</v>
      </c>
      <c r="G109" s="26" t="s">
        <v>8330</v>
      </c>
      <c r="H109" s="26" t="s">
        <v>8331</v>
      </c>
      <c r="I109" s="133"/>
      <c r="J109" s="133"/>
      <c r="K109" s="133"/>
      <c r="L109" s="133"/>
      <c r="M109" s="133"/>
      <c r="N109" s="133"/>
      <c r="O109" s="133"/>
      <c r="P109" s="133"/>
      <c r="Q109" s="133"/>
      <c r="R109" s="133"/>
      <c r="S109" s="133"/>
      <c r="T109" s="133"/>
      <c r="U109" s="133"/>
      <c r="V109" s="133"/>
      <c r="W109" s="133"/>
      <c r="X109" s="133"/>
    </row>
    <row r="110" customFormat="false" ht="15.75" hidden="false" customHeight="false" outlineLevel="0" collapsed="false">
      <c r="A110" s="26" t="s">
        <v>8602</v>
      </c>
      <c r="B110" s="26" t="s">
        <v>8603</v>
      </c>
      <c r="C110" s="26" t="s">
        <v>8603</v>
      </c>
      <c r="D110" s="26" t="s">
        <v>8604</v>
      </c>
      <c r="E110" s="26" t="s">
        <v>8313</v>
      </c>
      <c r="F110" s="26" t="s">
        <v>8314</v>
      </c>
      <c r="G110" s="26" t="s">
        <v>8330</v>
      </c>
      <c r="H110" s="26" t="s">
        <v>8331</v>
      </c>
      <c r="I110" s="133"/>
      <c r="J110" s="133"/>
      <c r="K110" s="133"/>
      <c r="L110" s="133"/>
      <c r="M110" s="133"/>
      <c r="N110" s="133"/>
      <c r="O110" s="133"/>
      <c r="P110" s="133"/>
      <c r="Q110" s="133"/>
      <c r="R110" s="133"/>
      <c r="S110" s="133"/>
      <c r="T110" s="133"/>
      <c r="U110" s="133"/>
      <c r="V110" s="133"/>
      <c r="W110" s="133"/>
      <c r="X110" s="133"/>
    </row>
    <row r="111" customFormat="false" ht="15.75" hidden="false" customHeight="false" outlineLevel="0" collapsed="false">
      <c r="A111" s="26" t="s">
        <v>477</v>
      </c>
      <c r="B111" s="26" t="s">
        <v>8605</v>
      </c>
      <c r="C111" s="26" t="s">
        <v>8605</v>
      </c>
      <c r="D111" s="26" t="s">
        <v>216</v>
      </c>
      <c r="E111" s="26" t="s">
        <v>8320</v>
      </c>
      <c r="F111" s="26" t="s">
        <v>8321</v>
      </c>
      <c r="G111" s="26" t="s">
        <v>8330</v>
      </c>
      <c r="H111" s="26" t="s">
        <v>8331</v>
      </c>
      <c r="I111" s="133"/>
      <c r="J111" s="133"/>
      <c r="K111" s="133"/>
      <c r="L111" s="133"/>
      <c r="M111" s="133"/>
      <c r="N111" s="133"/>
      <c r="O111" s="133"/>
      <c r="P111" s="133"/>
      <c r="Q111" s="133"/>
      <c r="R111" s="133"/>
      <c r="S111" s="133"/>
      <c r="T111" s="133"/>
      <c r="U111" s="133"/>
      <c r="V111" s="133"/>
      <c r="W111" s="133"/>
      <c r="X111" s="133"/>
    </row>
    <row r="112" customFormat="false" ht="15.75" hidden="false" customHeight="false" outlineLevel="0" collapsed="false">
      <c r="A112" s="26" t="s">
        <v>8606</v>
      </c>
      <c r="B112" s="26" t="s">
        <v>8607</v>
      </c>
      <c r="C112" s="26" t="s">
        <v>8607</v>
      </c>
      <c r="D112" s="26" t="s">
        <v>882</v>
      </c>
      <c r="E112" s="26" t="s">
        <v>8313</v>
      </c>
      <c r="F112" s="26" t="s">
        <v>8314</v>
      </c>
      <c r="G112" s="26" t="s">
        <v>8330</v>
      </c>
      <c r="H112" s="26" t="s">
        <v>8331</v>
      </c>
      <c r="I112" s="133"/>
      <c r="J112" s="133"/>
      <c r="K112" s="133"/>
      <c r="L112" s="133"/>
      <c r="M112" s="133"/>
      <c r="N112" s="133"/>
      <c r="O112" s="133"/>
      <c r="P112" s="133"/>
      <c r="Q112" s="133"/>
      <c r="R112" s="133"/>
      <c r="S112" s="133"/>
      <c r="T112" s="133"/>
      <c r="U112" s="133"/>
      <c r="V112" s="133"/>
      <c r="W112" s="133"/>
      <c r="X112" s="133"/>
    </row>
    <row r="113" customFormat="false" ht="15.75" hidden="false" customHeight="false" outlineLevel="0" collapsed="false">
      <c r="A113" s="26" t="s">
        <v>8226</v>
      </c>
      <c r="B113" s="26" t="s">
        <v>8608</v>
      </c>
      <c r="C113" s="26" t="s">
        <v>8608</v>
      </c>
      <c r="D113" s="26" t="s">
        <v>8609</v>
      </c>
      <c r="E113" s="26" t="s">
        <v>8344</v>
      </c>
      <c r="F113" s="26" t="s">
        <v>8345</v>
      </c>
      <c r="G113" s="26" t="s">
        <v>8315</v>
      </c>
      <c r="H113" s="26" t="s">
        <v>8316</v>
      </c>
      <c r="I113" s="133"/>
      <c r="J113" s="133"/>
      <c r="K113" s="133"/>
      <c r="L113" s="133"/>
      <c r="M113" s="133"/>
      <c r="N113" s="133"/>
      <c r="O113" s="133"/>
      <c r="P113" s="133"/>
      <c r="Q113" s="133"/>
      <c r="R113" s="133"/>
      <c r="S113" s="133"/>
      <c r="T113" s="133"/>
      <c r="U113" s="133"/>
      <c r="V113" s="133"/>
      <c r="W113" s="133"/>
      <c r="X113" s="133"/>
    </row>
    <row r="114" customFormat="false" ht="15.75" hidden="false" customHeight="false" outlineLevel="0" collapsed="false">
      <c r="A114" s="26" t="s">
        <v>8610</v>
      </c>
      <c r="B114" s="26" t="s">
        <v>8611</v>
      </c>
      <c r="C114" s="26" t="s">
        <v>8611</v>
      </c>
      <c r="D114" s="26" t="s">
        <v>3223</v>
      </c>
      <c r="E114" s="26" t="s">
        <v>8325</v>
      </c>
      <c r="F114" s="26" t="s">
        <v>8326</v>
      </c>
      <c r="G114" s="26" t="s">
        <v>8330</v>
      </c>
      <c r="H114" s="26" t="s">
        <v>8331</v>
      </c>
      <c r="I114" s="133"/>
      <c r="J114" s="133"/>
      <c r="K114" s="133"/>
      <c r="L114" s="133"/>
      <c r="M114" s="133"/>
      <c r="N114" s="133"/>
      <c r="O114" s="133"/>
      <c r="P114" s="133"/>
      <c r="Q114" s="133"/>
      <c r="R114" s="133"/>
      <c r="S114" s="133"/>
      <c r="T114" s="133"/>
      <c r="U114" s="133"/>
      <c r="V114" s="133"/>
      <c r="W114" s="133"/>
      <c r="X114" s="133"/>
    </row>
    <row r="115" customFormat="false" ht="15.75" hidden="false" customHeight="false" outlineLevel="0" collapsed="false">
      <c r="A115" s="26" t="s">
        <v>8612</v>
      </c>
      <c r="B115" s="26" t="s">
        <v>8613</v>
      </c>
      <c r="C115" s="26" t="s">
        <v>478</v>
      </c>
      <c r="D115" s="26" t="s">
        <v>478</v>
      </c>
      <c r="E115" s="26" t="s">
        <v>478</v>
      </c>
      <c r="F115" s="26" t="s">
        <v>478</v>
      </c>
      <c r="G115" s="26" t="s">
        <v>478</v>
      </c>
      <c r="H115" s="26" t="s">
        <v>478</v>
      </c>
      <c r="I115" s="133"/>
      <c r="J115" s="133"/>
      <c r="K115" s="133"/>
      <c r="L115" s="133"/>
      <c r="M115" s="133"/>
      <c r="N115" s="133"/>
      <c r="O115" s="133"/>
      <c r="P115" s="133"/>
      <c r="Q115" s="133"/>
      <c r="R115" s="133"/>
      <c r="S115" s="133"/>
      <c r="T115" s="133"/>
      <c r="U115" s="133"/>
      <c r="V115" s="133"/>
      <c r="W115" s="133"/>
      <c r="X115" s="133"/>
    </row>
    <row r="116" customFormat="false" ht="15.75" hidden="false" customHeight="false" outlineLevel="0" collapsed="false">
      <c r="A116" s="26" t="s">
        <v>8614</v>
      </c>
      <c r="B116" s="26" t="s">
        <v>8615</v>
      </c>
      <c r="C116" s="26" t="s">
        <v>8615</v>
      </c>
      <c r="D116" s="26" t="s">
        <v>8616</v>
      </c>
      <c r="E116" s="26" t="s">
        <v>8320</v>
      </c>
      <c r="F116" s="26" t="s">
        <v>8321</v>
      </c>
      <c r="G116" s="26" t="s">
        <v>8315</v>
      </c>
      <c r="H116" s="26" t="s">
        <v>8316</v>
      </c>
      <c r="I116" s="133"/>
      <c r="J116" s="133"/>
      <c r="K116" s="133"/>
      <c r="L116" s="133"/>
      <c r="M116" s="133"/>
      <c r="N116" s="133"/>
      <c r="O116" s="133"/>
      <c r="P116" s="133"/>
      <c r="Q116" s="133"/>
      <c r="R116" s="133"/>
      <c r="S116" s="133"/>
      <c r="T116" s="133"/>
      <c r="U116" s="133"/>
      <c r="V116" s="133"/>
      <c r="W116" s="133"/>
      <c r="X116" s="133"/>
    </row>
    <row r="117" customFormat="false" ht="15.75" hidden="false" customHeight="false" outlineLevel="0" collapsed="false">
      <c r="A117" s="26" t="s">
        <v>8617</v>
      </c>
      <c r="B117" s="26" t="s">
        <v>8618</v>
      </c>
      <c r="C117" s="26" t="s">
        <v>8618</v>
      </c>
      <c r="D117" s="26" t="s">
        <v>8619</v>
      </c>
      <c r="E117" s="26" t="s">
        <v>8313</v>
      </c>
      <c r="F117" s="26" t="s">
        <v>8314</v>
      </c>
      <c r="G117" s="26" t="s">
        <v>8315</v>
      </c>
      <c r="H117" s="26" t="s">
        <v>8316</v>
      </c>
      <c r="I117" s="133"/>
      <c r="J117" s="133"/>
      <c r="K117" s="133"/>
      <c r="L117" s="133"/>
      <c r="M117" s="133"/>
      <c r="N117" s="133"/>
      <c r="O117" s="133"/>
      <c r="P117" s="133"/>
      <c r="Q117" s="133"/>
      <c r="R117" s="133"/>
      <c r="S117" s="133"/>
      <c r="T117" s="133"/>
      <c r="U117" s="133"/>
      <c r="V117" s="133"/>
      <c r="W117" s="133"/>
      <c r="X117" s="133"/>
    </row>
    <row r="118" customFormat="false" ht="15.75" hidden="false" customHeight="false" outlineLevel="0" collapsed="false">
      <c r="A118" s="26" t="s">
        <v>8620</v>
      </c>
      <c r="B118" s="26" t="s">
        <v>8621</v>
      </c>
      <c r="C118" s="26" t="s">
        <v>8621</v>
      </c>
      <c r="D118" s="26" t="s">
        <v>127</v>
      </c>
      <c r="E118" s="26" t="s">
        <v>8335</v>
      </c>
      <c r="F118" s="26" t="s">
        <v>8336</v>
      </c>
      <c r="G118" s="26" t="s">
        <v>8306</v>
      </c>
      <c r="H118" s="26" t="s">
        <v>8307</v>
      </c>
      <c r="I118" s="133"/>
      <c r="J118" s="133"/>
      <c r="K118" s="133"/>
      <c r="L118" s="133"/>
      <c r="M118" s="133"/>
      <c r="N118" s="133"/>
      <c r="O118" s="133"/>
      <c r="P118" s="133"/>
      <c r="Q118" s="133"/>
      <c r="R118" s="133"/>
      <c r="S118" s="133"/>
      <c r="T118" s="133"/>
      <c r="U118" s="133"/>
      <c r="V118" s="133"/>
      <c r="W118" s="133"/>
      <c r="X118" s="133"/>
    </row>
    <row r="119" customFormat="false" ht="15.75" hidden="false" customHeight="false" outlineLevel="0" collapsed="false">
      <c r="A119" s="26" t="s">
        <v>8622</v>
      </c>
      <c r="B119" s="26" t="s">
        <v>8623</v>
      </c>
      <c r="C119" s="26" t="s">
        <v>8623</v>
      </c>
      <c r="D119" s="26" t="s">
        <v>8624</v>
      </c>
      <c r="E119" s="26" t="s">
        <v>8325</v>
      </c>
      <c r="F119" s="26" t="s">
        <v>8326</v>
      </c>
      <c r="G119" s="26" t="s">
        <v>8350</v>
      </c>
      <c r="H119" s="26" t="s">
        <v>8351</v>
      </c>
      <c r="I119" s="133"/>
      <c r="J119" s="133"/>
      <c r="K119" s="133"/>
      <c r="L119" s="133"/>
      <c r="M119" s="133"/>
      <c r="N119" s="133"/>
      <c r="O119" s="133"/>
      <c r="P119" s="133"/>
      <c r="Q119" s="133"/>
      <c r="R119" s="133"/>
      <c r="S119" s="133"/>
      <c r="T119" s="133"/>
      <c r="U119" s="133"/>
      <c r="V119" s="133"/>
      <c r="W119" s="133"/>
      <c r="X119" s="133"/>
    </row>
    <row r="120" customFormat="false" ht="15.75" hidden="false" customHeight="false" outlineLevel="0" collapsed="false">
      <c r="A120" s="26" t="s">
        <v>8625</v>
      </c>
      <c r="B120" s="26" t="s">
        <v>8626</v>
      </c>
      <c r="C120" s="26" t="s">
        <v>8627</v>
      </c>
      <c r="D120" s="26" t="s">
        <v>8628</v>
      </c>
      <c r="E120" s="26" t="s">
        <v>8325</v>
      </c>
      <c r="F120" s="26" t="s">
        <v>8326</v>
      </c>
      <c r="G120" s="26" t="s">
        <v>8306</v>
      </c>
      <c r="H120" s="26" t="s">
        <v>8307</v>
      </c>
      <c r="I120" s="133"/>
      <c r="J120" s="133"/>
      <c r="K120" s="133"/>
      <c r="L120" s="133"/>
      <c r="M120" s="133"/>
      <c r="N120" s="133"/>
      <c r="O120" s="133"/>
      <c r="P120" s="133"/>
      <c r="Q120" s="133"/>
      <c r="R120" s="133"/>
      <c r="S120" s="133"/>
      <c r="T120" s="133"/>
      <c r="U120" s="133"/>
      <c r="V120" s="133"/>
      <c r="W120" s="133"/>
      <c r="X120" s="133"/>
    </row>
    <row r="121" customFormat="false" ht="15.75" hidden="false" customHeight="false" outlineLevel="0" collapsed="false">
      <c r="A121" s="26" t="s">
        <v>8629</v>
      </c>
      <c r="B121" s="26" t="s">
        <v>8630</v>
      </c>
      <c r="C121" s="26" t="s">
        <v>8631</v>
      </c>
      <c r="D121" s="26" t="s">
        <v>3153</v>
      </c>
      <c r="E121" s="26" t="s">
        <v>8325</v>
      </c>
      <c r="F121" s="26" t="s">
        <v>8326</v>
      </c>
      <c r="G121" s="26" t="s">
        <v>8330</v>
      </c>
      <c r="H121" s="26" t="s">
        <v>8331</v>
      </c>
      <c r="I121" s="133"/>
      <c r="J121" s="133"/>
      <c r="K121" s="133"/>
      <c r="L121" s="133"/>
      <c r="M121" s="133"/>
      <c r="N121" s="133"/>
      <c r="O121" s="133"/>
      <c r="P121" s="133"/>
      <c r="Q121" s="133"/>
      <c r="R121" s="133"/>
      <c r="S121" s="133"/>
      <c r="T121" s="133"/>
      <c r="U121" s="133"/>
      <c r="V121" s="133"/>
      <c r="W121" s="133"/>
      <c r="X121" s="133"/>
    </row>
    <row r="122" customFormat="false" ht="15.75" hidden="false" customHeight="false" outlineLevel="0" collapsed="false">
      <c r="A122" s="26" t="s">
        <v>8632</v>
      </c>
      <c r="B122" s="26" t="s">
        <v>478</v>
      </c>
      <c r="C122" s="26" t="s">
        <v>8633</v>
      </c>
      <c r="D122" s="26" t="s">
        <v>8634</v>
      </c>
      <c r="E122" s="26" t="s">
        <v>8313</v>
      </c>
      <c r="F122" s="26" t="s">
        <v>8314</v>
      </c>
      <c r="G122" s="26" t="s">
        <v>8350</v>
      </c>
      <c r="H122" s="26" t="s">
        <v>8351</v>
      </c>
      <c r="I122" s="133"/>
      <c r="J122" s="133"/>
      <c r="K122" s="133"/>
      <c r="L122" s="133"/>
      <c r="M122" s="133"/>
      <c r="N122" s="133"/>
      <c r="O122" s="133"/>
      <c r="P122" s="133"/>
      <c r="Q122" s="133"/>
      <c r="R122" s="133"/>
      <c r="S122" s="133"/>
      <c r="T122" s="133"/>
      <c r="U122" s="133"/>
      <c r="V122" s="133"/>
      <c r="W122" s="133"/>
      <c r="X122" s="133"/>
    </row>
    <row r="123" customFormat="false" ht="15.75" hidden="false" customHeight="false" outlineLevel="0" collapsed="false">
      <c r="A123" s="26" t="s">
        <v>8635</v>
      </c>
      <c r="B123" s="26" t="s">
        <v>8636</v>
      </c>
      <c r="C123" s="26" t="s">
        <v>8636</v>
      </c>
      <c r="D123" s="26" t="s">
        <v>8637</v>
      </c>
      <c r="E123" s="26" t="s">
        <v>8320</v>
      </c>
      <c r="F123" s="26" t="s">
        <v>8321</v>
      </c>
      <c r="G123" s="26" t="s">
        <v>8330</v>
      </c>
      <c r="H123" s="26" t="s">
        <v>8331</v>
      </c>
      <c r="I123" s="133"/>
      <c r="J123" s="133"/>
      <c r="K123" s="133"/>
      <c r="L123" s="133"/>
      <c r="M123" s="133"/>
      <c r="N123" s="133"/>
      <c r="O123" s="133"/>
      <c r="P123" s="133"/>
      <c r="Q123" s="133"/>
      <c r="R123" s="133"/>
      <c r="S123" s="133"/>
      <c r="T123" s="133"/>
      <c r="U123" s="133"/>
      <c r="V123" s="133"/>
      <c r="W123" s="133"/>
      <c r="X123" s="133"/>
    </row>
    <row r="124" customFormat="false" ht="15.75" hidden="false" customHeight="false" outlineLevel="0" collapsed="false">
      <c r="A124" s="26" t="s">
        <v>8638</v>
      </c>
      <c r="B124" s="26" t="s">
        <v>8639</v>
      </c>
      <c r="C124" s="26" t="s">
        <v>8640</v>
      </c>
      <c r="D124" s="26" t="s">
        <v>594</v>
      </c>
      <c r="E124" s="26" t="s">
        <v>8313</v>
      </c>
      <c r="F124" s="26" t="s">
        <v>8314</v>
      </c>
      <c r="G124" s="26" t="s">
        <v>8350</v>
      </c>
      <c r="H124" s="26" t="s">
        <v>8351</v>
      </c>
      <c r="I124" s="133"/>
      <c r="J124" s="133"/>
      <c r="K124" s="133"/>
      <c r="L124" s="133"/>
      <c r="M124" s="133"/>
      <c r="N124" s="133"/>
      <c r="O124" s="133"/>
      <c r="P124" s="133"/>
      <c r="Q124" s="133"/>
      <c r="R124" s="133"/>
      <c r="S124" s="133"/>
      <c r="T124" s="133"/>
      <c r="U124" s="133"/>
      <c r="V124" s="133"/>
      <c r="W124" s="133"/>
      <c r="X124" s="133"/>
    </row>
    <row r="125" customFormat="false" ht="15.75" hidden="false" customHeight="false" outlineLevel="0" collapsed="false">
      <c r="A125" s="26" t="s">
        <v>8641</v>
      </c>
      <c r="B125" s="26" t="s">
        <v>8642</v>
      </c>
      <c r="C125" s="26" t="s">
        <v>8643</v>
      </c>
      <c r="D125" s="26" t="s">
        <v>8644</v>
      </c>
      <c r="E125" s="26" t="s">
        <v>8325</v>
      </c>
      <c r="F125" s="26" t="s">
        <v>8326</v>
      </c>
      <c r="G125" s="26" t="s">
        <v>8350</v>
      </c>
      <c r="H125" s="26" t="s">
        <v>8351</v>
      </c>
      <c r="I125" s="133"/>
      <c r="J125" s="133"/>
      <c r="K125" s="133"/>
      <c r="L125" s="133"/>
      <c r="M125" s="133"/>
      <c r="N125" s="133"/>
      <c r="O125" s="133"/>
      <c r="P125" s="133"/>
      <c r="Q125" s="133"/>
      <c r="R125" s="133"/>
      <c r="S125" s="133"/>
      <c r="T125" s="133"/>
      <c r="U125" s="133"/>
      <c r="V125" s="133"/>
      <c r="W125" s="133"/>
      <c r="X125" s="133"/>
    </row>
    <row r="126" customFormat="false" ht="15.75" hidden="false" customHeight="false" outlineLevel="0" collapsed="false">
      <c r="A126" s="26" t="s">
        <v>8645</v>
      </c>
      <c r="B126" s="26" t="s">
        <v>8646</v>
      </c>
      <c r="C126" s="26" t="s">
        <v>8646</v>
      </c>
      <c r="D126" s="26" t="s">
        <v>8647</v>
      </c>
      <c r="E126" s="26" t="s">
        <v>8313</v>
      </c>
      <c r="F126" s="26" t="s">
        <v>8314</v>
      </c>
      <c r="G126" s="26" t="s">
        <v>8330</v>
      </c>
      <c r="H126" s="26" t="s">
        <v>8331</v>
      </c>
      <c r="I126" s="133"/>
      <c r="J126" s="133"/>
      <c r="K126" s="133"/>
      <c r="L126" s="133"/>
      <c r="M126" s="133"/>
      <c r="N126" s="133"/>
      <c r="O126" s="133"/>
      <c r="P126" s="133"/>
      <c r="Q126" s="133"/>
      <c r="R126" s="133"/>
      <c r="S126" s="133"/>
      <c r="T126" s="133"/>
      <c r="U126" s="133"/>
      <c r="V126" s="133"/>
      <c r="W126" s="133"/>
      <c r="X126" s="133"/>
    </row>
    <row r="127" customFormat="false" ht="15.75" hidden="false" customHeight="false" outlineLevel="0" collapsed="false">
      <c r="A127" s="26" t="s">
        <v>8648</v>
      </c>
      <c r="B127" s="26" t="s">
        <v>8649</v>
      </c>
      <c r="C127" s="26" t="s">
        <v>8649</v>
      </c>
      <c r="D127" s="26" t="s">
        <v>8650</v>
      </c>
      <c r="E127" s="26" t="s">
        <v>8320</v>
      </c>
      <c r="F127" s="26" t="s">
        <v>8321</v>
      </c>
      <c r="G127" s="26" t="s">
        <v>8315</v>
      </c>
      <c r="H127" s="26" t="s">
        <v>8316</v>
      </c>
      <c r="I127" s="133"/>
      <c r="J127" s="133"/>
      <c r="K127" s="133"/>
      <c r="L127" s="133"/>
      <c r="M127" s="133"/>
      <c r="N127" s="133"/>
      <c r="O127" s="133"/>
      <c r="P127" s="133"/>
      <c r="Q127" s="133"/>
      <c r="R127" s="133"/>
      <c r="S127" s="133"/>
      <c r="T127" s="133"/>
      <c r="U127" s="133"/>
      <c r="V127" s="133"/>
      <c r="W127" s="133"/>
      <c r="X127" s="133"/>
    </row>
    <row r="128" customFormat="false" ht="15.75" hidden="false" customHeight="false" outlineLevel="0" collapsed="false">
      <c r="A128" s="26" t="s">
        <v>8651</v>
      </c>
      <c r="B128" s="26" t="s">
        <v>8652</v>
      </c>
      <c r="C128" s="26" t="s">
        <v>8652</v>
      </c>
      <c r="D128" s="26" t="s">
        <v>8653</v>
      </c>
      <c r="E128" s="26" t="s">
        <v>8335</v>
      </c>
      <c r="F128" s="26" t="s">
        <v>8336</v>
      </c>
      <c r="G128" s="26" t="s">
        <v>8350</v>
      </c>
      <c r="H128" s="26" t="s">
        <v>8351</v>
      </c>
      <c r="I128" s="133"/>
      <c r="J128" s="133"/>
      <c r="K128" s="133"/>
      <c r="L128" s="133"/>
      <c r="M128" s="133"/>
      <c r="N128" s="133"/>
      <c r="O128" s="133"/>
      <c r="P128" s="133"/>
      <c r="Q128" s="133"/>
      <c r="R128" s="133"/>
      <c r="S128" s="133"/>
      <c r="T128" s="133"/>
      <c r="U128" s="133"/>
      <c r="V128" s="133"/>
      <c r="W128" s="133"/>
      <c r="X128" s="133"/>
    </row>
    <row r="129" customFormat="false" ht="15.75" hidden="false" customHeight="false" outlineLevel="0" collapsed="false">
      <c r="A129" s="26" t="s">
        <v>8654</v>
      </c>
      <c r="B129" s="26" t="s">
        <v>8655</v>
      </c>
      <c r="C129" s="26" t="s">
        <v>8655</v>
      </c>
      <c r="D129" s="26" t="s">
        <v>8656</v>
      </c>
      <c r="E129" s="26" t="s">
        <v>8335</v>
      </c>
      <c r="F129" s="26" t="s">
        <v>8336</v>
      </c>
      <c r="G129" s="26" t="s">
        <v>8306</v>
      </c>
      <c r="H129" s="26" t="s">
        <v>8307</v>
      </c>
      <c r="I129" s="133"/>
      <c r="J129" s="133"/>
      <c r="K129" s="133"/>
      <c r="L129" s="133"/>
      <c r="M129" s="133"/>
      <c r="N129" s="133"/>
      <c r="O129" s="133"/>
      <c r="P129" s="133"/>
      <c r="Q129" s="133"/>
      <c r="R129" s="133"/>
      <c r="S129" s="133"/>
      <c r="T129" s="133"/>
      <c r="U129" s="133"/>
      <c r="V129" s="133"/>
      <c r="W129" s="133"/>
      <c r="X129" s="133"/>
    </row>
    <row r="130" customFormat="false" ht="15.75" hidden="false" customHeight="false" outlineLevel="0" collapsed="false">
      <c r="A130" s="26" t="s">
        <v>8657</v>
      </c>
      <c r="B130" s="26" t="s">
        <v>8658</v>
      </c>
      <c r="C130" s="26" t="s">
        <v>8658</v>
      </c>
      <c r="D130" s="26" t="s">
        <v>8659</v>
      </c>
      <c r="E130" s="26" t="s">
        <v>8320</v>
      </c>
      <c r="F130" s="26" t="s">
        <v>8321</v>
      </c>
      <c r="G130" s="26" t="s">
        <v>8315</v>
      </c>
      <c r="H130" s="26" t="s">
        <v>8316</v>
      </c>
      <c r="I130" s="133"/>
      <c r="J130" s="133"/>
      <c r="K130" s="133"/>
      <c r="L130" s="133"/>
      <c r="M130" s="133"/>
      <c r="N130" s="133"/>
      <c r="O130" s="133"/>
      <c r="P130" s="133"/>
      <c r="Q130" s="133"/>
      <c r="R130" s="133"/>
      <c r="S130" s="133"/>
      <c r="T130" s="133"/>
      <c r="U130" s="133"/>
      <c r="V130" s="133"/>
      <c r="W130" s="133"/>
      <c r="X130" s="133"/>
    </row>
    <row r="131" customFormat="false" ht="15.75" hidden="false" customHeight="false" outlineLevel="0" collapsed="false">
      <c r="A131" s="26" t="s">
        <v>8660</v>
      </c>
      <c r="B131" s="26" t="s">
        <v>8661</v>
      </c>
      <c r="C131" s="26" t="s">
        <v>8661</v>
      </c>
      <c r="D131" s="26" t="s">
        <v>8662</v>
      </c>
      <c r="E131" s="26" t="s">
        <v>8313</v>
      </c>
      <c r="F131" s="26" t="s">
        <v>8314</v>
      </c>
      <c r="G131" s="26" t="s">
        <v>8330</v>
      </c>
      <c r="H131" s="26" t="s">
        <v>8331</v>
      </c>
      <c r="I131" s="133"/>
      <c r="J131" s="133"/>
      <c r="K131" s="133"/>
      <c r="L131" s="133"/>
      <c r="M131" s="133"/>
      <c r="N131" s="133"/>
      <c r="O131" s="133"/>
      <c r="P131" s="133"/>
      <c r="Q131" s="133"/>
      <c r="R131" s="133"/>
      <c r="S131" s="133"/>
      <c r="T131" s="133"/>
      <c r="U131" s="133"/>
      <c r="V131" s="133"/>
      <c r="W131" s="133"/>
      <c r="X131" s="133"/>
    </row>
    <row r="132" customFormat="false" ht="15.75" hidden="false" customHeight="false" outlineLevel="0" collapsed="false">
      <c r="A132" s="26" t="s">
        <v>8663</v>
      </c>
      <c r="B132" s="26" t="s">
        <v>8664</v>
      </c>
      <c r="C132" s="26" t="s">
        <v>8664</v>
      </c>
      <c r="D132" s="26" t="s">
        <v>8665</v>
      </c>
      <c r="E132" s="26" t="s">
        <v>8313</v>
      </c>
      <c r="F132" s="26" t="s">
        <v>8314</v>
      </c>
      <c r="G132" s="26" t="s">
        <v>8330</v>
      </c>
      <c r="H132" s="26" t="s">
        <v>8331</v>
      </c>
      <c r="I132" s="133"/>
      <c r="J132" s="133"/>
      <c r="K132" s="133"/>
      <c r="L132" s="133"/>
      <c r="M132" s="133"/>
      <c r="N132" s="133"/>
      <c r="O132" s="133"/>
      <c r="P132" s="133"/>
      <c r="Q132" s="133"/>
      <c r="R132" s="133"/>
      <c r="S132" s="133"/>
      <c r="T132" s="133"/>
      <c r="U132" s="133"/>
      <c r="V132" s="133"/>
      <c r="W132" s="133"/>
      <c r="X132" s="133"/>
    </row>
    <row r="133" customFormat="false" ht="15.75" hidden="false" customHeight="false" outlineLevel="0" collapsed="false">
      <c r="A133" s="26" t="s">
        <v>8666</v>
      </c>
      <c r="B133" s="26" t="s">
        <v>8667</v>
      </c>
      <c r="C133" s="26" t="s">
        <v>8667</v>
      </c>
      <c r="D133" s="26" t="s">
        <v>8668</v>
      </c>
      <c r="E133" s="26" t="s">
        <v>8313</v>
      </c>
      <c r="F133" s="26" t="s">
        <v>8314</v>
      </c>
      <c r="G133" s="26" t="s">
        <v>8330</v>
      </c>
      <c r="H133" s="26" t="s">
        <v>8331</v>
      </c>
      <c r="I133" s="133"/>
      <c r="J133" s="133"/>
      <c r="K133" s="133"/>
      <c r="L133" s="133"/>
      <c r="M133" s="133"/>
      <c r="N133" s="133"/>
      <c r="O133" s="133"/>
      <c r="P133" s="133"/>
      <c r="Q133" s="133"/>
      <c r="R133" s="133"/>
      <c r="S133" s="133"/>
      <c r="T133" s="133"/>
      <c r="U133" s="133"/>
      <c r="V133" s="133"/>
      <c r="W133" s="133"/>
      <c r="X133" s="133"/>
    </row>
    <row r="134" customFormat="false" ht="15.75" hidden="false" customHeight="false" outlineLevel="0" collapsed="false">
      <c r="A134" s="26" t="s">
        <v>1093</v>
      </c>
      <c r="B134" s="26" t="s">
        <v>8669</v>
      </c>
      <c r="C134" s="26" t="s">
        <v>8670</v>
      </c>
      <c r="D134" s="26" t="s">
        <v>8671</v>
      </c>
      <c r="E134" s="26" t="s">
        <v>8325</v>
      </c>
      <c r="F134" s="26" t="s">
        <v>8326</v>
      </c>
      <c r="G134" s="26" t="s">
        <v>8330</v>
      </c>
      <c r="H134" s="26" t="s">
        <v>8331</v>
      </c>
      <c r="I134" s="133"/>
      <c r="J134" s="133"/>
      <c r="K134" s="133"/>
      <c r="L134" s="133"/>
      <c r="M134" s="133"/>
      <c r="N134" s="133"/>
      <c r="O134" s="133"/>
      <c r="P134" s="133"/>
      <c r="Q134" s="133"/>
      <c r="R134" s="133"/>
      <c r="S134" s="133"/>
      <c r="T134" s="133"/>
      <c r="U134" s="133"/>
      <c r="V134" s="133"/>
      <c r="W134" s="133"/>
      <c r="X134" s="133"/>
    </row>
    <row r="135" customFormat="false" ht="15.75" hidden="false" customHeight="false" outlineLevel="0" collapsed="false">
      <c r="A135" s="26" t="s">
        <v>8672</v>
      </c>
      <c r="B135" s="26" t="s">
        <v>8673</v>
      </c>
      <c r="C135" s="26" t="s">
        <v>8674</v>
      </c>
      <c r="D135" s="26" t="s">
        <v>627</v>
      </c>
      <c r="E135" s="26" t="s">
        <v>8313</v>
      </c>
      <c r="F135" s="26" t="s">
        <v>8314</v>
      </c>
      <c r="G135" s="26" t="s">
        <v>8315</v>
      </c>
      <c r="H135" s="26" t="s">
        <v>8316</v>
      </c>
      <c r="I135" s="133"/>
      <c r="J135" s="133"/>
      <c r="K135" s="133"/>
      <c r="L135" s="133"/>
      <c r="M135" s="133"/>
      <c r="N135" s="133"/>
      <c r="O135" s="133"/>
      <c r="P135" s="133"/>
      <c r="Q135" s="133"/>
      <c r="R135" s="133"/>
      <c r="S135" s="133"/>
      <c r="T135" s="133"/>
      <c r="U135" s="133"/>
      <c r="V135" s="133"/>
      <c r="W135" s="133"/>
      <c r="X135" s="133"/>
    </row>
    <row r="136" customFormat="false" ht="15.75" hidden="false" customHeight="false" outlineLevel="0" collapsed="false">
      <c r="A136" s="26" t="s">
        <v>8675</v>
      </c>
      <c r="B136" s="26" t="s">
        <v>8676</v>
      </c>
      <c r="C136" s="26" t="s">
        <v>8676</v>
      </c>
      <c r="D136" s="26" t="s">
        <v>3804</v>
      </c>
      <c r="E136" s="26" t="s">
        <v>8335</v>
      </c>
      <c r="F136" s="26" t="s">
        <v>8336</v>
      </c>
      <c r="G136" s="26" t="s">
        <v>8306</v>
      </c>
      <c r="H136" s="26" t="s">
        <v>8307</v>
      </c>
      <c r="I136" s="133"/>
      <c r="J136" s="133"/>
      <c r="K136" s="133"/>
      <c r="L136" s="133"/>
      <c r="M136" s="133"/>
      <c r="N136" s="133"/>
      <c r="O136" s="133"/>
      <c r="P136" s="133"/>
      <c r="Q136" s="133"/>
      <c r="R136" s="133"/>
      <c r="S136" s="133"/>
      <c r="T136" s="133"/>
      <c r="U136" s="133"/>
      <c r="V136" s="133"/>
      <c r="W136" s="133"/>
      <c r="X136" s="133"/>
    </row>
    <row r="137" customFormat="false" ht="15.75" hidden="false" customHeight="false" outlineLevel="0" collapsed="false">
      <c r="A137" s="26" t="s">
        <v>8677</v>
      </c>
      <c r="B137" s="26" t="s">
        <v>8678</v>
      </c>
      <c r="C137" s="26" t="s">
        <v>8678</v>
      </c>
      <c r="D137" s="26" t="s">
        <v>2958</v>
      </c>
      <c r="E137" s="26" t="s">
        <v>8335</v>
      </c>
      <c r="F137" s="26" t="s">
        <v>8336</v>
      </c>
      <c r="G137" s="26" t="s">
        <v>8306</v>
      </c>
      <c r="H137" s="26" t="s">
        <v>8307</v>
      </c>
      <c r="I137" s="133"/>
      <c r="J137" s="133"/>
      <c r="K137" s="133"/>
      <c r="L137" s="133"/>
      <c r="M137" s="133"/>
      <c r="N137" s="133"/>
      <c r="O137" s="133"/>
      <c r="P137" s="133"/>
      <c r="Q137" s="133"/>
      <c r="R137" s="133"/>
      <c r="S137" s="133"/>
      <c r="T137" s="133"/>
      <c r="U137" s="133"/>
      <c r="V137" s="133"/>
      <c r="W137" s="133"/>
      <c r="X137" s="133"/>
    </row>
    <row r="138" customFormat="false" ht="15.75" hidden="false" customHeight="false" outlineLevel="0" collapsed="false">
      <c r="A138" s="26" t="s">
        <v>8679</v>
      </c>
      <c r="B138" s="26" t="s">
        <v>8680</v>
      </c>
      <c r="C138" s="26" t="s">
        <v>8680</v>
      </c>
      <c r="D138" s="26" t="s">
        <v>3238</v>
      </c>
      <c r="E138" s="26" t="s">
        <v>8325</v>
      </c>
      <c r="F138" s="26" t="s">
        <v>8326</v>
      </c>
      <c r="G138" s="26" t="s">
        <v>8315</v>
      </c>
      <c r="H138" s="26" t="s">
        <v>8316</v>
      </c>
      <c r="I138" s="133"/>
      <c r="J138" s="133"/>
      <c r="K138" s="133"/>
      <c r="L138" s="133"/>
      <c r="M138" s="133"/>
      <c r="N138" s="133"/>
      <c r="O138" s="133"/>
      <c r="P138" s="133"/>
      <c r="Q138" s="133"/>
      <c r="R138" s="133"/>
      <c r="S138" s="133"/>
      <c r="T138" s="133"/>
      <c r="U138" s="133"/>
      <c r="V138" s="133"/>
      <c r="W138" s="133"/>
      <c r="X138" s="133"/>
    </row>
    <row r="139" customFormat="false" ht="15.75" hidden="false" customHeight="false" outlineLevel="0" collapsed="false">
      <c r="A139" s="26" t="s">
        <v>8681</v>
      </c>
      <c r="B139" s="26" t="s">
        <v>8682</v>
      </c>
      <c r="C139" s="26" t="s">
        <v>8682</v>
      </c>
      <c r="D139" s="26" t="s">
        <v>8683</v>
      </c>
      <c r="E139" s="26" t="s">
        <v>8305</v>
      </c>
      <c r="F139" s="26" t="s">
        <v>1272</v>
      </c>
      <c r="G139" s="26" t="s">
        <v>8315</v>
      </c>
      <c r="H139" s="26" t="s">
        <v>8316</v>
      </c>
      <c r="I139" s="133"/>
      <c r="J139" s="133"/>
      <c r="K139" s="133"/>
      <c r="L139" s="133"/>
      <c r="M139" s="133"/>
      <c r="N139" s="133"/>
      <c r="O139" s="133"/>
      <c r="P139" s="133"/>
      <c r="Q139" s="133"/>
      <c r="R139" s="133"/>
      <c r="S139" s="133"/>
      <c r="T139" s="133"/>
      <c r="U139" s="133"/>
      <c r="V139" s="133"/>
      <c r="W139" s="133"/>
      <c r="X139" s="133"/>
    </row>
    <row r="140" customFormat="false" ht="15.75" hidden="false" customHeight="false" outlineLevel="0" collapsed="false">
      <c r="A140" s="26" t="s">
        <v>8684</v>
      </c>
      <c r="B140" s="26" t="s">
        <v>8685</v>
      </c>
      <c r="C140" s="26" t="s">
        <v>8685</v>
      </c>
      <c r="D140" s="26" t="s">
        <v>8686</v>
      </c>
      <c r="E140" s="26" t="s">
        <v>8335</v>
      </c>
      <c r="F140" s="26" t="s">
        <v>8336</v>
      </c>
      <c r="G140" s="26" t="s">
        <v>8306</v>
      </c>
      <c r="H140" s="26" t="s">
        <v>8307</v>
      </c>
      <c r="I140" s="133"/>
      <c r="J140" s="133"/>
      <c r="K140" s="133"/>
      <c r="L140" s="133"/>
      <c r="M140" s="133"/>
      <c r="N140" s="133"/>
      <c r="O140" s="133"/>
      <c r="P140" s="133"/>
      <c r="Q140" s="133"/>
      <c r="R140" s="133"/>
      <c r="S140" s="133"/>
      <c r="T140" s="133"/>
      <c r="U140" s="133"/>
      <c r="V140" s="133"/>
      <c r="W140" s="133"/>
      <c r="X140" s="133"/>
    </row>
    <row r="141" customFormat="false" ht="15.75" hidden="false" customHeight="false" outlineLevel="0" collapsed="false">
      <c r="A141" s="26" t="s">
        <v>4453</v>
      </c>
      <c r="B141" s="26" t="s">
        <v>8687</v>
      </c>
      <c r="C141" s="26" t="s">
        <v>8687</v>
      </c>
      <c r="D141" s="26" t="s">
        <v>8688</v>
      </c>
      <c r="E141" s="26" t="s">
        <v>8313</v>
      </c>
      <c r="F141" s="26" t="s">
        <v>8314</v>
      </c>
      <c r="G141" s="26" t="s">
        <v>8330</v>
      </c>
      <c r="H141" s="26" t="s">
        <v>8331</v>
      </c>
      <c r="I141" s="133"/>
      <c r="J141" s="133"/>
      <c r="K141" s="133"/>
      <c r="L141" s="133"/>
      <c r="M141" s="133"/>
      <c r="N141" s="133"/>
      <c r="O141" s="133"/>
      <c r="P141" s="133"/>
      <c r="Q141" s="133"/>
      <c r="R141" s="133"/>
      <c r="S141" s="133"/>
      <c r="T141" s="133"/>
      <c r="U141" s="133"/>
      <c r="V141" s="133"/>
      <c r="W141" s="133"/>
      <c r="X141" s="133"/>
    </row>
    <row r="142" customFormat="false" ht="15.75" hidden="false" customHeight="false" outlineLevel="0" collapsed="false">
      <c r="A142" s="26" t="s">
        <v>8689</v>
      </c>
      <c r="B142" s="26" t="s">
        <v>8690</v>
      </c>
      <c r="C142" s="26" t="s">
        <v>8690</v>
      </c>
      <c r="D142" s="26" t="s">
        <v>8691</v>
      </c>
      <c r="E142" s="26" t="s">
        <v>8325</v>
      </c>
      <c r="F142" s="26" t="s">
        <v>8326</v>
      </c>
      <c r="G142" s="26" t="s">
        <v>8315</v>
      </c>
      <c r="H142" s="26" t="s">
        <v>8316</v>
      </c>
      <c r="I142" s="133"/>
      <c r="J142" s="133"/>
      <c r="K142" s="133"/>
      <c r="L142" s="133"/>
      <c r="M142" s="133"/>
      <c r="N142" s="133"/>
      <c r="O142" s="133"/>
      <c r="P142" s="133"/>
      <c r="Q142" s="133"/>
      <c r="R142" s="133"/>
      <c r="S142" s="133"/>
      <c r="T142" s="133"/>
      <c r="U142" s="133"/>
      <c r="V142" s="133"/>
      <c r="W142" s="133"/>
      <c r="X142" s="133"/>
    </row>
    <row r="143" customFormat="false" ht="15.75" hidden="false" customHeight="false" outlineLevel="0" collapsed="false">
      <c r="A143" s="26" t="s">
        <v>8692</v>
      </c>
      <c r="B143" s="26" t="s">
        <v>8693</v>
      </c>
      <c r="C143" s="26" t="s">
        <v>478</v>
      </c>
      <c r="D143" s="26" t="s">
        <v>478</v>
      </c>
      <c r="E143" s="26" t="s">
        <v>478</v>
      </c>
      <c r="F143" s="26" t="s">
        <v>478</v>
      </c>
      <c r="G143" s="26" t="s">
        <v>478</v>
      </c>
      <c r="H143" s="26" t="s">
        <v>478</v>
      </c>
      <c r="I143" s="133"/>
      <c r="J143" s="133"/>
      <c r="K143" s="133"/>
      <c r="L143" s="133"/>
      <c r="M143" s="133"/>
      <c r="N143" s="133"/>
      <c r="O143" s="133"/>
      <c r="P143" s="133"/>
      <c r="Q143" s="133"/>
      <c r="R143" s="133"/>
      <c r="S143" s="133"/>
      <c r="T143" s="133"/>
      <c r="U143" s="133"/>
      <c r="V143" s="133"/>
      <c r="W143" s="133"/>
      <c r="X143" s="133"/>
    </row>
    <row r="144" customFormat="false" ht="15.75" hidden="false" customHeight="false" outlineLevel="0" collapsed="false">
      <c r="A144" s="26" t="s">
        <v>8694</v>
      </c>
      <c r="B144" s="26" t="s">
        <v>8695</v>
      </c>
      <c r="C144" s="26" t="s">
        <v>8695</v>
      </c>
      <c r="D144" s="26" t="s">
        <v>8696</v>
      </c>
      <c r="E144" s="26" t="s">
        <v>8335</v>
      </c>
      <c r="F144" s="26" t="s">
        <v>8336</v>
      </c>
      <c r="G144" s="26" t="s">
        <v>8350</v>
      </c>
      <c r="H144" s="26" t="s">
        <v>8351</v>
      </c>
      <c r="I144" s="133"/>
      <c r="J144" s="133"/>
      <c r="K144" s="133"/>
      <c r="L144" s="133"/>
      <c r="M144" s="133"/>
      <c r="N144" s="133"/>
      <c r="O144" s="133"/>
      <c r="P144" s="133"/>
      <c r="Q144" s="133"/>
      <c r="R144" s="133"/>
      <c r="S144" s="133"/>
      <c r="T144" s="133"/>
      <c r="U144" s="133"/>
      <c r="V144" s="133"/>
      <c r="W144" s="133"/>
      <c r="X144" s="133"/>
    </row>
    <row r="145" customFormat="false" ht="15.75" hidden="false" customHeight="false" outlineLevel="0" collapsed="false">
      <c r="A145" s="26" t="s">
        <v>8697</v>
      </c>
      <c r="B145" s="26" t="s">
        <v>8698</v>
      </c>
      <c r="C145" s="26" t="s">
        <v>8698</v>
      </c>
      <c r="D145" s="26" t="s">
        <v>8699</v>
      </c>
      <c r="E145" s="26" t="s">
        <v>8335</v>
      </c>
      <c r="F145" s="26" t="s">
        <v>8336</v>
      </c>
      <c r="G145" s="26" t="s">
        <v>8315</v>
      </c>
      <c r="H145" s="26" t="s">
        <v>8316</v>
      </c>
      <c r="I145" s="133"/>
      <c r="J145" s="133"/>
      <c r="K145" s="133"/>
      <c r="L145" s="133"/>
      <c r="M145" s="133"/>
      <c r="N145" s="133"/>
      <c r="O145" s="133"/>
      <c r="P145" s="133"/>
      <c r="Q145" s="133"/>
      <c r="R145" s="133"/>
      <c r="S145" s="133"/>
      <c r="T145" s="133"/>
      <c r="U145" s="133"/>
      <c r="V145" s="133"/>
      <c r="W145" s="133"/>
      <c r="X145" s="133"/>
    </row>
    <row r="146" customFormat="false" ht="15.75" hidden="false" customHeight="false" outlineLevel="0" collapsed="false">
      <c r="A146" s="26" t="s">
        <v>8700</v>
      </c>
      <c r="B146" s="26" t="s">
        <v>8701</v>
      </c>
      <c r="C146" s="26" t="s">
        <v>478</v>
      </c>
      <c r="D146" s="26" t="s">
        <v>478</v>
      </c>
      <c r="E146" s="26" t="s">
        <v>478</v>
      </c>
      <c r="F146" s="26" t="s">
        <v>478</v>
      </c>
      <c r="G146" s="26" t="s">
        <v>478</v>
      </c>
      <c r="H146" s="26" t="s">
        <v>478</v>
      </c>
      <c r="I146" s="133"/>
      <c r="J146" s="133"/>
      <c r="K146" s="133"/>
      <c r="L146" s="133"/>
      <c r="M146" s="133"/>
      <c r="N146" s="133"/>
      <c r="O146" s="133"/>
      <c r="P146" s="133"/>
      <c r="Q146" s="133"/>
      <c r="R146" s="133"/>
      <c r="S146" s="133"/>
      <c r="T146" s="133"/>
      <c r="U146" s="133"/>
      <c r="V146" s="133"/>
      <c r="W146" s="133"/>
      <c r="X146" s="133"/>
    </row>
    <row r="147" customFormat="false" ht="15.75" hidden="false" customHeight="false" outlineLevel="0" collapsed="false">
      <c r="A147" s="26" t="s">
        <v>8702</v>
      </c>
      <c r="B147" s="26" t="s">
        <v>8703</v>
      </c>
      <c r="C147" s="26" t="s">
        <v>8703</v>
      </c>
      <c r="D147" s="26" t="s">
        <v>266</v>
      </c>
      <c r="E147" s="26" t="s">
        <v>8344</v>
      </c>
      <c r="F147" s="26" t="s">
        <v>8345</v>
      </c>
      <c r="G147" s="26" t="s">
        <v>8315</v>
      </c>
      <c r="H147" s="26" t="s">
        <v>8316</v>
      </c>
      <c r="I147" s="133"/>
      <c r="J147" s="133"/>
      <c r="K147" s="133"/>
      <c r="L147" s="133"/>
      <c r="M147" s="133"/>
      <c r="N147" s="133"/>
      <c r="O147" s="133"/>
      <c r="P147" s="133"/>
      <c r="Q147" s="133"/>
      <c r="R147" s="133"/>
      <c r="S147" s="133"/>
      <c r="T147" s="133"/>
      <c r="U147" s="133"/>
      <c r="V147" s="133"/>
      <c r="W147" s="133"/>
      <c r="X147" s="133"/>
    </row>
    <row r="148" customFormat="false" ht="15.75" hidden="false" customHeight="false" outlineLevel="0" collapsed="false">
      <c r="A148" s="26" t="s">
        <v>8704</v>
      </c>
      <c r="B148" s="26" t="s">
        <v>8705</v>
      </c>
      <c r="C148" s="26" t="s">
        <v>8706</v>
      </c>
      <c r="D148" s="26" t="s">
        <v>8707</v>
      </c>
      <c r="E148" s="26" t="s">
        <v>8325</v>
      </c>
      <c r="F148" s="26" t="s">
        <v>8326</v>
      </c>
      <c r="G148" s="26" t="s">
        <v>8350</v>
      </c>
      <c r="H148" s="26" t="s">
        <v>8351</v>
      </c>
      <c r="I148" s="133"/>
      <c r="J148" s="133"/>
      <c r="K148" s="133"/>
      <c r="L148" s="133"/>
      <c r="M148" s="133"/>
      <c r="N148" s="133"/>
      <c r="O148" s="133"/>
      <c r="P148" s="133"/>
      <c r="Q148" s="133"/>
      <c r="R148" s="133"/>
      <c r="S148" s="133"/>
      <c r="T148" s="133"/>
      <c r="U148" s="133"/>
      <c r="V148" s="133"/>
      <c r="W148" s="133"/>
      <c r="X148" s="133"/>
    </row>
    <row r="149" customFormat="false" ht="15.75" hidden="false" customHeight="false" outlineLevel="0" collapsed="false">
      <c r="A149" s="26" t="s">
        <v>120</v>
      </c>
      <c r="B149" s="26" t="s">
        <v>8708</v>
      </c>
      <c r="C149" s="26" t="s">
        <v>8709</v>
      </c>
      <c r="D149" s="26" t="s">
        <v>1595</v>
      </c>
      <c r="E149" s="26" t="s">
        <v>8313</v>
      </c>
      <c r="F149" s="26" t="s">
        <v>8314</v>
      </c>
      <c r="G149" s="26" t="s">
        <v>8350</v>
      </c>
      <c r="H149" s="26" t="s">
        <v>8351</v>
      </c>
      <c r="I149" s="133"/>
      <c r="J149" s="133"/>
      <c r="K149" s="133"/>
      <c r="L149" s="133"/>
      <c r="M149" s="133"/>
      <c r="N149" s="133"/>
      <c r="O149" s="133"/>
      <c r="P149" s="133"/>
      <c r="Q149" s="133"/>
      <c r="R149" s="133"/>
      <c r="S149" s="133"/>
      <c r="T149" s="133"/>
      <c r="U149" s="133"/>
      <c r="V149" s="133"/>
      <c r="W149" s="133"/>
      <c r="X149" s="133"/>
    </row>
    <row r="150" customFormat="false" ht="15.75" hidden="false" customHeight="false" outlineLevel="0" collapsed="false">
      <c r="A150" s="26" t="s">
        <v>8710</v>
      </c>
      <c r="B150" s="26" t="s">
        <v>8711</v>
      </c>
      <c r="C150" s="26" t="s">
        <v>8711</v>
      </c>
      <c r="D150" s="26" t="s">
        <v>8712</v>
      </c>
      <c r="E150" s="26" t="s">
        <v>8313</v>
      </c>
      <c r="F150" s="26" t="s">
        <v>8314</v>
      </c>
      <c r="G150" s="26" t="s">
        <v>8330</v>
      </c>
      <c r="H150" s="26" t="s">
        <v>8331</v>
      </c>
      <c r="I150" s="133"/>
      <c r="J150" s="133"/>
      <c r="K150" s="133"/>
      <c r="L150" s="133"/>
      <c r="M150" s="133"/>
      <c r="N150" s="133"/>
      <c r="O150" s="133"/>
      <c r="P150" s="133"/>
      <c r="Q150" s="133"/>
      <c r="R150" s="133"/>
      <c r="S150" s="133"/>
      <c r="T150" s="133"/>
      <c r="U150" s="133"/>
      <c r="V150" s="133"/>
      <c r="W150" s="133"/>
      <c r="X150" s="133"/>
    </row>
    <row r="151" customFormat="false" ht="15.75" hidden="false" customHeight="false" outlineLevel="0" collapsed="false">
      <c r="A151" s="26" t="s">
        <v>516</v>
      </c>
      <c r="B151" s="26" t="s">
        <v>8713</v>
      </c>
      <c r="C151" s="26" t="s">
        <v>8713</v>
      </c>
      <c r="D151" s="26" t="s">
        <v>8714</v>
      </c>
      <c r="E151" s="26" t="s">
        <v>8325</v>
      </c>
      <c r="F151" s="26" t="s">
        <v>8326</v>
      </c>
      <c r="G151" s="26" t="s">
        <v>8350</v>
      </c>
      <c r="H151" s="26" t="s">
        <v>8351</v>
      </c>
      <c r="I151" s="133"/>
      <c r="J151" s="133"/>
      <c r="K151" s="133"/>
      <c r="L151" s="133"/>
      <c r="M151" s="133"/>
      <c r="N151" s="133"/>
      <c r="O151" s="133"/>
      <c r="P151" s="133"/>
      <c r="Q151" s="133"/>
      <c r="R151" s="133"/>
      <c r="S151" s="133"/>
      <c r="T151" s="133"/>
      <c r="U151" s="133"/>
      <c r="V151" s="133"/>
      <c r="W151" s="133"/>
      <c r="X151" s="133"/>
    </row>
    <row r="152" customFormat="false" ht="15.75" hidden="false" customHeight="false" outlineLevel="0" collapsed="false">
      <c r="A152" s="26" t="s">
        <v>1715</v>
      </c>
      <c r="B152" s="26" t="s">
        <v>8715</v>
      </c>
      <c r="C152" s="26" t="s">
        <v>8715</v>
      </c>
      <c r="D152" s="26" t="s">
        <v>8716</v>
      </c>
      <c r="E152" s="26" t="s">
        <v>8313</v>
      </c>
      <c r="F152" s="26" t="s">
        <v>8314</v>
      </c>
      <c r="G152" s="26" t="s">
        <v>8315</v>
      </c>
      <c r="H152" s="26" t="s">
        <v>8316</v>
      </c>
      <c r="I152" s="133"/>
      <c r="J152" s="133"/>
      <c r="K152" s="133"/>
      <c r="L152" s="133"/>
      <c r="M152" s="133"/>
      <c r="N152" s="133"/>
      <c r="O152" s="133"/>
      <c r="P152" s="133"/>
      <c r="Q152" s="133"/>
      <c r="R152" s="133"/>
      <c r="S152" s="133"/>
      <c r="T152" s="133"/>
      <c r="U152" s="133"/>
      <c r="V152" s="133"/>
      <c r="W152" s="133"/>
      <c r="X152" s="133"/>
    </row>
    <row r="153" customFormat="false" ht="15.75" hidden="false" customHeight="false" outlineLevel="0" collapsed="false">
      <c r="A153" s="26" t="s">
        <v>8717</v>
      </c>
      <c r="B153" s="26" t="s">
        <v>8718</v>
      </c>
      <c r="C153" s="26" t="s">
        <v>478</v>
      </c>
      <c r="D153" s="26" t="s">
        <v>478</v>
      </c>
      <c r="E153" s="26" t="s">
        <v>478</v>
      </c>
      <c r="F153" s="26" t="s">
        <v>478</v>
      </c>
      <c r="G153" s="26" t="s">
        <v>478</v>
      </c>
      <c r="H153" s="26" t="s">
        <v>478</v>
      </c>
      <c r="I153" s="133"/>
      <c r="J153" s="133"/>
      <c r="K153" s="133"/>
      <c r="L153" s="133"/>
      <c r="M153" s="133"/>
      <c r="N153" s="133"/>
      <c r="O153" s="133"/>
      <c r="P153" s="133"/>
      <c r="Q153" s="133"/>
      <c r="R153" s="133"/>
      <c r="S153" s="133"/>
      <c r="T153" s="133"/>
      <c r="U153" s="133"/>
      <c r="V153" s="133"/>
      <c r="W153" s="133"/>
      <c r="X153" s="133"/>
    </row>
    <row r="154" customFormat="false" ht="15.75" hidden="false" customHeight="false" outlineLevel="0" collapsed="false">
      <c r="A154" s="26" t="s">
        <v>297</v>
      </c>
      <c r="B154" s="26" t="s">
        <v>8719</v>
      </c>
      <c r="C154" s="26" t="s">
        <v>8719</v>
      </c>
      <c r="D154" s="26" t="s">
        <v>1800</v>
      </c>
      <c r="E154" s="26" t="s">
        <v>8320</v>
      </c>
      <c r="F154" s="26" t="s">
        <v>8321</v>
      </c>
      <c r="G154" s="26" t="s">
        <v>8350</v>
      </c>
      <c r="H154" s="26" t="s">
        <v>8351</v>
      </c>
      <c r="I154" s="133"/>
      <c r="J154" s="133"/>
      <c r="K154" s="133"/>
      <c r="L154" s="133"/>
      <c r="M154" s="133"/>
      <c r="N154" s="133"/>
      <c r="O154" s="133"/>
      <c r="P154" s="133"/>
      <c r="Q154" s="133"/>
      <c r="R154" s="133"/>
      <c r="S154" s="133"/>
      <c r="T154" s="133"/>
      <c r="U154" s="133"/>
      <c r="V154" s="133"/>
      <c r="W154" s="133"/>
      <c r="X154" s="133"/>
    </row>
    <row r="155" customFormat="false" ht="15.75" hidden="false" customHeight="false" outlineLevel="0" collapsed="false">
      <c r="A155" s="26" t="s">
        <v>8720</v>
      </c>
      <c r="B155" s="26" t="s">
        <v>8721</v>
      </c>
      <c r="C155" s="26" t="s">
        <v>8721</v>
      </c>
      <c r="D155" s="26" t="s">
        <v>8722</v>
      </c>
      <c r="E155" s="26" t="s">
        <v>8335</v>
      </c>
      <c r="F155" s="26" t="s">
        <v>8336</v>
      </c>
      <c r="G155" s="26" t="s">
        <v>8306</v>
      </c>
      <c r="H155" s="26" t="s">
        <v>8307</v>
      </c>
      <c r="I155" s="133"/>
      <c r="J155" s="133"/>
      <c r="K155" s="133"/>
      <c r="L155" s="133"/>
      <c r="M155" s="133"/>
      <c r="N155" s="133"/>
      <c r="O155" s="133"/>
      <c r="P155" s="133"/>
      <c r="Q155" s="133"/>
      <c r="R155" s="133"/>
      <c r="S155" s="133"/>
      <c r="T155" s="133"/>
      <c r="U155" s="133"/>
      <c r="V155" s="133"/>
      <c r="W155" s="133"/>
      <c r="X155" s="133"/>
    </row>
    <row r="156" customFormat="false" ht="15.75" hidden="false" customHeight="false" outlineLevel="0" collapsed="false">
      <c r="A156" s="26" t="s">
        <v>8723</v>
      </c>
      <c r="B156" s="26" t="s">
        <v>8724</v>
      </c>
      <c r="C156" s="26" t="s">
        <v>8724</v>
      </c>
      <c r="D156" s="26" t="s">
        <v>8725</v>
      </c>
      <c r="E156" s="26" t="s">
        <v>8325</v>
      </c>
      <c r="F156" s="26" t="s">
        <v>8326</v>
      </c>
      <c r="G156" s="26" t="s">
        <v>8306</v>
      </c>
      <c r="H156" s="26" t="s">
        <v>8307</v>
      </c>
      <c r="I156" s="133"/>
      <c r="J156" s="133"/>
      <c r="K156" s="133"/>
      <c r="L156" s="133"/>
      <c r="M156" s="133"/>
      <c r="N156" s="133"/>
      <c r="O156" s="133"/>
      <c r="P156" s="133"/>
      <c r="Q156" s="133"/>
      <c r="R156" s="133"/>
      <c r="S156" s="133"/>
      <c r="T156" s="133"/>
      <c r="U156" s="133"/>
      <c r="V156" s="133"/>
      <c r="W156" s="133"/>
      <c r="X156" s="133"/>
    </row>
    <row r="157" customFormat="false" ht="15.75" hidden="false" customHeight="false" outlineLevel="0" collapsed="false">
      <c r="A157" s="26" t="s">
        <v>195</v>
      </c>
      <c r="B157" s="26" t="s">
        <v>8726</v>
      </c>
      <c r="C157" s="26" t="s">
        <v>8726</v>
      </c>
      <c r="D157" s="26" t="s">
        <v>8423</v>
      </c>
      <c r="E157" s="26" t="s">
        <v>8335</v>
      </c>
      <c r="F157" s="26" t="s">
        <v>8336</v>
      </c>
      <c r="G157" s="26" t="s">
        <v>8315</v>
      </c>
      <c r="H157" s="26" t="s">
        <v>8316</v>
      </c>
      <c r="I157" s="133"/>
      <c r="J157" s="133"/>
      <c r="K157" s="133"/>
      <c r="L157" s="133"/>
      <c r="M157" s="133"/>
      <c r="N157" s="133"/>
      <c r="O157" s="133"/>
      <c r="P157" s="133"/>
      <c r="Q157" s="133"/>
      <c r="R157" s="133"/>
      <c r="S157" s="133"/>
      <c r="T157" s="133"/>
      <c r="U157" s="133"/>
      <c r="V157" s="133"/>
      <c r="W157" s="133"/>
      <c r="X157" s="133"/>
    </row>
    <row r="158" customFormat="false" ht="15.75" hidden="false" customHeight="false" outlineLevel="0" collapsed="false">
      <c r="A158" s="26" t="s">
        <v>8727</v>
      </c>
      <c r="B158" s="26" t="s">
        <v>8728</v>
      </c>
      <c r="C158" s="26" t="s">
        <v>478</v>
      </c>
      <c r="D158" s="26" t="s">
        <v>478</v>
      </c>
      <c r="E158" s="26" t="s">
        <v>478</v>
      </c>
      <c r="F158" s="26" t="s">
        <v>478</v>
      </c>
      <c r="G158" s="26" t="s">
        <v>478</v>
      </c>
      <c r="H158" s="26" t="s">
        <v>478</v>
      </c>
      <c r="I158" s="133"/>
      <c r="J158" s="133"/>
      <c r="K158" s="133"/>
      <c r="L158" s="133"/>
      <c r="M158" s="133"/>
      <c r="N158" s="133"/>
      <c r="O158" s="133"/>
      <c r="P158" s="133"/>
      <c r="Q158" s="133"/>
      <c r="R158" s="133"/>
      <c r="S158" s="133"/>
      <c r="T158" s="133"/>
      <c r="U158" s="133"/>
      <c r="V158" s="133"/>
      <c r="W158" s="133"/>
      <c r="X158" s="133"/>
    </row>
    <row r="159" customFormat="false" ht="15.75" hidden="false" customHeight="false" outlineLevel="0" collapsed="false">
      <c r="A159" s="26" t="s">
        <v>8729</v>
      </c>
      <c r="B159" s="26" t="s">
        <v>8730</v>
      </c>
      <c r="C159" s="26" t="s">
        <v>8730</v>
      </c>
      <c r="D159" s="26" t="s">
        <v>1374</v>
      </c>
      <c r="E159" s="26" t="s">
        <v>8305</v>
      </c>
      <c r="F159" s="26" t="s">
        <v>1272</v>
      </c>
      <c r="G159" s="26" t="s">
        <v>8306</v>
      </c>
      <c r="H159" s="26" t="s">
        <v>8307</v>
      </c>
      <c r="I159" s="133"/>
      <c r="J159" s="133"/>
      <c r="K159" s="133"/>
      <c r="L159" s="133"/>
      <c r="M159" s="133"/>
      <c r="N159" s="133"/>
      <c r="O159" s="133"/>
      <c r="P159" s="133"/>
      <c r="Q159" s="133"/>
      <c r="R159" s="133"/>
      <c r="S159" s="133"/>
      <c r="T159" s="133"/>
      <c r="U159" s="133"/>
      <c r="V159" s="133"/>
      <c r="W159" s="133"/>
      <c r="X159" s="133"/>
    </row>
    <row r="160" customFormat="false" ht="15.75" hidden="false" customHeight="false" outlineLevel="0" collapsed="false">
      <c r="A160" s="26" t="s">
        <v>8731</v>
      </c>
      <c r="B160" s="26" t="s">
        <v>8732</v>
      </c>
      <c r="C160" s="26" t="s">
        <v>8732</v>
      </c>
      <c r="D160" s="26" t="s">
        <v>230</v>
      </c>
      <c r="E160" s="26" t="s">
        <v>8313</v>
      </c>
      <c r="F160" s="26" t="s">
        <v>8314</v>
      </c>
      <c r="G160" s="26" t="s">
        <v>8330</v>
      </c>
      <c r="H160" s="26" t="s">
        <v>8331</v>
      </c>
      <c r="I160" s="133"/>
      <c r="J160" s="133"/>
      <c r="K160" s="133"/>
      <c r="L160" s="133"/>
      <c r="M160" s="133"/>
      <c r="N160" s="133"/>
      <c r="O160" s="133"/>
      <c r="P160" s="133"/>
      <c r="Q160" s="133"/>
      <c r="R160" s="133"/>
      <c r="S160" s="133"/>
      <c r="T160" s="133"/>
      <c r="U160" s="133"/>
      <c r="V160" s="133"/>
      <c r="W160" s="133"/>
      <c r="X160" s="133"/>
    </row>
    <row r="161" customFormat="false" ht="15.75" hidden="false" customHeight="false" outlineLevel="0" collapsed="false">
      <c r="A161" s="26" t="s">
        <v>376</v>
      </c>
      <c r="B161" s="26" t="s">
        <v>8733</v>
      </c>
      <c r="C161" s="26" t="s">
        <v>8733</v>
      </c>
      <c r="D161" s="26" t="s">
        <v>8734</v>
      </c>
      <c r="E161" s="26" t="s">
        <v>8325</v>
      </c>
      <c r="F161" s="26" t="s">
        <v>8326</v>
      </c>
      <c r="G161" s="26" t="s">
        <v>8330</v>
      </c>
      <c r="H161" s="26" t="s">
        <v>8331</v>
      </c>
      <c r="I161" s="133"/>
      <c r="J161" s="133"/>
      <c r="K161" s="133"/>
      <c r="L161" s="133"/>
      <c r="M161" s="133"/>
      <c r="N161" s="133"/>
      <c r="O161" s="133"/>
      <c r="P161" s="133"/>
      <c r="Q161" s="133"/>
      <c r="R161" s="133"/>
      <c r="S161" s="133"/>
      <c r="T161" s="133"/>
      <c r="U161" s="133"/>
      <c r="V161" s="133"/>
      <c r="W161" s="133"/>
      <c r="X161" s="133"/>
    </row>
    <row r="162" customFormat="false" ht="15.75" hidden="false" customHeight="false" outlineLevel="0" collapsed="false">
      <c r="A162" s="26" t="s">
        <v>8735</v>
      </c>
      <c r="B162" s="26" t="s">
        <v>8736</v>
      </c>
      <c r="C162" s="26" t="s">
        <v>8736</v>
      </c>
      <c r="D162" s="26" t="s">
        <v>7508</v>
      </c>
      <c r="E162" s="26" t="s">
        <v>8325</v>
      </c>
      <c r="F162" s="26" t="s">
        <v>8326</v>
      </c>
      <c r="G162" s="26" t="s">
        <v>8330</v>
      </c>
      <c r="H162" s="26" t="s">
        <v>8331</v>
      </c>
      <c r="I162" s="133"/>
      <c r="J162" s="133"/>
      <c r="K162" s="133"/>
      <c r="L162" s="133"/>
      <c r="M162" s="133"/>
      <c r="N162" s="133"/>
      <c r="O162" s="133"/>
      <c r="P162" s="133"/>
      <c r="Q162" s="133"/>
      <c r="R162" s="133"/>
      <c r="S162" s="133"/>
      <c r="T162" s="133"/>
      <c r="U162" s="133"/>
      <c r="V162" s="133"/>
      <c r="W162" s="133"/>
      <c r="X162" s="133"/>
    </row>
    <row r="163" customFormat="false" ht="15.75" hidden="false" customHeight="false" outlineLevel="0" collapsed="false">
      <c r="A163" s="26" t="s">
        <v>8737</v>
      </c>
      <c r="B163" s="26" t="s">
        <v>8738</v>
      </c>
      <c r="C163" s="26" t="s">
        <v>8738</v>
      </c>
      <c r="D163" s="26" t="s">
        <v>577</v>
      </c>
      <c r="E163" s="26" t="s">
        <v>8344</v>
      </c>
      <c r="F163" s="26" t="s">
        <v>8345</v>
      </c>
      <c r="G163" s="26" t="s">
        <v>8350</v>
      </c>
      <c r="H163" s="26" t="s">
        <v>8351</v>
      </c>
      <c r="I163" s="133"/>
      <c r="J163" s="133"/>
      <c r="K163" s="133"/>
      <c r="L163" s="133"/>
      <c r="M163" s="133"/>
      <c r="N163" s="133"/>
      <c r="O163" s="133"/>
      <c r="P163" s="133"/>
      <c r="Q163" s="133"/>
      <c r="R163" s="133"/>
      <c r="S163" s="133"/>
      <c r="T163" s="133"/>
      <c r="U163" s="133"/>
      <c r="V163" s="133"/>
      <c r="W163" s="133"/>
      <c r="X163" s="133"/>
    </row>
    <row r="164" customFormat="false" ht="15.75" hidden="false" customHeight="false" outlineLevel="0" collapsed="false">
      <c r="A164" s="26" t="s">
        <v>2272</v>
      </c>
      <c r="B164" s="26" t="s">
        <v>8739</v>
      </c>
      <c r="C164" s="26" t="s">
        <v>8739</v>
      </c>
      <c r="D164" s="26" t="s">
        <v>8740</v>
      </c>
      <c r="E164" s="26" t="s">
        <v>8335</v>
      </c>
      <c r="F164" s="26" t="s">
        <v>8336</v>
      </c>
      <c r="G164" s="26" t="s">
        <v>8306</v>
      </c>
      <c r="H164" s="26" t="s">
        <v>8307</v>
      </c>
      <c r="I164" s="133"/>
      <c r="J164" s="133"/>
      <c r="K164" s="133"/>
      <c r="L164" s="133"/>
      <c r="M164" s="133"/>
      <c r="N164" s="133"/>
      <c r="O164" s="133"/>
      <c r="P164" s="133"/>
      <c r="Q164" s="133"/>
      <c r="R164" s="133"/>
      <c r="S164" s="133"/>
      <c r="T164" s="133"/>
      <c r="U164" s="133"/>
      <c r="V164" s="133"/>
      <c r="W164" s="133"/>
      <c r="X164" s="133"/>
    </row>
    <row r="165" customFormat="false" ht="15.75" hidden="false" customHeight="false" outlineLevel="0" collapsed="false">
      <c r="A165" s="26" t="s">
        <v>8741</v>
      </c>
      <c r="B165" s="26" t="s">
        <v>8742</v>
      </c>
      <c r="C165" s="26" t="s">
        <v>8742</v>
      </c>
      <c r="D165" s="26" t="s">
        <v>1644</v>
      </c>
      <c r="E165" s="26" t="s">
        <v>8335</v>
      </c>
      <c r="F165" s="26" t="s">
        <v>8336</v>
      </c>
      <c r="G165" s="26" t="s">
        <v>8350</v>
      </c>
      <c r="H165" s="26" t="s">
        <v>8351</v>
      </c>
      <c r="I165" s="133"/>
      <c r="J165" s="133"/>
      <c r="K165" s="133"/>
      <c r="L165" s="133"/>
      <c r="M165" s="133"/>
      <c r="N165" s="133"/>
      <c r="O165" s="133"/>
      <c r="P165" s="133"/>
      <c r="Q165" s="133"/>
      <c r="R165" s="133"/>
      <c r="S165" s="133"/>
      <c r="T165" s="133"/>
      <c r="U165" s="133"/>
      <c r="V165" s="133"/>
      <c r="W165" s="133"/>
      <c r="X165" s="133"/>
    </row>
    <row r="166" customFormat="false" ht="15.75" hidden="false" customHeight="false" outlineLevel="0" collapsed="false">
      <c r="A166" s="26" t="s">
        <v>8743</v>
      </c>
      <c r="B166" s="26" t="s">
        <v>8744</v>
      </c>
      <c r="C166" s="26" t="s">
        <v>478</v>
      </c>
      <c r="D166" s="26" t="s">
        <v>478</v>
      </c>
      <c r="E166" s="26" t="s">
        <v>478</v>
      </c>
      <c r="F166" s="26" t="s">
        <v>478</v>
      </c>
      <c r="G166" s="26" t="s">
        <v>478</v>
      </c>
      <c r="H166" s="26" t="s">
        <v>478</v>
      </c>
      <c r="I166" s="133"/>
      <c r="J166" s="133"/>
      <c r="K166" s="133"/>
      <c r="L166" s="133"/>
      <c r="M166" s="133"/>
      <c r="N166" s="133"/>
      <c r="O166" s="133"/>
      <c r="P166" s="133"/>
      <c r="Q166" s="133"/>
      <c r="R166" s="133"/>
      <c r="S166" s="133"/>
      <c r="T166" s="133"/>
      <c r="U166" s="133"/>
      <c r="V166" s="133"/>
      <c r="W166" s="133"/>
      <c r="X166" s="133"/>
    </row>
    <row r="167" customFormat="false" ht="15.75" hidden="false" customHeight="false" outlineLevel="0" collapsed="false">
      <c r="A167" s="26" t="s">
        <v>8745</v>
      </c>
      <c r="B167" s="26" t="s">
        <v>8746</v>
      </c>
      <c r="C167" s="26" t="s">
        <v>478</v>
      </c>
      <c r="D167" s="26" t="s">
        <v>478</v>
      </c>
      <c r="E167" s="26" t="s">
        <v>478</v>
      </c>
      <c r="F167" s="26" t="s">
        <v>478</v>
      </c>
      <c r="G167" s="26" t="s">
        <v>478</v>
      </c>
      <c r="H167" s="26" t="s">
        <v>478</v>
      </c>
      <c r="I167" s="133"/>
      <c r="J167" s="133"/>
      <c r="K167" s="133"/>
      <c r="L167" s="133"/>
      <c r="M167" s="133"/>
      <c r="N167" s="133"/>
      <c r="O167" s="133"/>
      <c r="P167" s="133"/>
      <c r="Q167" s="133"/>
      <c r="R167" s="133"/>
      <c r="S167" s="133"/>
      <c r="T167" s="133"/>
      <c r="U167" s="133"/>
      <c r="V167" s="133"/>
      <c r="W167" s="133"/>
      <c r="X167" s="133"/>
    </row>
    <row r="168" customFormat="false" ht="15.75" hidden="false" customHeight="false" outlineLevel="0" collapsed="false">
      <c r="A168" s="26" t="s">
        <v>8747</v>
      </c>
      <c r="B168" s="26" t="s">
        <v>8748</v>
      </c>
      <c r="C168" s="26" t="s">
        <v>8748</v>
      </c>
      <c r="D168" s="26" t="s">
        <v>8749</v>
      </c>
      <c r="E168" s="26" t="s">
        <v>8325</v>
      </c>
      <c r="F168" s="26" t="s">
        <v>8326</v>
      </c>
      <c r="G168" s="26" t="s">
        <v>8330</v>
      </c>
      <c r="H168" s="26" t="s">
        <v>8331</v>
      </c>
      <c r="I168" s="133"/>
      <c r="J168" s="133"/>
      <c r="K168" s="133"/>
      <c r="L168" s="133"/>
      <c r="M168" s="133"/>
      <c r="N168" s="133"/>
      <c r="O168" s="133"/>
      <c r="P168" s="133"/>
      <c r="Q168" s="133"/>
      <c r="R168" s="133"/>
      <c r="S168" s="133"/>
      <c r="T168" s="133"/>
      <c r="U168" s="133"/>
      <c r="V168" s="133"/>
      <c r="W168" s="133"/>
      <c r="X168" s="133"/>
    </row>
    <row r="169" customFormat="false" ht="15.75" hidden="false" customHeight="false" outlineLevel="0" collapsed="false">
      <c r="A169" s="26" t="s">
        <v>8750</v>
      </c>
      <c r="B169" s="26" t="s">
        <v>8751</v>
      </c>
      <c r="C169" s="26" t="s">
        <v>8751</v>
      </c>
      <c r="D169" s="26" t="s">
        <v>7447</v>
      </c>
      <c r="E169" s="26" t="s">
        <v>8313</v>
      </c>
      <c r="F169" s="26" t="s">
        <v>8314</v>
      </c>
      <c r="G169" s="26" t="s">
        <v>8330</v>
      </c>
      <c r="H169" s="26" t="s">
        <v>8331</v>
      </c>
      <c r="I169" s="133"/>
      <c r="J169" s="133"/>
      <c r="K169" s="133"/>
      <c r="L169" s="133"/>
      <c r="M169" s="133"/>
      <c r="N169" s="133"/>
      <c r="O169" s="133"/>
      <c r="P169" s="133"/>
      <c r="Q169" s="133"/>
      <c r="R169" s="133"/>
      <c r="S169" s="133"/>
      <c r="T169" s="133"/>
      <c r="U169" s="133"/>
      <c r="V169" s="133"/>
      <c r="W169" s="133"/>
      <c r="X169" s="133"/>
    </row>
    <row r="170" customFormat="false" ht="15.75" hidden="false" customHeight="false" outlineLevel="0" collapsed="false">
      <c r="A170" s="26" t="s">
        <v>8752</v>
      </c>
      <c r="B170" s="26" t="s">
        <v>8753</v>
      </c>
      <c r="C170" s="26" t="s">
        <v>8753</v>
      </c>
      <c r="D170" s="26" t="s">
        <v>8754</v>
      </c>
      <c r="E170" s="26" t="s">
        <v>8320</v>
      </c>
      <c r="F170" s="26" t="s">
        <v>8321</v>
      </c>
      <c r="G170" s="26" t="s">
        <v>8330</v>
      </c>
      <c r="H170" s="26" t="s">
        <v>8331</v>
      </c>
      <c r="I170" s="133"/>
      <c r="J170" s="133"/>
      <c r="K170" s="133"/>
      <c r="L170" s="133"/>
      <c r="M170" s="133"/>
      <c r="N170" s="133"/>
      <c r="O170" s="133"/>
      <c r="P170" s="133"/>
      <c r="Q170" s="133"/>
      <c r="R170" s="133"/>
      <c r="S170" s="133"/>
      <c r="T170" s="133"/>
      <c r="U170" s="133"/>
      <c r="V170" s="133"/>
      <c r="W170" s="133"/>
      <c r="X170" s="133"/>
    </row>
    <row r="171" customFormat="false" ht="15.75" hidden="false" customHeight="false" outlineLevel="0" collapsed="false">
      <c r="A171" s="26" t="s">
        <v>8755</v>
      </c>
      <c r="B171" s="26" t="s">
        <v>8756</v>
      </c>
      <c r="C171" s="26" t="s">
        <v>8756</v>
      </c>
      <c r="D171" s="26" t="s">
        <v>3128</v>
      </c>
      <c r="E171" s="26" t="s">
        <v>8305</v>
      </c>
      <c r="F171" s="26" t="s">
        <v>1272</v>
      </c>
      <c r="G171" s="26" t="s">
        <v>8350</v>
      </c>
      <c r="H171" s="26" t="s">
        <v>8351</v>
      </c>
      <c r="I171" s="133"/>
      <c r="J171" s="133"/>
      <c r="K171" s="133"/>
      <c r="L171" s="133"/>
      <c r="M171" s="133"/>
      <c r="N171" s="133"/>
      <c r="O171" s="133"/>
      <c r="P171" s="133"/>
      <c r="Q171" s="133"/>
      <c r="R171" s="133"/>
      <c r="S171" s="133"/>
      <c r="T171" s="133"/>
      <c r="U171" s="133"/>
      <c r="V171" s="133"/>
      <c r="W171" s="133"/>
      <c r="X171" s="133"/>
    </row>
    <row r="172" customFormat="false" ht="15.75" hidden="false" customHeight="false" outlineLevel="0" collapsed="false">
      <c r="A172" s="26" t="s">
        <v>8757</v>
      </c>
      <c r="B172" s="26" t="s">
        <v>8758</v>
      </c>
      <c r="C172" s="26" t="s">
        <v>8758</v>
      </c>
      <c r="D172" s="26" t="s">
        <v>8759</v>
      </c>
      <c r="E172" s="26" t="s">
        <v>8325</v>
      </c>
      <c r="F172" s="26" t="s">
        <v>8326</v>
      </c>
      <c r="G172" s="26" t="s">
        <v>8315</v>
      </c>
      <c r="H172" s="26" t="s">
        <v>8316</v>
      </c>
      <c r="I172" s="133"/>
      <c r="J172" s="133"/>
      <c r="K172" s="133"/>
      <c r="L172" s="133"/>
      <c r="M172" s="133"/>
      <c r="N172" s="133"/>
      <c r="O172" s="133"/>
      <c r="P172" s="133"/>
      <c r="Q172" s="133"/>
      <c r="R172" s="133"/>
      <c r="S172" s="133"/>
      <c r="T172" s="133"/>
      <c r="U172" s="133"/>
      <c r="V172" s="133"/>
      <c r="W172" s="133"/>
      <c r="X172" s="133"/>
    </row>
    <row r="173" customFormat="false" ht="15.75" hidden="false" customHeight="false" outlineLevel="0" collapsed="false">
      <c r="A173" s="26" t="s">
        <v>8760</v>
      </c>
      <c r="B173" s="26" t="s">
        <v>8761</v>
      </c>
      <c r="C173" s="26" t="s">
        <v>478</v>
      </c>
      <c r="D173" s="26" t="s">
        <v>478</v>
      </c>
      <c r="E173" s="26" t="s">
        <v>478</v>
      </c>
      <c r="F173" s="26" t="s">
        <v>478</v>
      </c>
      <c r="G173" s="26" t="s">
        <v>478</v>
      </c>
      <c r="H173" s="26" t="s">
        <v>478</v>
      </c>
      <c r="I173" s="133"/>
      <c r="J173" s="133"/>
      <c r="K173" s="133"/>
      <c r="L173" s="133"/>
      <c r="M173" s="133"/>
      <c r="N173" s="133"/>
      <c r="O173" s="133"/>
      <c r="P173" s="133"/>
      <c r="Q173" s="133"/>
      <c r="R173" s="133"/>
      <c r="S173" s="133"/>
      <c r="T173" s="133"/>
      <c r="U173" s="133"/>
      <c r="V173" s="133"/>
      <c r="W173" s="133"/>
      <c r="X173" s="133"/>
    </row>
    <row r="174" customFormat="false" ht="15.75" hidden="false" customHeight="false" outlineLevel="0" collapsed="false">
      <c r="A174" s="26" t="s">
        <v>423</v>
      </c>
      <c r="B174" s="26" t="s">
        <v>8762</v>
      </c>
      <c r="C174" s="26" t="s">
        <v>8762</v>
      </c>
      <c r="D174" s="26" t="s">
        <v>8763</v>
      </c>
      <c r="E174" s="26" t="s">
        <v>8344</v>
      </c>
      <c r="F174" s="26" t="s">
        <v>8345</v>
      </c>
      <c r="G174" s="26" t="s">
        <v>8315</v>
      </c>
      <c r="H174" s="26" t="s">
        <v>8316</v>
      </c>
      <c r="I174" s="133"/>
      <c r="J174" s="133"/>
      <c r="K174" s="133"/>
      <c r="L174" s="133"/>
      <c r="M174" s="133"/>
      <c r="N174" s="133"/>
      <c r="O174" s="133"/>
      <c r="P174" s="133"/>
      <c r="Q174" s="133"/>
      <c r="R174" s="133"/>
      <c r="S174" s="133"/>
      <c r="T174" s="133"/>
      <c r="U174" s="133"/>
      <c r="V174" s="133"/>
      <c r="W174" s="133"/>
      <c r="X174" s="133"/>
    </row>
    <row r="175" customFormat="false" ht="15.75" hidden="false" customHeight="false" outlineLevel="0" collapsed="false">
      <c r="A175" s="26" t="s">
        <v>8764</v>
      </c>
      <c r="B175" s="26" t="s">
        <v>8765</v>
      </c>
      <c r="C175" s="26" t="s">
        <v>8765</v>
      </c>
      <c r="D175" s="26" t="s">
        <v>8766</v>
      </c>
      <c r="E175" s="26" t="s">
        <v>8325</v>
      </c>
      <c r="F175" s="26" t="s">
        <v>8326</v>
      </c>
      <c r="G175" s="26" t="s">
        <v>8350</v>
      </c>
      <c r="H175" s="26" t="s">
        <v>8351</v>
      </c>
      <c r="I175" s="133"/>
      <c r="J175" s="133"/>
      <c r="K175" s="133"/>
      <c r="L175" s="133"/>
      <c r="M175" s="133"/>
      <c r="N175" s="133"/>
      <c r="O175" s="133"/>
      <c r="P175" s="133"/>
      <c r="Q175" s="133"/>
      <c r="R175" s="133"/>
      <c r="S175" s="133"/>
      <c r="T175" s="133"/>
      <c r="U175" s="133"/>
      <c r="V175" s="133"/>
      <c r="W175" s="133"/>
      <c r="X175" s="133"/>
    </row>
    <row r="176" customFormat="false" ht="15.75" hidden="false" customHeight="false" outlineLevel="0" collapsed="false">
      <c r="A176" s="26" t="s">
        <v>8767</v>
      </c>
      <c r="B176" s="26" t="s">
        <v>8768</v>
      </c>
      <c r="C176" s="26" t="s">
        <v>8768</v>
      </c>
      <c r="D176" s="26" t="s">
        <v>703</v>
      </c>
      <c r="E176" s="26" t="s">
        <v>8344</v>
      </c>
      <c r="F176" s="26" t="s">
        <v>8345</v>
      </c>
      <c r="G176" s="26" t="s">
        <v>8350</v>
      </c>
      <c r="H176" s="26" t="s">
        <v>8351</v>
      </c>
      <c r="I176" s="133"/>
      <c r="J176" s="133"/>
      <c r="K176" s="133"/>
      <c r="L176" s="133"/>
      <c r="M176" s="133"/>
      <c r="N176" s="133"/>
      <c r="O176" s="133"/>
      <c r="P176" s="133"/>
      <c r="Q176" s="133"/>
      <c r="R176" s="133"/>
      <c r="S176" s="133"/>
      <c r="T176" s="133"/>
      <c r="U176" s="133"/>
      <c r="V176" s="133"/>
      <c r="W176" s="133"/>
      <c r="X176" s="133"/>
    </row>
    <row r="177" customFormat="false" ht="15.75" hidden="false" customHeight="false" outlineLevel="0" collapsed="false">
      <c r="A177" s="26" t="s">
        <v>8769</v>
      </c>
      <c r="B177" s="26" t="s">
        <v>8770</v>
      </c>
      <c r="C177" s="26" t="s">
        <v>8770</v>
      </c>
      <c r="D177" s="26" t="s">
        <v>56</v>
      </c>
      <c r="E177" s="26" t="s">
        <v>8344</v>
      </c>
      <c r="F177" s="26" t="s">
        <v>8345</v>
      </c>
      <c r="G177" s="26" t="s">
        <v>8315</v>
      </c>
      <c r="H177" s="26" t="s">
        <v>8316</v>
      </c>
      <c r="I177" s="133"/>
      <c r="J177" s="133"/>
      <c r="K177" s="133"/>
      <c r="L177" s="133"/>
      <c r="M177" s="133"/>
      <c r="N177" s="133"/>
      <c r="O177" s="133"/>
      <c r="P177" s="133"/>
      <c r="Q177" s="133"/>
      <c r="R177" s="133"/>
      <c r="S177" s="133"/>
      <c r="T177" s="133"/>
      <c r="U177" s="133"/>
      <c r="V177" s="133"/>
      <c r="W177" s="133"/>
      <c r="X177" s="133"/>
    </row>
    <row r="178" customFormat="false" ht="15.75" hidden="false" customHeight="false" outlineLevel="0" collapsed="false">
      <c r="A178" s="26" t="s">
        <v>8771</v>
      </c>
      <c r="B178" s="26" t="s">
        <v>8772</v>
      </c>
      <c r="C178" s="26" t="s">
        <v>8772</v>
      </c>
      <c r="D178" s="26" t="s">
        <v>543</v>
      </c>
      <c r="E178" s="26" t="s">
        <v>8325</v>
      </c>
      <c r="F178" s="26" t="s">
        <v>8326</v>
      </c>
      <c r="G178" s="26" t="s">
        <v>8350</v>
      </c>
      <c r="H178" s="26" t="s">
        <v>8351</v>
      </c>
      <c r="I178" s="133"/>
      <c r="J178" s="133"/>
      <c r="K178" s="133"/>
      <c r="L178" s="133"/>
      <c r="M178" s="133"/>
      <c r="N178" s="133"/>
      <c r="O178" s="133"/>
      <c r="P178" s="133"/>
      <c r="Q178" s="133"/>
      <c r="R178" s="133"/>
      <c r="S178" s="133"/>
      <c r="T178" s="133"/>
      <c r="U178" s="133"/>
      <c r="V178" s="133"/>
      <c r="W178" s="133"/>
      <c r="X178" s="133"/>
    </row>
    <row r="179" customFormat="false" ht="15.75" hidden="false" customHeight="false" outlineLevel="0" collapsed="false">
      <c r="A179" s="26" t="s">
        <v>8773</v>
      </c>
      <c r="B179" s="26" t="s">
        <v>8774</v>
      </c>
      <c r="C179" s="26" t="s">
        <v>478</v>
      </c>
      <c r="D179" s="26" t="s">
        <v>478</v>
      </c>
      <c r="E179" s="26" t="s">
        <v>478</v>
      </c>
      <c r="F179" s="26" t="s">
        <v>478</v>
      </c>
      <c r="G179" s="26" t="s">
        <v>478</v>
      </c>
      <c r="H179" s="26" t="s">
        <v>478</v>
      </c>
      <c r="I179" s="133"/>
      <c r="J179" s="133"/>
      <c r="K179" s="133"/>
      <c r="L179" s="133"/>
      <c r="M179" s="133"/>
      <c r="N179" s="133"/>
      <c r="O179" s="133"/>
      <c r="P179" s="133"/>
      <c r="Q179" s="133"/>
      <c r="R179" s="133"/>
      <c r="S179" s="133"/>
      <c r="T179" s="133"/>
      <c r="U179" s="133"/>
      <c r="V179" s="133"/>
      <c r="W179" s="133"/>
      <c r="X179" s="133"/>
    </row>
    <row r="180" customFormat="false" ht="15.75" hidden="false" customHeight="false" outlineLevel="0" collapsed="false">
      <c r="A180" s="26" t="s">
        <v>8775</v>
      </c>
      <c r="B180" s="26" t="s">
        <v>8776</v>
      </c>
      <c r="C180" s="26" t="s">
        <v>8776</v>
      </c>
      <c r="D180" s="26" t="s">
        <v>223</v>
      </c>
      <c r="E180" s="26" t="s">
        <v>8313</v>
      </c>
      <c r="F180" s="26" t="s">
        <v>8314</v>
      </c>
      <c r="G180" s="26" t="s">
        <v>8330</v>
      </c>
      <c r="H180" s="26" t="s">
        <v>8331</v>
      </c>
      <c r="I180" s="133"/>
      <c r="J180" s="133"/>
      <c r="K180" s="133"/>
      <c r="L180" s="133"/>
      <c r="M180" s="133"/>
      <c r="N180" s="133"/>
      <c r="O180" s="133"/>
      <c r="P180" s="133"/>
      <c r="Q180" s="133"/>
      <c r="R180" s="133"/>
      <c r="S180" s="133"/>
      <c r="T180" s="133"/>
      <c r="U180" s="133"/>
      <c r="V180" s="133"/>
      <c r="W180" s="133"/>
      <c r="X180" s="133"/>
    </row>
    <row r="181" customFormat="false" ht="15.75" hidden="false" customHeight="false" outlineLevel="0" collapsed="false">
      <c r="A181" s="26" t="s">
        <v>8777</v>
      </c>
      <c r="B181" s="26" t="s">
        <v>8778</v>
      </c>
      <c r="C181" s="26" t="s">
        <v>8778</v>
      </c>
      <c r="D181" s="26" t="s">
        <v>8213</v>
      </c>
      <c r="E181" s="26" t="s">
        <v>8313</v>
      </c>
      <c r="F181" s="26" t="s">
        <v>8314</v>
      </c>
      <c r="G181" s="26" t="s">
        <v>8330</v>
      </c>
      <c r="H181" s="26" t="s">
        <v>8331</v>
      </c>
      <c r="I181" s="133"/>
      <c r="J181" s="133"/>
      <c r="K181" s="133"/>
      <c r="L181" s="133"/>
      <c r="M181" s="133"/>
      <c r="N181" s="133"/>
      <c r="O181" s="133"/>
      <c r="P181" s="133"/>
      <c r="Q181" s="133"/>
      <c r="R181" s="133"/>
      <c r="S181" s="133"/>
      <c r="T181" s="133"/>
      <c r="U181" s="133"/>
      <c r="V181" s="133"/>
      <c r="W181" s="133"/>
      <c r="X181" s="133"/>
    </row>
    <row r="182" customFormat="false" ht="15.75" hidden="false" customHeight="false" outlineLevel="0" collapsed="false">
      <c r="A182" s="26" t="s">
        <v>8779</v>
      </c>
      <c r="B182" s="26" t="s">
        <v>8780</v>
      </c>
      <c r="C182" s="26" t="s">
        <v>8780</v>
      </c>
      <c r="D182" s="26" t="s">
        <v>582</v>
      </c>
      <c r="E182" s="26" t="s">
        <v>8344</v>
      </c>
      <c r="F182" s="26" t="s">
        <v>8345</v>
      </c>
      <c r="G182" s="26" t="s">
        <v>8330</v>
      </c>
      <c r="H182" s="26" t="s">
        <v>8331</v>
      </c>
      <c r="I182" s="133"/>
      <c r="J182" s="133"/>
      <c r="K182" s="133"/>
      <c r="L182" s="133"/>
      <c r="M182" s="133"/>
      <c r="N182" s="133"/>
      <c r="O182" s="133"/>
      <c r="P182" s="133"/>
      <c r="Q182" s="133"/>
      <c r="R182" s="133"/>
      <c r="S182" s="133"/>
      <c r="T182" s="133"/>
      <c r="U182" s="133"/>
      <c r="V182" s="133"/>
      <c r="W182" s="133"/>
      <c r="X182" s="133"/>
    </row>
    <row r="183" customFormat="false" ht="15.75" hidden="false" customHeight="false" outlineLevel="0" collapsed="false">
      <c r="A183" s="26" t="s">
        <v>8781</v>
      </c>
      <c r="B183" s="26" t="s">
        <v>8782</v>
      </c>
      <c r="C183" s="26" t="s">
        <v>8782</v>
      </c>
      <c r="D183" s="26" t="s">
        <v>8783</v>
      </c>
      <c r="E183" s="26" t="s">
        <v>8320</v>
      </c>
      <c r="F183" s="26" t="s">
        <v>8321</v>
      </c>
      <c r="G183" s="26" t="s">
        <v>8330</v>
      </c>
      <c r="H183" s="26" t="s">
        <v>8331</v>
      </c>
      <c r="I183" s="133"/>
      <c r="J183" s="133"/>
      <c r="K183" s="133"/>
      <c r="L183" s="133"/>
      <c r="M183" s="133"/>
      <c r="N183" s="133"/>
      <c r="O183" s="133"/>
      <c r="P183" s="133"/>
      <c r="Q183" s="133"/>
      <c r="R183" s="133"/>
      <c r="S183" s="133"/>
      <c r="T183" s="133"/>
      <c r="U183" s="133"/>
      <c r="V183" s="133"/>
      <c r="W183" s="133"/>
      <c r="X183" s="133"/>
    </row>
    <row r="184" customFormat="false" ht="15.75" hidden="false" customHeight="false" outlineLevel="0" collapsed="false">
      <c r="A184" s="26" t="s">
        <v>8784</v>
      </c>
      <c r="B184" s="26" t="s">
        <v>8785</v>
      </c>
      <c r="C184" s="26" t="s">
        <v>478</v>
      </c>
      <c r="D184" s="26" t="s">
        <v>478</v>
      </c>
      <c r="E184" s="26" t="s">
        <v>478</v>
      </c>
      <c r="F184" s="26" t="s">
        <v>478</v>
      </c>
      <c r="G184" s="26" t="s">
        <v>478</v>
      </c>
      <c r="H184" s="26" t="s">
        <v>478</v>
      </c>
      <c r="I184" s="133"/>
      <c r="J184" s="133"/>
      <c r="K184" s="133"/>
      <c r="L184" s="133"/>
      <c r="M184" s="133"/>
      <c r="N184" s="133"/>
      <c r="O184" s="133"/>
      <c r="P184" s="133"/>
      <c r="Q184" s="133"/>
      <c r="R184" s="133"/>
      <c r="S184" s="133"/>
      <c r="T184" s="133"/>
      <c r="U184" s="133"/>
      <c r="V184" s="133"/>
      <c r="W184" s="133"/>
      <c r="X184" s="133"/>
    </row>
    <row r="185" customFormat="false" ht="15.75" hidden="false" customHeight="false" outlineLevel="0" collapsed="false">
      <c r="A185" s="26" t="s">
        <v>8786</v>
      </c>
      <c r="B185" s="26" t="s">
        <v>8787</v>
      </c>
      <c r="C185" s="26" t="s">
        <v>8787</v>
      </c>
      <c r="D185" s="26" t="s">
        <v>8788</v>
      </c>
      <c r="E185" s="26" t="s">
        <v>8313</v>
      </c>
      <c r="F185" s="26" t="s">
        <v>8314</v>
      </c>
      <c r="G185" s="26" t="s">
        <v>8315</v>
      </c>
      <c r="H185" s="26" t="s">
        <v>8316</v>
      </c>
      <c r="I185" s="133"/>
      <c r="J185" s="133"/>
      <c r="K185" s="133"/>
      <c r="L185" s="133"/>
      <c r="M185" s="133"/>
      <c r="N185" s="133"/>
      <c r="O185" s="133"/>
      <c r="P185" s="133"/>
      <c r="Q185" s="133"/>
      <c r="R185" s="133"/>
      <c r="S185" s="133"/>
      <c r="T185" s="133"/>
      <c r="U185" s="133"/>
      <c r="V185" s="133"/>
      <c r="W185" s="133"/>
      <c r="X185" s="133"/>
    </row>
    <row r="186" customFormat="false" ht="15.75" hidden="false" customHeight="false" outlineLevel="0" collapsed="false">
      <c r="A186" s="26" t="s">
        <v>8789</v>
      </c>
      <c r="B186" s="26" t="s">
        <v>8790</v>
      </c>
      <c r="C186" s="26" t="s">
        <v>8790</v>
      </c>
      <c r="D186" s="26" t="s">
        <v>45</v>
      </c>
      <c r="E186" s="26" t="s">
        <v>8313</v>
      </c>
      <c r="F186" s="26" t="s">
        <v>8314</v>
      </c>
      <c r="G186" s="26" t="s">
        <v>8330</v>
      </c>
      <c r="H186" s="26" t="s">
        <v>8331</v>
      </c>
      <c r="I186" s="133"/>
      <c r="J186" s="133"/>
      <c r="K186" s="133"/>
      <c r="L186" s="133"/>
      <c r="M186" s="133"/>
      <c r="N186" s="133"/>
      <c r="O186" s="133"/>
      <c r="P186" s="133"/>
      <c r="Q186" s="133"/>
      <c r="R186" s="133"/>
      <c r="S186" s="133"/>
      <c r="T186" s="133"/>
      <c r="U186" s="133"/>
      <c r="V186" s="133"/>
      <c r="W186" s="133"/>
      <c r="X186" s="133"/>
    </row>
    <row r="187" customFormat="false" ht="15.75" hidden="false" customHeight="false" outlineLevel="0" collapsed="false">
      <c r="A187" s="26" t="s">
        <v>8791</v>
      </c>
      <c r="B187" s="26" t="s">
        <v>8792</v>
      </c>
      <c r="C187" s="26" t="s">
        <v>8792</v>
      </c>
      <c r="D187" s="26" t="s">
        <v>139</v>
      </c>
      <c r="E187" s="26" t="s">
        <v>8335</v>
      </c>
      <c r="F187" s="26" t="s">
        <v>8336</v>
      </c>
      <c r="G187" s="26" t="s">
        <v>8306</v>
      </c>
      <c r="H187" s="26" t="s">
        <v>8307</v>
      </c>
      <c r="I187" s="133"/>
      <c r="J187" s="133"/>
      <c r="K187" s="133"/>
      <c r="L187" s="133"/>
      <c r="M187" s="133"/>
      <c r="N187" s="133"/>
      <c r="O187" s="133"/>
      <c r="P187" s="133"/>
      <c r="Q187" s="133"/>
      <c r="R187" s="133"/>
      <c r="S187" s="133"/>
      <c r="T187" s="133"/>
      <c r="U187" s="133"/>
      <c r="V187" s="133"/>
      <c r="W187" s="133"/>
      <c r="X187" s="133"/>
    </row>
    <row r="188" customFormat="false" ht="15.75" hidden="false" customHeight="false" outlineLevel="0" collapsed="false">
      <c r="A188" s="26" t="s">
        <v>8793</v>
      </c>
      <c r="B188" s="26" t="s">
        <v>8794</v>
      </c>
      <c r="C188" s="26" t="s">
        <v>478</v>
      </c>
      <c r="D188" s="26" t="s">
        <v>478</v>
      </c>
      <c r="E188" s="26" t="s">
        <v>478</v>
      </c>
      <c r="F188" s="26" t="s">
        <v>478</v>
      </c>
      <c r="G188" s="26" t="s">
        <v>478</v>
      </c>
      <c r="H188" s="26" t="s">
        <v>478</v>
      </c>
      <c r="I188" s="133"/>
      <c r="J188" s="133"/>
      <c r="K188" s="133"/>
      <c r="L188" s="133"/>
      <c r="M188" s="133"/>
      <c r="N188" s="133"/>
      <c r="O188" s="133"/>
      <c r="P188" s="133"/>
      <c r="Q188" s="133"/>
      <c r="R188" s="133"/>
      <c r="S188" s="133"/>
      <c r="T188" s="133"/>
      <c r="U188" s="133"/>
      <c r="V188" s="133"/>
      <c r="W188" s="133"/>
      <c r="X188" s="133"/>
    </row>
    <row r="189" customFormat="false" ht="15.75" hidden="false" customHeight="false" outlineLevel="0" collapsed="false">
      <c r="A189" s="26" t="s">
        <v>8795</v>
      </c>
      <c r="B189" s="26" t="s">
        <v>8796</v>
      </c>
      <c r="C189" s="26" t="s">
        <v>478</v>
      </c>
      <c r="D189" s="26" t="s">
        <v>478</v>
      </c>
      <c r="E189" s="26" t="s">
        <v>478</v>
      </c>
      <c r="F189" s="26" t="s">
        <v>478</v>
      </c>
      <c r="G189" s="26" t="s">
        <v>478</v>
      </c>
      <c r="H189" s="26" t="s">
        <v>478</v>
      </c>
      <c r="I189" s="133"/>
      <c r="J189" s="133"/>
      <c r="K189" s="133"/>
      <c r="L189" s="133"/>
      <c r="M189" s="133"/>
      <c r="N189" s="133"/>
      <c r="O189" s="133"/>
      <c r="P189" s="133"/>
      <c r="Q189" s="133"/>
      <c r="R189" s="133"/>
      <c r="S189" s="133"/>
      <c r="T189" s="133"/>
      <c r="U189" s="133"/>
      <c r="V189" s="133"/>
      <c r="W189" s="133"/>
      <c r="X189" s="133"/>
    </row>
    <row r="190" customFormat="false" ht="15.75" hidden="false" customHeight="false" outlineLevel="0" collapsed="false">
      <c r="A190" s="26" t="s">
        <v>8797</v>
      </c>
      <c r="B190" s="26" t="s">
        <v>8798</v>
      </c>
      <c r="C190" s="26" t="s">
        <v>478</v>
      </c>
      <c r="D190" s="26" t="s">
        <v>478</v>
      </c>
      <c r="E190" s="26" t="s">
        <v>478</v>
      </c>
      <c r="F190" s="26" t="s">
        <v>478</v>
      </c>
      <c r="G190" s="26" t="s">
        <v>478</v>
      </c>
      <c r="H190" s="26" t="s">
        <v>478</v>
      </c>
      <c r="I190" s="133"/>
      <c r="J190" s="133"/>
      <c r="K190" s="133"/>
      <c r="L190" s="133"/>
      <c r="M190" s="133"/>
      <c r="N190" s="133"/>
      <c r="O190" s="133"/>
      <c r="P190" s="133"/>
      <c r="Q190" s="133"/>
      <c r="R190" s="133"/>
      <c r="S190" s="133"/>
      <c r="T190" s="133"/>
      <c r="U190" s="133"/>
      <c r="V190" s="133"/>
      <c r="W190" s="133"/>
      <c r="X190" s="133"/>
    </row>
    <row r="191" customFormat="false" ht="15.75" hidden="false" customHeight="false" outlineLevel="0" collapsed="false">
      <c r="A191" s="26" t="s">
        <v>8799</v>
      </c>
      <c r="B191" s="26" t="s">
        <v>8800</v>
      </c>
      <c r="C191" s="26" t="s">
        <v>478</v>
      </c>
      <c r="D191" s="26" t="s">
        <v>478</v>
      </c>
      <c r="E191" s="26" t="s">
        <v>478</v>
      </c>
      <c r="F191" s="26" t="s">
        <v>478</v>
      </c>
      <c r="G191" s="26" t="s">
        <v>478</v>
      </c>
      <c r="H191" s="26" t="s">
        <v>478</v>
      </c>
      <c r="I191" s="133"/>
      <c r="J191" s="133"/>
      <c r="K191" s="133"/>
      <c r="L191" s="133"/>
      <c r="M191" s="133"/>
      <c r="N191" s="133"/>
      <c r="O191" s="133"/>
      <c r="P191" s="133"/>
      <c r="Q191" s="133"/>
      <c r="R191" s="133"/>
      <c r="S191" s="133"/>
      <c r="T191" s="133"/>
      <c r="U191" s="133"/>
      <c r="V191" s="133"/>
      <c r="W191" s="133"/>
      <c r="X191" s="133"/>
    </row>
    <row r="192" customFormat="false" ht="15.75" hidden="false" customHeight="false" outlineLevel="0" collapsed="false">
      <c r="A192" s="26" t="s">
        <v>8801</v>
      </c>
      <c r="B192" s="26" t="s">
        <v>8802</v>
      </c>
      <c r="C192" s="26" t="s">
        <v>478</v>
      </c>
      <c r="D192" s="26" t="s">
        <v>478</v>
      </c>
      <c r="E192" s="26" t="s">
        <v>478</v>
      </c>
      <c r="F192" s="26" t="s">
        <v>478</v>
      </c>
      <c r="G192" s="26" t="s">
        <v>478</v>
      </c>
      <c r="H192" s="26" t="s">
        <v>478</v>
      </c>
      <c r="I192" s="133"/>
      <c r="J192" s="133"/>
      <c r="K192" s="133"/>
      <c r="L192" s="133"/>
      <c r="M192" s="133"/>
      <c r="N192" s="133"/>
      <c r="O192" s="133"/>
      <c r="P192" s="133"/>
      <c r="Q192" s="133"/>
      <c r="R192" s="133"/>
      <c r="S192" s="133"/>
      <c r="T192" s="133"/>
      <c r="U192" s="133"/>
      <c r="V192" s="133"/>
      <c r="W192" s="133"/>
      <c r="X192" s="133"/>
    </row>
    <row r="193" customFormat="false" ht="15.75" hidden="false" customHeight="false" outlineLevel="0" collapsed="false">
      <c r="A193" s="26" t="s">
        <v>8803</v>
      </c>
      <c r="B193" s="26" t="s">
        <v>8804</v>
      </c>
      <c r="C193" s="26" t="s">
        <v>478</v>
      </c>
      <c r="D193" s="26" t="s">
        <v>478</v>
      </c>
      <c r="E193" s="26" t="s">
        <v>478</v>
      </c>
      <c r="F193" s="26" t="s">
        <v>478</v>
      </c>
      <c r="G193" s="26" t="s">
        <v>478</v>
      </c>
      <c r="H193" s="26" t="s">
        <v>478</v>
      </c>
      <c r="I193" s="133"/>
      <c r="J193" s="133"/>
      <c r="K193" s="133"/>
      <c r="L193" s="133"/>
      <c r="M193" s="133"/>
      <c r="N193" s="133"/>
      <c r="O193" s="133"/>
      <c r="P193" s="133"/>
      <c r="Q193" s="133"/>
      <c r="R193" s="133"/>
      <c r="S193" s="133"/>
      <c r="T193" s="133"/>
      <c r="U193" s="133"/>
      <c r="V193" s="133"/>
      <c r="W193" s="133"/>
      <c r="X193" s="133"/>
    </row>
    <row r="194" customFormat="false" ht="15.75" hidden="false" customHeight="false" outlineLevel="0" collapsed="false">
      <c r="A194" s="26" t="s">
        <v>8805</v>
      </c>
      <c r="B194" s="26" t="s">
        <v>8806</v>
      </c>
      <c r="C194" s="26" t="s">
        <v>478</v>
      </c>
      <c r="D194" s="26" t="s">
        <v>478</v>
      </c>
      <c r="E194" s="26" t="s">
        <v>478</v>
      </c>
      <c r="F194" s="26" t="s">
        <v>478</v>
      </c>
      <c r="G194" s="26" t="s">
        <v>478</v>
      </c>
      <c r="H194" s="26" t="s">
        <v>478</v>
      </c>
      <c r="I194" s="133"/>
      <c r="J194" s="133"/>
      <c r="K194" s="133"/>
      <c r="L194" s="133"/>
      <c r="M194" s="133"/>
      <c r="N194" s="133"/>
      <c r="O194" s="133"/>
      <c r="P194" s="133"/>
      <c r="Q194" s="133"/>
      <c r="R194" s="133"/>
      <c r="S194" s="133"/>
      <c r="T194" s="133"/>
      <c r="U194" s="133"/>
      <c r="V194" s="133"/>
      <c r="W194" s="133"/>
      <c r="X194" s="133"/>
    </row>
    <row r="195" customFormat="false" ht="15.75" hidden="false" customHeight="false" outlineLevel="0" collapsed="false">
      <c r="A195" s="26" t="s">
        <v>8807</v>
      </c>
      <c r="B195" s="26" t="s">
        <v>8808</v>
      </c>
      <c r="C195" s="26" t="s">
        <v>8808</v>
      </c>
      <c r="D195" s="26" t="s">
        <v>8809</v>
      </c>
      <c r="E195" s="26" t="s">
        <v>8325</v>
      </c>
      <c r="F195" s="26" t="s">
        <v>8326</v>
      </c>
      <c r="G195" s="26" t="s">
        <v>8350</v>
      </c>
      <c r="H195" s="26" t="s">
        <v>8351</v>
      </c>
      <c r="I195" s="133"/>
      <c r="J195" s="133"/>
      <c r="K195" s="133"/>
      <c r="L195" s="133"/>
      <c r="M195" s="133"/>
      <c r="N195" s="133"/>
      <c r="O195" s="133"/>
      <c r="P195" s="133"/>
      <c r="Q195" s="133"/>
      <c r="R195" s="133"/>
      <c r="S195" s="133"/>
      <c r="T195" s="133"/>
      <c r="U195" s="133"/>
      <c r="V195" s="133"/>
      <c r="W195" s="133"/>
      <c r="X195" s="133"/>
    </row>
    <row r="196" customFormat="false" ht="15.75" hidden="false" customHeight="false" outlineLevel="0" collapsed="false">
      <c r="A196" s="26" t="s">
        <v>8810</v>
      </c>
      <c r="B196" s="26" t="s">
        <v>8811</v>
      </c>
      <c r="C196" s="26" t="s">
        <v>8811</v>
      </c>
      <c r="D196" s="26" t="s">
        <v>8812</v>
      </c>
      <c r="E196" s="26" t="s">
        <v>8313</v>
      </c>
      <c r="F196" s="26" t="s">
        <v>8314</v>
      </c>
      <c r="G196" s="26" t="s">
        <v>8330</v>
      </c>
      <c r="H196" s="26" t="s">
        <v>8331</v>
      </c>
      <c r="I196" s="133"/>
      <c r="J196" s="133"/>
      <c r="K196" s="133"/>
      <c r="L196" s="133"/>
      <c r="M196" s="133"/>
      <c r="N196" s="133"/>
      <c r="O196" s="133"/>
      <c r="P196" s="133"/>
      <c r="Q196" s="133"/>
      <c r="R196" s="133"/>
      <c r="S196" s="133"/>
      <c r="T196" s="133"/>
      <c r="U196" s="133"/>
      <c r="V196" s="133"/>
      <c r="W196" s="133"/>
      <c r="X196" s="133"/>
    </row>
    <row r="197" customFormat="false" ht="15.75" hidden="false" customHeight="false" outlineLevel="0" collapsed="false">
      <c r="A197" s="26" t="s">
        <v>8813</v>
      </c>
      <c r="B197" s="26" t="s">
        <v>8814</v>
      </c>
      <c r="C197" s="26" t="s">
        <v>8815</v>
      </c>
      <c r="D197" s="26" t="s">
        <v>8816</v>
      </c>
      <c r="E197" s="26" t="s">
        <v>8335</v>
      </c>
      <c r="F197" s="26" t="s">
        <v>8336</v>
      </c>
      <c r="G197" s="26" t="s">
        <v>8350</v>
      </c>
      <c r="H197" s="26" t="s">
        <v>8351</v>
      </c>
      <c r="I197" s="133"/>
      <c r="J197" s="133"/>
      <c r="K197" s="133"/>
      <c r="L197" s="133"/>
      <c r="M197" s="133"/>
      <c r="N197" s="133"/>
      <c r="O197" s="133"/>
      <c r="P197" s="133"/>
      <c r="Q197" s="133"/>
      <c r="R197" s="133"/>
      <c r="S197" s="133"/>
      <c r="T197" s="133"/>
      <c r="U197" s="133"/>
      <c r="V197" s="133"/>
      <c r="W197" s="133"/>
      <c r="X197" s="133"/>
    </row>
    <row r="198" customFormat="false" ht="15.75" hidden="false" customHeight="false" outlineLevel="0" collapsed="false">
      <c r="A198" s="26" t="s">
        <v>8817</v>
      </c>
      <c r="B198" s="26" t="s">
        <v>8818</v>
      </c>
      <c r="C198" s="26" t="s">
        <v>8818</v>
      </c>
      <c r="D198" s="26" t="s">
        <v>8819</v>
      </c>
      <c r="E198" s="26" t="s">
        <v>8320</v>
      </c>
      <c r="F198" s="26" t="s">
        <v>8321</v>
      </c>
      <c r="G198" s="26" t="s">
        <v>8330</v>
      </c>
      <c r="H198" s="26" t="s">
        <v>8331</v>
      </c>
      <c r="I198" s="133"/>
      <c r="J198" s="133"/>
      <c r="K198" s="133"/>
      <c r="L198" s="133"/>
      <c r="M198" s="133"/>
      <c r="N198" s="133"/>
      <c r="O198" s="133"/>
      <c r="P198" s="133"/>
      <c r="Q198" s="133"/>
      <c r="R198" s="133"/>
      <c r="S198" s="133"/>
      <c r="T198" s="133"/>
      <c r="U198" s="133"/>
      <c r="V198" s="133"/>
      <c r="W198" s="133"/>
      <c r="X198" s="133"/>
    </row>
    <row r="199" customFormat="false" ht="15.75" hidden="false" customHeight="false" outlineLevel="0" collapsed="false">
      <c r="A199" s="26" t="s">
        <v>8820</v>
      </c>
      <c r="B199" s="26" t="s">
        <v>8821</v>
      </c>
      <c r="C199" s="26" t="s">
        <v>8821</v>
      </c>
      <c r="D199" s="26" t="s">
        <v>8822</v>
      </c>
      <c r="E199" s="26" t="s">
        <v>8335</v>
      </c>
      <c r="F199" s="26" t="s">
        <v>8336</v>
      </c>
      <c r="G199" s="26" t="s">
        <v>8350</v>
      </c>
      <c r="H199" s="26" t="s">
        <v>8351</v>
      </c>
      <c r="I199" s="133"/>
      <c r="J199" s="133"/>
      <c r="K199" s="133"/>
      <c r="L199" s="133"/>
      <c r="M199" s="133"/>
      <c r="N199" s="133"/>
      <c r="O199" s="133"/>
      <c r="P199" s="133"/>
      <c r="Q199" s="133"/>
      <c r="R199" s="133"/>
      <c r="S199" s="133"/>
      <c r="T199" s="133"/>
      <c r="U199" s="133"/>
      <c r="V199" s="133"/>
      <c r="W199" s="133"/>
      <c r="X199" s="133"/>
    </row>
    <row r="200" customFormat="false" ht="15.75" hidden="false" customHeight="false" outlineLevel="0" collapsed="false">
      <c r="A200" s="26" t="s">
        <v>8823</v>
      </c>
      <c r="B200" s="26" t="s">
        <v>8824</v>
      </c>
      <c r="C200" s="26" t="s">
        <v>8824</v>
      </c>
      <c r="D200" s="26" t="s">
        <v>8825</v>
      </c>
      <c r="E200" s="26" t="s">
        <v>8313</v>
      </c>
      <c r="F200" s="26" t="s">
        <v>8314</v>
      </c>
      <c r="G200" s="26" t="s">
        <v>8315</v>
      </c>
      <c r="H200" s="26" t="s">
        <v>8316</v>
      </c>
      <c r="I200" s="133"/>
      <c r="J200" s="133"/>
      <c r="K200" s="133"/>
      <c r="L200" s="133"/>
      <c r="M200" s="133"/>
      <c r="N200" s="133"/>
      <c r="O200" s="133"/>
      <c r="P200" s="133"/>
      <c r="Q200" s="133"/>
      <c r="R200" s="133"/>
      <c r="S200" s="133"/>
      <c r="T200" s="133"/>
      <c r="U200" s="133"/>
      <c r="V200" s="133"/>
      <c r="W200" s="133"/>
      <c r="X200" s="133"/>
    </row>
    <row r="201" customFormat="false" ht="15.75" hidden="false" customHeight="false" outlineLevel="0" collapsed="false">
      <c r="A201" s="26" t="s">
        <v>8826</v>
      </c>
      <c r="B201" s="26" t="s">
        <v>8827</v>
      </c>
      <c r="C201" s="26" t="s">
        <v>8827</v>
      </c>
      <c r="D201" s="26" t="s">
        <v>8828</v>
      </c>
      <c r="E201" s="26" t="s">
        <v>8335</v>
      </c>
      <c r="F201" s="26" t="s">
        <v>8336</v>
      </c>
      <c r="G201" s="26" t="s">
        <v>8315</v>
      </c>
      <c r="H201" s="26" t="s">
        <v>8316</v>
      </c>
      <c r="I201" s="133"/>
      <c r="J201" s="133"/>
      <c r="K201" s="133"/>
      <c r="L201" s="133"/>
      <c r="M201" s="133"/>
      <c r="N201" s="133"/>
      <c r="O201" s="133"/>
      <c r="P201" s="133"/>
      <c r="Q201" s="133"/>
      <c r="R201" s="133"/>
      <c r="S201" s="133"/>
      <c r="T201" s="133"/>
      <c r="U201" s="133"/>
      <c r="V201" s="133"/>
      <c r="W201" s="133"/>
      <c r="X201" s="133"/>
    </row>
    <row r="202" customFormat="false" ht="15.75" hidden="false" customHeight="false" outlineLevel="0" collapsed="false">
      <c r="A202" s="26" t="s">
        <v>8829</v>
      </c>
      <c r="B202" s="26" t="s">
        <v>8830</v>
      </c>
      <c r="C202" s="26" t="s">
        <v>8830</v>
      </c>
      <c r="D202" s="26" t="s">
        <v>8831</v>
      </c>
      <c r="E202" s="26" t="s">
        <v>8335</v>
      </c>
      <c r="F202" s="26" t="s">
        <v>8336</v>
      </c>
      <c r="G202" s="26" t="s">
        <v>8306</v>
      </c>
      <c r="H202" s="26" t="s">
        <v>8307</v>
      </c>
      <c r="I202" s="133"/>
      <c r="J202" s="133"/>
      <c r="K202" s="133"/>
      <c r="L202" s="133"/>
      <c r="M202" s="133"/>
      <c r="N202" s="133"/>
      <c r="O202" s="133"/>
      <c r="P202" s="133"/>
      <c r="Q202" s="133"/>
      <c r="R202" s="133"/>
      <c r="S202" s="133"/>
      <c r="T202" s="133"/>
      <c r="U202" s="133"/>
      <c r="V202" s="133"/>
      <c r="W202" s="133"/>
      <c r="X202" s="133"/>
    </row>
    <row r="203" customFormat="false" ht="15.75" hidden="false" customHeight="false" outlineLevel="0" collapsed="false">
      <c r="A203" s="26" t="s">
        <v>8832</v>
      </c>
      <c r="B203" s="26" t="s">
        <v>8833</v>
      </c>
      <c r="C203" s="26" t="s">
        <v>8833</v>
      </c>
      <c r="D203" s="26" t="s">
        <v>8834</v>
      </c>
      <c r="E203" s="26" t="s">
        <v>8325</v>
      </c>
      <c r="F203" s="26" t="s">
        <v>8326</v>
      </c>
      <c r="G203" s="26" t="s">
        <v>8330</v>
      </c>
      <c r="H203" s="26" t="s">
        <v>8331</v>
      </c>
      <c r="I203" s="133"/>
      <c r="J203" s="133"/>
      <c r="K203" s="133"/>
      <c r="L203" s="133"/>
      <c r="M203" s="133"/>
      <c r="N203" s="133"/>
      <c r="O203" s="133"/>
      <c r="P203" s="133"/>
      <c r="Q203" s="133"/>
      <c r="R203" s="133"/>
      <c r="S203" s="133"/>
      <c r="T203" s="133"/>
      <c r="U203" s="133"/>
      <c r="V203" s="133"/>
      <c r="W203" s="133"/>
      <c r="X203" s="133"/>
    </row>
    <row r="204" customFormat="false" ht="15.75" hidden="false" customHeight="false" outlineLevel="0" collapsed="false">
      <c r="A204" s="26" t="s">
        <v>8835</v>
      </c>
      <c r="B204" s="26" t="s">
        <v>8836</v>
      </c>
      <c r="C204" s="26" t="s">
        <v>8837</v>
      </c>
      <c r="D204" s="26" t="s">
        <v>8838</v>
      </c>
      <c r="E204" s="26" t="s">
        <v>8344</v>
      </c>
      <c r="F204" s="26" t="s">
        <v>8345</v>
      </c>
      <c r="G204" s="26" t="s">
        <v>8330</v>
      </c>
      <c r="H204" s="26" t="s">
        <v>8331</v>
      </c>
      <c r="I204" s="133"/>
      <c r="J204" s="133"/>
      <c r="K204" s="133"/>
      <c r="L204" s="133"/>
      <c r="M204" s="133"/>
      <c r="N204" s="133"/>
      <c r="O204" s="133"/>
      <c r="P204" s="133"/>
      <c r="Q204" s="133"/>
      <c r="R204" s="133"/>
      <c r="S204" s="133"/>
      <c r="T204" s="133"/>
      <c r="U204" s="133"/>
      <c r="V204" s="133"/>
      <c r="W204" s="133"/>
      <c r="X204" s="133"/>
    </row>
    <row r="205" customFormat="false" ht="15.75" hidden="false" customHeight="false" outlineLevel="0" collapsed="false">
      <c r="A205" s="26" t="s">
        <v>8839</v>
      </c>
      <c r="B205" s="26" t="s">
        <v>8840</v>
      </c>
      <c r="C205" s="26" t="s">
        <v>8841</v>
      </c>
      <c r="D205" s="26" t="s">
        <v>4107</v>
      </c>
      <c r="E205" s="26" t="s">
        <v>8313</v>
      </c>
      <c r="F205" s="26" t="s">
        <v>8314</v>
      </c>
      <c r="G205" s="26" t="s">
        <v>8330</v>
      </c>
      <c r="H205" s="26" t="s">
        <v>8331</v>
      </c>
      <c r="I205" s="133"/>
      <c r="J205" s="133"/>
      <c r="K205" s="133"/>
      <c r="L205" s="133"/>
      <c r="M205" s="133"/>
      <c r="N205" s="133"/>
      <c r="O205" s="133"/>
      <c r="P205" s="133"/>
      <c r="Q205" s="133"/>
      <c r="R205" s="133"/>
      <c r="S205" s="133"/>
      <c r="T205" s="133"/>
      <c r="U205" s="133"/>
      <c r="V205" s="133"/>
      <c r="W205" s="133"/>
      <c r="X205" s="133"/>
    </row>
    <row r="206" customFormat="false" ht="15.75" hidden="false" customHeight="false" outlineLevel="0" collapsed="false">
      <c r="A206" s="26" t="s">
        <v>8842</v>
      </c>
      <c r="B206" s="26" t="s">
        <v>8843</v>
      </c>
      <c r="C206" s="26" t="s">
        <v>8843</v>
      </c>
      <c r="D206" s="26" t="s">
        <v>3082</v>
      </c>
      <c r="E206" s="26" t="s">
        <v>8313</v>
      </c>
      <c r="F206" s="26" t="s">
        <v>8314</v>
      </c>
      <c r="G206" s="26" t="s">
        <v>8330</v>
      </c>
      <c r="H206" s="26" t="s">
        <v>8331</v>
      </c>
      <c r="I206" s="133"/>
      <c r="J206" s="133"/>
      <c r="K206" s="133"/>
      <c r="L206" s="133"/>
      <c r="M206" s="133"/>
      <c r="N206" s="133"/>
      <c r="O206" s="133"/>
      <c r="P206" s="133"/>
      <c r="Q206" s="133"/>
      <c r="R206" s="133"/>
      <c r="S206" s="133"/>
      <c r="T206" s="133"/>
      <c r="U206" s="133"/>
      <c r="V206" s="133"/>
      <c r="W206" s="133"/>
      <c r="X206" s="133"/>
    </row>
    <row r="207" customFormat="false" ht="15.75" hidden="false" customHeight="false" outlineLevel="0" collapsed="false">
      <c r="A207" s="26" t="s">
        <v>8844</v>
      </c>
      <c r="B207" s="26" t="s">
        <v>8845</v>
      </c>
      <c r="C207" s="26" t="s">
        <v>8845</v>
      </c>
      <c r="D207" s="26" t="s">
        <v>8846</v>
      </c>
      <c r="E207" s="26" t="s">
        <v>8325</v>
      </c>
      <c r="F207" s="26" t="s">
        <v>8326</v>
      </c>
      <c r="G207" s="26" t="s">
        <v>8350</v>
      </c>
      <c r="H207" s="26" t="s">
        <v>8351</v>
      </c>
      <c r="I207" s="133"/>
      <c r="J207" s="133"/>
      <c r="K207" s="133"/>
      <c r="L207" s="133"/>
      <c r="M207" s="133"/>
      <c r="N207" s="133"/>
      <c r="O207" s="133"/>
      <c r="P207" s="133"/>
      <c r="Q207" s="133"/>
      <c r="R207" s="133"/>
      <c r="S207" s="133"/>
      <c r="T207" s="133"/>
      <c r="U207" s="133"/>
      <c r="V207" s="133"/>
      <c r="W207" s="133"/>
      <c r="X207" s="133"/>
    </row>
    <row r="208" customFormat="false" ht="15.75" hidden="false" customHeight="false" outlineLevel="0" collapsed="false">
      <c r="A208" s="26" t="s">
        <v>8847</v>
      </c>
      <c r="B208" s="26" t="s">
        <v>8848</v>
      </c>
      <c r="C208" s="26" t="s">
        <v>8848</v>
      </c>
      <c r="D208" s="26" t="s">
        <v>8849</v>
      </c>
      <c r="E208" s="26" t="s">
        <v>8335</v>
      </c>
      <c r="F208" s="26" t="s">
        <v>8336</v>
      </c>
      <c r="G208" s="26" t="s">
        <v>8306</v>
      </c>
      <c r="H208" s="26" t="s">
        <v>8307</v>
      </c>
      <c r="I208" s="133"/>
      <c r="J208" s="133"/>
      <c r="K208" s="133"/>
      <c r="L208" s="133"/>
      <c r="M208" s="133"/>
      <c r="N208" s="133"/>
      <c r="O208" s="133"/>
      <c r="P208" s="133"/>
      <c r="Q208" s="133"/>
      <c r="R208" s="133"/>
      <c r="S208" s="133"/>
      <c r="T208" s="133"/>
      <c r="U208" s="133"/>
      <c r="V208" s="133"/>
      <c r="W208" s="133"/>
      <c r="X208" s="133"/>
    </row>
    <row r="209" customFormat="false" ht="15.75" hidden="false" customHeight="false" outlineLevel="0" collapsed="false">
      <c r="A209" s="26" t="s">
        <v>8850</v>
      </c>
      <c r="B209" s="26" t="s">
        <v>8851</v>
      </c>
      <c r="C209" s="26" t="s">
        <v>8851</v>
      </c>
      <c r="D209" s="26" t="s">
        <v>198</v>
      </c>
      <c r="E209" s="26" t="s">
        <v>8335</v>
      </c>
      <c r="F209" s="26" t="s">
        <v>8336</v>
      </c>
      <c r="G209" s="26" t="s">
        <v>8315</v>
      </c>
      <c r="H209" s="26" t="s">
        <v>8316</v>
      </c>
      <c r="I209" s="133"/>
      <c r="J209" s="133"/>
      <c r="K209" s="133"/>
      <c r="L209" s="133"/>
      <c r="M209" s="133"/>
      <c r="N209" s="133"/>
      <c r="O209" s="133"/>
      <c r="P209" s="133"/>
      <c r="Q209" s="133"/>
      <c r="R209" s="133"/>
      <c r="S209" s="133"/>
      <c r="T209" s="133"/>
      <c r="U209" s="133"/>
      <c r="V209" s="133"/>
      <c r="W209" s="133"/>
      <c r="X209" s="133"/>
    </row>
    <row r="210" customFormat="false" ht="15.75" hidden="false" customHeight="false" outlineLevel="0" collapsed="false">
      <c r="A210" s="26" t="s">
        <v>8852</v>
      </c>
      <c r="B210" s="26" t="s">
        <v>8853</v>
      </c>
      <c r="C210" s="26" t="s">
        <v>478</v>
      </c>
      <c r="D210" s="26" t="s">
        <v>478</v>
      </c>
      <c r="E210" s="26" t="s">
        <v>478</v>
      </c>
      <c r="F210" s="26" t="s">
        <v>478</v>
      </c>
      <c r="G210" s="26" t="s">
        <v>478</v>
      </c>
      <c r="H210" s="26" t="s">
        <v>478</v>
      </c>
      <c r="I210" s="133"/>
      <c r="J210" s="133"/>
      <c r="K210" s="133"/>
      <c r="L210" s="133"/>
      <c r="M210" s="133"/>
      <c r="N210" s="133"/>
      <c r="O210" s="133"/>
      <c r="P210" s="133"/>
      <c r="Q210" s="133"/>
      <c r="R210" s="133"/>
      <c r="S210" s="133"/>
      <c r="T210" s="133"/>
      <c r="U210" s="133"/>
      <c r="V210" s="133"/>
      <c r="W210" s="133"/>
      <c r="X210" s="133"/>
    </row>
    <row r="211" customFormat="false" ht="15.75" hidden="false" customHeight="false" outlineLevel="0" collapsed="false">
      <c r="A211" s="26" t="s">
        <v>8854</v>
      </c>
      <c r="B211" s="26" t="s">
        <v>8855</v>
      </c>
      <c r="C211" s="26" t="s">
        <v>8855</v>
      </c>
      <c r="D211" s="26" t="s">
        <v>8856</v>
      </c>
      <c r="E211" s="26" t="s">
        <v>8335</v>
      </c>
      <c r="F211" s="26" t="s">
        <v>8336</v>
      </c>
      <c r="G211" s="26" t="s">
        <v>8350</v>
      </c>
      <c r="H211" s="26" t="s">
        <v>8351</v>
      </c>
      <c r="I211" s="133"/>
      <c r="J211" s="133"/>
      <c r="K211" s="133"/>
      <c r="L211" s="133"/>
      <c r="M211" s="133"/>
      <c r="N211" s="133"/>
      <c r="O211" s="133"/>
      <c r="P211" s="133"/>
      <c r="Q211" s="133"/>
      <c r="R211" s="133"/>
      <c r="S211" s="133"/>
      <c r="T211" s="133"/>
      <c r="U211" s="133"/>
      <c r="V211" s="133"/>
      <c r="W211" s="133"/>
      <c r="X211" s="133"/>
    </row>
    <row r="212" customFormat="false" ht="15.75" hidden="false" customHeight="false" outlineLevel="0" collapsed="false">
      <c r="A212" s="26" t="s">
        <v>8857</v>
      </c>
      <c r="B212" s="26" t="s">
        <v>8858</v>
      </c>
      <c r="C212" s="26" t="s">
        <v>8858</v>
      </c>
      <c r="D212" s="26" t="s">
        <v>209</v>
      </c>
      <c r="E212" s="26" t="s">
        <v>8313</v>
      </c>
      <c r="F212" s="26" t="s">
        <v>8314</v>
      </c>
      <c r="G212" s="26" t="s">
        <v>8330</v>
      </c>
      <c r="H212" s="26" t="s">
        <v>8331</v>
      </c>
      <c r="I212" s="133"/>
      <c r="J212" s="133"/>
      <c r="K212" s="133"/>
      <c r="L212" s="133"/>
      <c r="M212" s="133"/>
      <c r="N212" s="133"/>
      <c r="O212" s="133"/>
      <c r="P212" s="133"/>
      <c r="Q212" s="133"/>
      <c r="R212" s="133"/>
      <c r="S212" s="133"/>
      <c r="T212" s="133"/>
      <c r="U212" s="133"/>
      <c r="V212" s="133"/>
      <c r="W212" s="133"/>
      <c r="X212" s="133"/>
    </row>
    <row r="213" customFormat="false" ht="15.75" hidden="false" customHeight="false" outlineLevel="0" collapsed="false">
      <c r="A213" s="26" t="s">
        <v>8859</v>
      </c>
      <c r="B213" s="26" t="s">
        <v>8860</v>
      </c>
      <c r="C213" s="26" t="s">
        <v>8860</v>
      </c>
      <c r="D213" s="26" t="s">
        <v>8861</v>
      </c>
      <c r="E213" s="26" t="s">
        <v>8305</v>
      </c>
      <c r="F213" s="26" t="s">
        <v>1272</v>
      </c>
      <c r="G213" s="26" t="s">
        <v>8350</v>
      </c>
      <c r="H213" s="26" t="s">
        <v>8351</v>
      </c>
      <c r="I213" s="133"/>
      <c r="J213" s="133"/>
      <c r="K213" s="133"/>
      <c r="L213" s="133"/>
      <c r="M213" s="133"/>
      <c r="N213" s="133"/>
      <c r="O213" s="133"/>
      <c r="P213" s="133"/>
      <c r="Q213" s="133"/>
      <c r="R213" s="133"/>
      <c r="S213" s="133"/>
      <c r="T213" s="133"/>
      <c r="U213" s="133"/>
      <c r="V213" s="133"/>
      <c r="W213" s="133"/>
      <c r="X213" s="133"/>
    </row>
    <row r="214" customFormat="false" ht="15.75" hidden="false" customHeight="false" outlineLevel="0" collapsed="false">
      <c r="A214" s="26" t="s">
        <v>8632</v>
      </c>
      <c r="B214" s="26" t="s">
        <v>478</v>
      </c>
      <c r="C214" s="26" t="s">
        <v>8862</v>
      </c>
      <c r="D214" s="26" t="s">
        <v>8863</v>
      </c>
      <c r="E214" s="26" t="s">
        <v>8344</v>
      </c>
      <c r="F214" s="26" t="s">
        <v>8345</v>
      </c>
      <c r="G214" s="26" t="s">
        <v>8330</v>
      </c>
      <c r="H214" s="26" t="s">
        <v>8331</v>
      </c>
      <c r="I214" s="133"/>
      <c r="J214" s="133"/>
      <c r="K214" s="133"/>
      <c r="L214" s="133"/>
      <c r="M214" s="133"/>
      <c r="N214" s="133"/>
      <c r="O214" s="133"/>
      <c r="P214" s="133"/>
      <c r="Q214" s="133"/>
      <c r="R214" s="133"/>
      <c r="S214" s="133"/>
      <c r="T214" s="133"/>
      <c r="U214" s="133"/>
      <c r="V214" s="133"/>
      <c r="W214" s="133"/>
      <c r="X214" s="133"/>
    </row>
    <row r="215" customFormat="false" ht="15.75" hidden="false" customHeight="false" outlineLevel="0" collapsed="false">
      <c r="A215" s="26" t="s">
        <v>8864</v>
      </c>
      <c r="B215" s="26" t="s">
        <v>478</v>
      </c>
      <c r="C215" s="26" t="s">
        <v>8865</v>
      </c>
      <c r="D215" s="26" t="s">
        <v>8866</v>
      </c>
      <c r="E215" s="26" t="s">
        <v>8344</v>
      </c>
      <c r="F215" s="26" t="s">
        <v>8345</v>
      </c>
      <c r="G215" s="26" t="s">
        <v>8315</v>
      </c>
      <c r="H215" s="26" t="s">
        <v>8316</v>
      </c>
      <c r="I215" s="133"/>
      <c r="J215" s="133"/>
      <c r="K215" s="133"/>
      <c r="L215" s="133"/>
      <c r="M215" s="133"/>
      <c r="N215" s="133"/>
      <c r="O215" s="133"/>
      <c r="P215" s="133"/>
      <c r="Q215" s="133"/>
      <c r="R215" s="133"/>
      <c r="S215" s="133"/>
      <c r="T215" s="133"/>
      <c r="U215" s="133"/>
      <c r="V215" s="133"/>
      <c r="W215" s="133"/>
      <c r="X215" s="133"/>
    </row>
    <row r="216" customFormat="false" ht="15.75" hidden="false" customHeight="false" outlineLevel="0" collapsed="false">
      <c r="A216" s="26" t="s">
        <v>8867</v>
      </c>
      <c r="B216" s="26" t="s">
        <v>478</v>
      </c>
      <c r="C216" s="26" t="s">
        <v>8868</v>
      </c>
      <c r="D216" s="26" t="s">
        <v>8869</v>
      </c>
      <c r="E216" s="26" t="s">
        <v>8344</v>
      </c>
      <c r="F216" s="26" t="s">
        <v>8345</v>
      </c>
      <c r="G216" s="26" t="s">
        <v>8330</v>
      </c>
      <c r="H216" s="26" t="s">
        <v>8331</v>
      </c>
      <c r="I216" s="133"/>
      <c r="J216" s="133"/>
      <c r="K216" s="133"/>
      <c r="L216" s="133"/>
      <c r="M216" s="133"/>
      <c r="N216" s="133"/>
      <c r="O216" s="133"/>
      <c r="P216" s="133"/>
      <c r="Q216" s="133"/>
      <c r="R216" s="133"/>
      <c r="S216" s="133"/>
      <c r="T216" s="133"/>
      <c r="U216" s="133"/>
      <c r="V216" s="133"/>
      <c r="W216" s="133"/>
      <c r="X216" s="133"/>
    </row>
    <row r="217" customFormat="false" ht="15.75" hidden="false" customHeight="false" outlineLevel="0" collapsed="false">
      <c r="A217" s="26" t="s">
        <v>8870</v>
      </c>
      <c r="B217" s="26" t="s">
        <v>478</v>
      </c>
      <c r="C217" s="26" t="s">
        <v>8871</v>
      </c>
      <c r="D217" s="26" t="s">
        <v>8872</v>
      </c>
      <c r="E217" s="26" t="s">
        <v>8344</v>
      </c>
      <c r="F217" s="26" t="s">
        <v>8345</v>
      </c>
      <c r="G217" s="26" t="s">
        <v>8315</v>
      </c>
      <c r="H217" s="26" t="s">
        <v>8316</v>
      </c>
      <c r="I217" s="133"/>
      <c r="J217" s="133"/>
      <c r="K217" s="133"/>
      <c r="L217" s="133"/>
      <c r="M217" s="133"/>
      <c r="N217" s="133"/>
      <c r="O217" s="133"/>
      <c r="P217" s="133"/>
      <c r="Q217" s="133"/>
      <c r="R217" s="133"/>
      <c r="S217" s="133"/>
      <c r="T217" s="133"/>
      <c r="U217" s="133"/>
      <c r="V217" s="133"/>
      <c r="W217" s="133"/>
      <c r="X217" s="133"/>
    </row>
    <row r="218" customFormat="false" ht="15.75" hidden="false" customHeight="false" outlineLevel="0" collapsed="false">
      <c r="A218" s="26" t="s">
        <v>8873</v>
      </c>
      <c r="B218" s="26" t="s">
        <v>8874</v>
      </c>
      <c r="C218" s="26" t="s">
        <v>8874</v>
      </c>
      <c r="D218" s="26" t="s">
        <v>8875</v>
      </c>
      <c r="E218" s="26" t="s">
        <v>8335</v>
      </c>
      <c r="F218" s="26" t="s">
        <v>8336</v>
      </c>
      <c r="G218" s="26" t="s">
        <v>8350</v>
      </c>
      <c r="H218" s="26" t="s">
        <v>8351</v>
      </c>
      <c r="I218" s="133"/>
      <c r="J218" s="133"/>
      <c r="K218" s="133"/>
      <c r="L218" s="133"/>
      <c r="M218" s="133"/>
      <c r="N218" s="133"/>
      <c r="O218" s="133"/>
      <c r="P218" s="133"/>
      <c r="Q218" s="133"/>
      <c r="R218" s="133"/>
      <c r="S218" s="133"/>
      <c r="T218" s="133"/>
      <c r="U218" s="133"/>
      <c r="V218" s="133"/>
      <c r="W218" s="133"/>
      <c r="X218" s="133"/>
    </row>
    <row r="219" customFormat="false" ht="15.75" hidden="false" customHeight="false" outlineLevel="0" collapsed="false">
      <c r="A219" s="26" t="s">
        <v>8876</v>
      </c>
      <c r="B219" s="26" t="s">
        <v>8877</v>
      </c>
      <c r="C219" s="26" t="s">
        <v>8877</v>
      </c>
      <c r="D219" s="26" t="s">
        <v>8878</v>
      </c>
      <c r="E219" s="26" t="s">
        <v>8344</v>
      </c>
      <c r="F219" s="26" t="s">
        <v>8345</v>
      </c>
      <c r="G219" s="26" t="s">
        <v>8315</v>
      </c>
      <c r="H219" s="26" t="s">
        <v>8316</v>
      </c>
      <c r="I219" s="133"/>
      <c r="J219" s="133"/>
      <c r="K219" s="133"/>
      <c r="L219" s="133"/>
      <c r="M219" s="133"/>
      <c r="N219" s="133"/>
      <c r="O219" s="133"/>
      <c r="P219" s="133"/>
      <c r="Q219" s="133"/>
      <c r="R219" s="133"/>
      <c r="S219" s="133"/>
      <c r="T219" s="133"/>
      <c r="U219" s="133"/>
      <c r="V219" s="133"/>
      <c r="W219" s="133"/>
      <c r="X219" s="133"/>
    </row>
    <row r="220" customFormat="false" ht="15.75" hidden="false" customHeight="false" outlineLevel="0" collapsed="false">
      <c r="A220" s="26" t="s">
        <v>8879</v>
      </c>
      <c r="B220" s="26" t="s">
        <v>8880</v>
      </c>
      <c r="C220" s="26" t="s">
        <v>478</v>
      </c>
      <c r="D220" s="26" t="s">
        <v>478</v>
      </c>
      <c r="E220" s="26" t="s">
        <v>478</v>
      </c>
      <c r="F220" s="26" t="s">
        <v>478</v>
      </c>
      <c r="G220" s="26" t="s">
        <v>478</v>
      </c>
      <c r="H220" s="26" t="s">
        <v>478</v>
      </c>
      <c r="I220" s="133"/>
      <c r="J220" s="133"/>
      <c r="K220" s="133"/>
      <c r="L220" s="133"/>
      <c r="M220" s="133"/>
      <c r="N220" s="133"/>
      <c r="O220" s="133"/>
      <c r="P220" s="133"/>
      <c r="Q220" s="133"/>
      <c r="R220" s="133"/>
      <c r="S220" s="133"/>
      <c r="T220" s="133"/>
      <c r="U220" s="133"/>
      <c r="V220" s="133"/>
      <c r="W220" s="133"/>
      <c r="X220" s="133"/>
    </row>
    <row r="221" customFormat="false" ht="15.75" hidden="false" customHeight="false" outlineLevel="0" collapsed="false">
      <c r="A221" s="26" t="s">
        <v>8881</v>
      </c>
      <c r="B221" s="26" t="s">
        <v>8882</v>
      </c>
      <c r="C221" s="26" t="s">
        <v>8882</v>
      </c>
      <c r="D221" s="26" t="s">
        <v>8883</v>
      </c>
      <c r="E221" s="26" t="s">
        <v>8335</v>
      </c>
      <c r="F221" s="26" t="s">
        <v>8336</v>
      </c>
      <c r="G221" s="26" t="s">
        <v>8350</v>
      </c>
      <c r="H221" s="26" t="s">
        <v>8351</v>
      </c>
      <c r="I221" s="133"/>
      <c r="J221" s="133"/>
      <c r="K221" s="133"/>
      <c r="L221" s="133"/>
      <c r="M221" s="133"/>
      <c r="N221" s="133"/>
      <c r="O221" s="133"/>
      <c r="P221" s="133"/>
      <c r="Q221" s="133"/>
      <c r="R221" s="133"/>
      <c r="S221" s="133"/>
      <c r="T221" s="133"/>
      <c r="U221" s="133"/>
      <c r="V221" s="133"/>
      <c r="W221" s="133"/>
      <c r="X221" s="133"/>
    </row>
    <row r="222" customFormat="false" ht="15.75" hidden="false" customHeight="false" outlineLevel="0" collapsed="false">
      <c r="A222" s="26" t="s">
        <v>8884</v>
      </c>
      <c r="B222" s="26" t="s">
        <v>8885</v>
      </c>
      <c r="C222" s="26" t="s">
        <v>8885</v>
      </c>
      <c r="D222" s="26" t="s">
        <v>7411</v>
      </c>
      <c r="E222" s="26" t="s">
        <v>8313</v>
      </c>
      <c r="F222" s="26" t="s">
        <v>8314</v>
      </c>
      <c r="G222" s="26" t="s">
        <v>8330</v>
      </c>
      <c r="H222" s="26" t="s">
        <v>8331</v>
      </c>
      <c r="I222" s="133"/>
      <c r="J222" s="133"/>
      <c r="K222" s="133"/>
      <c r="L222" s="133"/>
      <c r="M222" s="133"/>
      <c r="N222" s="133"/>
      <c r="O222" s="133"/>
      <c r="P222" s="133"/>
      <c r="Q222" s="133"/>
      <c r="R222" s="133"/>
      <c r="S222" s="133"/>
      <c r="T222" s="133"/>
      <c r="U222" s="133"/>
      <c r="V222" s="133"/>
      <c r="W222" s="133"/>
      <c r="X222" s="133"/>
    </row>
    <row r="223" customFormat="false" ht="15.75" hidden="false" customHeight="false" outlineLevel="0" collapsed="false">
      <c r="A223" s="26" t="s">
        <v>8886</v>
      </c>
      <c r="B223" s="26" t="s">
        <v>8887</v>
      </c>
      <c r="C223" s="26" t="s">
        <v>8887</v>
      </c>
      <c r="D223" s="26" t="s">
        <v>8888</v>
      </c>
      <c r="E223" s="26" t="s">
        <v>8313</v>
      </c>
      <c r="F223" s="26" t="s">
        <v>8314</v>
      </c>
      <c r="G223" s="26" t="s">
        <v>8330</v>
      </c>
      <c r="H223" s="26" t="s">
        <v>8331</v>
      </c>
      <c r="I223" s="133"/>
      <c r="J223" s="133"/>
      <c r="K223" s="133"/>
      <c r="L223" s="133"/>
      <c r="M223" s="133"/>
      <c r="N223" s="133"/>
      <c r="O223" s="133"/>
      <c r="P223" s="133"/>
      <c r="Q223" s="133"/>
      <c r="R223" s="133"/>
      <c r="S223" s="133"/>
      <c r="T223" s="133"/>
      <c r="U223" s="133"/>
      <c r="V223" s="133"/>
      <c r="W223" s="133"/>
      <c r="X223" s="133"/>
    </row>
    <row r="224" customFormat="false" ht="15.75" hidden="false" customHeight="false" outlineLevel="0" collapsed="false">
      <c r="A224" s="26" t="s">
        <v>8889</v>
      </c>
      <c r="B224" s="26" t="s">
        <v>8890</v>
      </c>
      <c r="C224" s="26" t="s">
        <v>8890</v>
      </c>
      <c r="D224" s="26" t="s">
        <v>4049</v>
      </c>
      <c r="E224" s="26" t="s">
        <v>8320</v>
      </c>
      <c r="F224" s="26" t="s">
        <v>8321</v>
      </c>
      <c r="G224" s="26" t="s">
        <v>8350</v>
      </c>
      <c r="H224" s="26" t="s">
        <v>8351</v>
      </c>
      <c r="I224" s="133"/>
      <c r="J224" s="133"/>
      <c r="K224" s="133"/>
      <c r="L224" s="133"/>
      <c r="M224" s="133"/>
      <c r="N224" s="133"/>
      <c r="O224" s="133"/>
      <c r="P224" s="133"/>
      <c r="Q224" s="133"/>
      <c r="R224" s="133"/>
      <c r="S224" s="133"/>
      <c r="T224" s="133"/>
      <c r="U224" s="133"/>
      <c r="V224" s="133"/>
      <c r="W224" s="133"/>
      <c r="X224" s="133"/>
    </row>
    <row r="225" customFormat="false" ht="15.75" hidden="false" customHeight="false" outlineLevel="0" collapsed="false">
      <c r="A225" s="26" t="s">
        <v>8891</v>
      </c>
      <c r="B225" s="26" t="s">
        <v>8892</v>
      </c>
      <c r="C225" s="26" t="s">
        <v>478</v>
      </c>
      <c r="D225" s="26" t="s">
        <v>478</v>
      </c>
      <c r="E225" s="26" t="s">
        <v>478</v>
      </c>
      <c r="F225" s="26" t="s">
        <v>478</v>
      </c>
      <c r="G225" s="26" t="s">
        <v>478</v>
      </c>
      <c r="H225" s="26" t="s">
        <v>478</v>
      </c>
      <c r="I225" s="133"/>
      <c r="J225" s="133"/>
      <c r="K225" s="133"/>
      <c r="L225" s="133"/>
      <c r="M225" s="133"/>
      <c r="N225" s="133"/>
      <c r="O225" s="133"/>
      <c r="P225" s="133"/>
      <c r="Q225" s="133"/>
      <c r="R225" s="133"/>
      <c r="S225" s="133"/>
      <c r="T225" s="133"/>
      <c r="U225" s="133"/>
      <c r="V225" s="133"/>
      <c r="W225" s="133"/>
      <c r="X225" s="133"/>
    </row>
    <row r="226" customFormat="false" ht="15.75" hidden="false" customHeight="false" outlineLevel="0" collapsed="false">
      <c r="A226" s="26" t="s">
        <v>8893</v>
      </c>
      <c r="B226" s="26" t="s">
        <v>8894</v>
      </c>
      <c r="C226" s="26" t="s">
        <v>8894</v>
      </c>
      <c r="D226" s="26" t="s">
        <v>8895</v>
      </c>
      <c r="E226" s="26" t="s">
        <v>8313</v>
      </c>
      <c r="F226" s="26" t="s">
        <v>8314</v>
      </c>
      <c r="G226" s="26" t="s">
        <v>8306</v>
      </c>
      <c r="H226" s="26" t="s">
        <v>8307</v>
      </c>
      <c r="I226" s="133"/>
      <c r="J226" s="133"/>
      <c r="K226" s="133"/>
      <c r="L226" s="133"/>
      <c r="M226" s="133"/>
      <c r="N226" s="133"/>
      <c r="O226" s="133"/>
      <c r="P226" s="133"/>
      <c r="Q226" s="133"/>
      <c r="R226" s="133"/>
      <c r="S226" s="133"/>
      <c r="T226" s="133"/>
      <c r="U226" s="133"/>
      <c r="V226" s="133"/>
      <c r="W226" s="133"/>
      <c r="X226" s="133"/>
    </row>
    <row r="227" customFormat="false" ht="15.75" hidden="false" customHeight="false" outlineLevel="0" collapsed="false">
      <c r="A227" s="26" t="s">
        <v>8896</v>
      </c>
      <c r="B227" s="26" t="s">
        <v>8897</v>
      </c>
      <c r="C227" s="26" t="s">
        <v>8898</v>
      </c>
      <c r="D227" s="26" t="s">
        <v>92</v>
      </c>
      <c r="E227" s="26" t="s">
        <v>8335</v>
      </c>
      <c r="F227" s="26" t="s">
        <v>8336</v>
      </c>
      <c r="G227" s="26" t="s">
        <v>8306</v>
      </c>
      <c r="H227" s="26" t="s">
        <v>8307</v>
      </c>
      <c r="I227" s="133"/>
      <c r="J227" s="133"/>
      <c r="K227" s="133"/>
      <c r="L227" s="133"/>
      <c r="M227" s="133"/>
      <c r="N227" s="133"/>
      <c r="O227" s="133"/>
      <c r="P227" s="133"/>
      <c r="Q227" s="133"/>
      <c r="R227" s="133"/>
      <c r="S227" s="133"/>
      <c r="T227" s="133"/>
      <c r="U227" s="133"/>
      <c r="V227" s="133"/>
      <c r="W227" s="133"/>
      <c r="X227" s="133"/>
    </row>
    <row r="228" customFormat="false" ht="15.75" hidden="false" customHeight="false" outlineLevel="0" collapsed="false">
      <c r="A228" s="26" t="s">
        <v>8899</v>
      </c>
      <c r="B228" s="26" t="s">
        <v>8900</v>
      </c>
      <c r="C228" s="26" t="s">
        <v>8900</v>
      </c>
      <c r="D228" s="26" t="s">
        <v>8901</v>
      </c>
      <c r="E228" s="26" t="s">
        <v>8325</v>
      </c>
      <c r="F228" s="26" t="s">
        <v>8326</v>
      </c>
      <c r="G228" s="26" t="s">
        <v>8315</v>
      </c>
      <c r="H228" s="26" t="s">
        <v>8316</v>
      </c>
      <c r="I228" s="133"/>
      <c r="J228" s="133"/>
      <c r="K228" s="133"/>
      <c r="L228" s="133"/>
      <c r="M228" s="133"/>
      <c r="N228" s="133"/>
      <c r="O228" s="133"/>
      <c r="P228" s="133"/>
      <c r="Q228" s="133"/>
      <c r="R228" s="133"/>
      <c r="S228" s="133"/>
      <c r="T228" s="133"/>
      <c r="U228" s="133"/>
      <c r="V228" s="133"/>
      <c r="W228" s="133"/>
      <c r="X228" s="133"/>
    </row>
    <row r="229" customFormat="false" ht="15.75" hidden="false" customHeight="false" outlineLevel="0" collapsed="false">
      <c r="A229" s="26" t="s">
        <v>8902</v>
      </c>
      <c r="B229" s="26" t="s">
        <v>8903</v>
      </c>
      <c r="C229" s="26" t="s">
        <v>8903</v>
      </c>
      <c r="D229" s="26" t="s">
        <v>8904</v>
      </c>
      <c r="E229" s="26" t="s">
        <v>8325</v>
      </c>
      <c r="F229" s="26" t="s">
        <v>8326</v>
      </c>
      <c r="G229" s="26" t="s">
        <v>8350</v>
      </c>
      <c r="H229" s="26" t="s">
        <v>8351</v>
      </c>
      <c r="I229" s="133"/>
      <c r="J229" s="133"/>
      <c r="K229" s="133"/>
      <c r="L229" s="133"/>
      <c r="M229" s="133"/>
      <c r="N229" s="133"/>
      <c r="O229" s="133"/>
      <c r="P229" s="133"/>
      <c r="Q229" s="133"/>
      <c r="R229" s="133"/>
      <c r="S229" s="133"/>
      <c r="T229" s="133"/>
      <c r="U229" s="133"/>
      <c r="V229" s="133"/>
      <c r="W229" s="133"/>
      <c r="X229" s="133"/>
    </row>
    <row r="230" customFormat="false" ht="15.75" hidden="false" customHeight="false" outlineLevel="0" collapsed="false">
      <c r="A230" s="26" t="s">
        <v>8905</v>
      </c>
      <c r="B230" s="26" t="s">
        <v>8906</v>
      </c>
      <c r="C230" s="26" t="s">
        <v>8906</v>
      </c>
      <c r="D230" s="26" t="s">
        <v>8907</v>
      </c>
      <c r="E230" s="26" t="s">
        <v>8335</v>
      </c>
      <c r="F230" s="26" t="s">
        <v>8336</v>
      </c>
      <c r="G230" s="26" t="s">
        <v>8306</v>
      </c>
      <c r="H230" s="26" t="s">
        <v>8307</v>
      </c>
      <c r="I230" s="133"/>
      <c r="J230" s="133"/>
      <c r="K230" s="133"/>
      <c r="L230" s="133"/>
      <c r="M230" s="133"/>
      <c r="N230" s="133"/>
      <c r="O230" s="133"/>
      <c r="P230" s="133"/>
      <c r="Q230" s="133"/>
      <c r="R230" s="133"/>
      <c r="S230" s="133"/>
      <c r="T230" s="133"/>
      <c r="U230" s="133"/>
      <c r="V230" s="133"/>
      <c r="W230" s="133"/>
      <c r="X230" s="133"/>
    </row>
    <row r="231" customFormat="false" ht="15.75" hidden="false" customHeight="false" outlineLevel="0" collapsed="false">
      <c r="A231" s="26" t="s">
        <v>8908</v>
      </c>
      <c r="B231" s="26" t="s">
        <v>8909</v>
      </c>
      <c r="C231" s="26" t="s">
        <v>478</v>
      </c>
      <c r="D231" s="26" t="s">
        <v>478</v>
      </c>
      <c r="E231" s="26" t="s">
        <v>478</v>
      </c>
      <c r="F231" s="26" t="s">
        <v>478</v>
      </c>
      <c r="G231" s="26" t="s">
        <v>478</v>
      </c>
      <c r="H231" s="26" t="s">
        <v>478</v>
      </c>
      <c r="I231" s="133"/>
      <c r="J231" s="133"/>
      <c r="K231" s="133"/>
      <c r="L231" s="133"/>
      <c r="M231" s="133"/>
      <c r="N231" s="133"/>
      <c r="O231" s="133"/>
      <c r="P231" s="133"/>
      <c r="Q231" s="133"/>
      <c r="R231" s="133"/>
      <c r="S231" s="133"/>
      <c r="T231" s="133"/>
      <c r="U231" s="133"/>
      <c r="V231" s="133"/>
      <c r="W231" s="133"/>
      <c r="X231" s="133"/>
    </row>
    <row r="232" customFormat="false" ht="15.75" hidden="false" customHeight="false" outlineLevel="0" collapsed="false">
      <c r="A232" s="26" t="s">
        <v>8910</v>
      </c>
      <c r="B232" s="26" t="s">
        <v>8911</v>
      </c>
      <c r="C232" s="26" t="s">
        <v>8911</v>
      </c>
      <c r="D232" s="26" t="s">
        <v>8912</v>
      </c>
      <c r="E232" s="26" t="s">
        <v>8325</v>
      </c>
      <c r="F232" s="26" t="s">
        <v>8326</v>
      </c>
      <c r="G232" s="26" t="s">
        <v>8315</v>
      </c>
      <c r="H232" s="26" t="s">
        <v>8316</v>
      </c>
      <c r="I232" s="133"/>
      <c r="J232" s="133"/>
      <c r="K232" s="133"/>
      <c r="L232" s="133"/>
      <c r="M232" s="133"/>
      <c r="N232" s="133"/>
      <c r="O232" s="133"/>
      <c r="P232" s="133"/>
      <c r="Q232" s="133"/>
      <c r="R232" s="133"/>
      <c r="S232" s="133"/>
      <c r="T232" s="133"/>
      <c r="U232" s="133"/>
      <c r="V232" s="133"/>
      <c r="W232" s="133"/>
      <c r="X232" s="133"/>
    </row>
    <row r="233" customFormat="false" ht="15.75" hidden="false" customHeight="false" outlineLevel="0" collapsed="false">
      <c r="A233" s="26" t="s">
        <v>8913</v>
      </c>
      <c r="B233" s="26" t="s">
        <v>8914</v>
      </c>
      <c r="C233" s="26" t="s">
        <v>8914</v>
      </c>
      <c r="D233" s="26" t="s">
        <v>8915</v>
      </c>
      <c r="E233" s="26" t="s">
        <v>8344</v>
      </c>
      <c r="F233" s="26" t="s">
        <v>8345</v>
      </c>
      <c r="G233" s="26" t="s">
        <v>8330</v>
      </c>
      <c r="H233" s="26" t="s">
        <v>8331</v>
      </c>
      <c r="I233" s="133"/>
      <c r="J233" s="133"/>
      <c r="K233" s="133"/>
      <c r="L233" s="133"/>
      <c r="M233" s="133"/>
      <c r="N233" s="133"/>
      <c r="O233" s="133"/>
      <c r="P233" s="133"/>
      <c r="Q233" s="133"/>
      <c r="R233" s="133"/>
      <c r="S233" s="133"/>
      <c r="T233" s="133"/>
      <c r="U233" s="133"/>
      <c r="V233" s="133"/>
      <c r="W233" s="133"/>
      <c r="X233" s="133"/>
    </row>
    <row r="234" customFormat="false" ht="15.75" hidden="false" customHeight="false" outlineLevel="0" collapsed="false">
      <c r="A234" s="26" t="s">
        <v>314</v>
      </c>
      <c r="B234" s="26" t="s">
        <v>8916</v>
      </c>
      <c r="C234" s="26" t="s">
        <v>8916</v>
      </c>
      <c r="D234" s="26" t="s">
        <v>8917</v>
      </c>
      <c r="E234" s="26" t="s">
        <v>8320</v>
      </c>
      <c r="F234" s="26" t="s">
        <v>8321</v>
      </c>
      <c r="G234" s="26" t="s">
        <v>8315</v>
      </c>
      <c r="H234" s="26" t="s">
        <v>8316</v>
      </c>
      <c r="I234" s="133"/>
      <c r="J234" s="133"/>
      <c r="K234" s="133"/>
      <c r="L234" s="133"/>
      <c r="M234" s="133"/>
      <c r="N234" s="133"/>
      <c r="O234" s="133"/>
      <c r="P234" s="133"/>
      <c r="Q234" s="133"/>
      <c r="R234" s="133"/>
      <c r="S234" s="133"/>
      <c r="T234" s="133"/>
      <c r="U234" s="133"/>
      <c r="V234" s="133"/>
      <c r="W234" s="133"/>
      <c r="X234" s="133"/>
    </row>
    <row r="235" customFormat="false" ht="15.75" hidden="false" customHeight="false" outlineLevel="0" collapsed="false">
      <c r="A235" s="26" t="s">
        <v>8918</v>
      </c>
      <c r="B235" s="26" t="s">
        <v>8919</v>
      </c>
      <c r="C235" s="26" t="s">
        <v>8919</v>
      </c>
      <c r="D235" s="26" t="s">
        <v>8920</v>
      </c>
      <c r="E235" s="26" t="s">
        <v>8313</v>
      </c>
      <c r="F235" s="26" t="s">
        <v>8314</v>
      </c>
      <c r="G235" s="26" t="s">
        <v>8315</v>
      </c>
      <c r="H235" s="26" t="s">
        <v>8316</v>
      </c>
      <c r="I235" s="133"/>
      <c r="J235" s="133"/>
      <c r="K235" s="133"/>
      <c r="L235" s="133"/>
      <c r="M235" s="133"/>
      <c r="N235" s="133"/>
      <c r="O235" s="133"/>
      <c r="P235" s="133"/>
      <c r="Q235" s="133"/>
      <c r="R235" s="133"/>
      <c r="S235" s="133"/>
      <c r="T235" s="133"/>
      <c r="U235" s="133"/>
      <c r="V235" s="133"/>
      <c r="W235" s="133"/>
      <c r="X235" s="133"/>
    </row>
    <row r="236" customFormat="false" ht="15.75" hidden="false" customHeight="false" outlineLevel="0" collapsed="false">
      <c r="A236" s="26" t="s">
        <v>8921</v>
      </c>
      <c r="B236" s="26" t="s">
        <v>8922</v>
      </c>
      <c r="C236" s="26" t="s">
        <v>8922</v>
      </c>
      <c r="D236" s="26" t="s">
        <v>8923</v>
      </c>
      <c r="E236" s="26" t="s">
        <v>8313</v>
      </c>
      <c r="F236" s="26" t="s">
        <v>8314</v>
      </c>
      <c r="G236" s="26" t="s">
        <v>8315</v>
      </c>
      <c r="H236" s="26" t="s">
        <v>8316</v>
      </c>
      <c r="I236" s="133"/>
      <c r="J236" s="133"/>
      <c r="K236" s="133"/>
      <c r="L236" s="133"/>
      <c r="M236" s="133"/>
      <c r="N236" s="133"/>
      <c r="O236" s="133"/>
      <c r="P236" s="133"/>
      <c r="Q236" s="133"/>
      <c r="R236" s="133"/>
      <c r="S236" s="133"/>
      <c r="T236" s="133"/>
      <c r="U236" s="133"/>
      <c r="V236" s="133"/>
      <c r="W236" s="133"/>
      <c r="X236" s="133"/>
    </row>
    <row r="237" customFormat="false" ht="15.75" hidden="false" customHeight="false" outlineLevel="0" collapsed="false">
      <c r="A237" s="26" t="s">
        <v>8924</v>
      </c>
      <c r="B237" s="26" t="s">
        <v>8925</v>
      </c>
      <c r="C237" s="26" t="s">
        <v>8925</v>
      </c>
      <c r="D237" s="26" t="s">
        <v>8926</v>
      </c>
      <c r="E237" s="26" t="s">
        <v>8344</v>
      </c>
      <c r="F237" s="26" t="s">
        <v>8345</v>
      </c>
      <c r="G237" s="26" t="s">
        <v>8330</v>
      </c>
      <c r="H237" s="26" t="s">
        <v>8331</v>
      </c>
      <c r="I237" s="133"/>
      <c r="J237" s="133"/>
      <c r="K237" s="133"/>
      <c r="L237" s="133"/>
      <c r="M237" s="133"/>
      <c r="N237" s="133"/>
      <c r="O237" s="133"/>
      <c r="P237" s="133"/>
      <c r="Q237" s="133"/>
      <c r="R237" s="133"/>
      <c r="S237" s="133"/>
      <c r="T237" s="133"/>
      <c r="U237" s="133"/>
      <c r="V237" s="133"/>
      <c r="W237" s="133"/>
      <c r="X237" s="133"/>
    </row>
    <row r="238" customFormat="false" ht="15.75" hidden="false" customHeight="false" outlineLevel="0" collapsed="false">
      <c r="A238" s="26" t="s">
        <v>8927</v>
      </c>
      <c r="B238" s="26" t="s">
        <v>8928</v>
      </c>
      <c r="C238" s="26" t="s">
        <v>8928</v>
      </c>
      <c r="D238" s="26" t="s">
        <v>8929</v>
      </c>
      <c r="E238" s="26" t="s">
        <v>8325</v>
      </c>
      <c r="F238" s="26" t="s">
        <v>8326</v>
      </c>
      <c r="G238" s="26" t="s">
        <v>8315</v>
      </c>
      <c r="H238" s="26" t="s">
        <v>8316</v>
      </c>
      <c r="I238" s="133"/>
      <c r="J238" s="133"/>
      <c r="K238" s="133"/>
      <c r="L238" s="133"/>
      <c r="M238" s="133"/>
      <c r="N238" s="133"/>
      <c r="O238" s="133"/>
      <c r="P238" s="133"/>
      <c r="Q238" s="133"/>
      <c r="R238" s="133"/>
      <c r="S238" s="133"/>
      <c r="T238" s="133"/>
      <c r="U238" s="133"/>
      <c r="V238" s="133"/>
      <c r="W238" s="133"/>
      <c r="X238" s="133"/>
    </row>
    <row r="239" customFormat="false" ht="15.75" hidden="false" customHeight="false" outlineLevel="0" collapsed="false">
      <c r="A239" s="26" t="s">
        <v>8930</v>
      </c>
      <c r="B239" s="26" t="s">
        <v>8931</v>
      </c>
      <c r="C239" s="26" t="s">
        <v>8931</v>
      </c>
      <c r="D239" s="26" t="s">
        <v>8932</v>
      </c>
      <c r="E239" s="26" t="s">
        <v>8335</v>
      </c>
      <c r="F239" s="26" t="s">
        <v>8336</v>
      </c>
      <c r="G239" s="26" t="s">
        <v>8306</v>
      </c>
      <c r="H239" s="26" t="s">
        <v>8307</v>
      </c>
      <c r="I239" s="133"/>
      <c r="J239" s="133"/>
      <c r="K239" s="133"/>
      <c r="L239" s="133"/>
      <c r="M239" s="133"/>
      <c r="N239" s="133"/>
      <c r="O239" s="133"/>
      <c r="P239" s="133"/>
      <c r="Q239" s="133"/>
      <c r="R239" s="133"/>
      <c r="S239" s="133"/>
      <c r="T239" s="133"/>
      <c r="U239" s="133"/>
      <c r="V239" s="133"/>
      <c r="W239" s="133"/>
      <c r="X239" s="133"/>
    </row>
    <row r="240" customFormat="false" ht="15.75" hidden="false" customHeight="false" outlineLevel="0" collapsed="false">
      <c r="A240" s="26" t="s">
        <v>8933</v>
      </c>
      <c r="B240" s="26" t="s">
        <v>8934</v>
      </c>
      <c r="C240" s="26" t="s">
        <v>8934</v>
      </c>
      <c r="D240" s="26" t="s">
        <v>8935</v>
      </c>
      <c r="E240" s="26" t="s">
        <v>8313</v>
      </c>
      <c r="F240" s="26" t="s">
        <v>8314</v>
      </c>
      <c r="G240" s="26" t="s">
        <v>8350</v>
      </c>
      <c r="H240" s="26" t="s">
        <v>8351</v>
      </c>
      <c r="I240" s="133"/>
      <c r="J240" s="133"/>
      <c r="K240" s="133"/>
      <c r="L240" s="133"/>
      <c r="M240" s="133"/>
      <c r="N240" s="133"/>
      <c r="O240" s="133"/>
      <c r="P240" s="133"/>
      <c r="Q240" s="133"/>
      <c r="R240" s="133"/>
      <c r="S240" s="133"/>
      <c r="T240" s="133"/>
      <c r="U240" s="133"/>
      <c r="V240" s="133"/>
      <c r="W240" s="133"/>
      <c r="X240" s="133"/>
    </row>
    <row r="241" customFormat="false" ht="15.75" hidden="false" customHeight="false" outlineLevel="0" collapsed="false">
      <c r="A241" s="26" t="s">
        <v>8936</v>
      </c>
      <c r="B241" s="26" t="s">
        <v>8937</v>
      </c>
      <c r="C241" s="26" t="s">
        <v>8937</v>
      </c>
      <c r="D241" s="26" t="s">
        <v>8938</v>
      </c>
      <c r="E241" s="26" t="s">
        <v>8320</v>
      </c>
      <c r="F241" s="26" t="s">
        <v>8321</v>
      </c>
      <c r="G241" s="26" t="s">
        <v>8330</v>
      </c>
      <c r="H241" s="26" t="s">
        <v>8331</v>
      </c>
      <c r="I241" s="133"/>
      <c r="J241" s="133"/>
      <c r="K241" s="133"/>
      <c r="L241" s="133"/>
      <c r="M241" s="133"/>
      <c r="N241" s="133"/>
      <c r="O241" s="133"/>
      <c r="P241" s="133"/>
      <c r="Q241" s="133"/>
      <c r="R241" s="133"/>
      <c r="S241" s="133"/>
      <c r="T241" s="133"/>
      <c r="U241" s="133"/>
      <c r="V241" s="133"/>
      <c r="W241" s="133"/>
      <c r="X241" s="133"/>
    </row>
    <row r="242" customFormat="false" ht="15.75" hidden="false" customHeight="false" outlineLevel="0" collapsed="false">
      <c r="A242" s="26" t="s">
        <v>8939</v>
      </c>
      <c r="B242" s="26" t="s">
        <v>8940</v>
      </c>
      <c r="C242" s="26" t="s">
        <v>8940</v>
      </c>
      <c r="D242" s="26" t="s">
        <v>166</v>
      </c>
      <c r="E242" s="26" t="s">
        <v>8313</v>
      </c>
      <c r="F242" s="26" t="s">
        <v>8314</v>
      </c>
      <c r="G242" s="26" t="s">
        <v>8330</v>
      </c>
      <c r="H242" s="26" t="s">
        <v>8331</v>
      </c>
      <c r="I242" s="133"/>
      <c r="J242" s="133"/>
      <c r="K242" s="133"/>
      <c r="L242" s="133"/>
      <c r="M242" s="133"/>
      <c r="N242" s="133"/>
      <c r="O242" s="133"/>
      <c r="P242" s="133"/>
      <c r="Q242" s="133"/>
      <c r="R242" s="133"/>
      <c r="S242" s="133"/>
      <c r="T242" s="133"/>
      <c r="U242" s="133"/>
      <c r="V242" s="133"/>
      <c r="W242" s="133"/>
      <c r="X242" s="133"/>
    </row>
    <row r="243" customFormat="false" ht="15.75" hidden="false" customHeight="false" outlineLevel="0" collapsed="false">
      <c r="A243" s="26" t="s">
        <v>8941</v>
      </c>
      <c r="B243" s="26" t="s">
        <v>8942</v>
      </c>
      <c r="C243" s="26" t="s">
        <v>8943</v>
      </c>
      <c r="D243" s="26" t="s">
        <v>36</v>
      </c>
      <c r="E243" s="26" t="s">
        <v>8422</v>
      </c>
      <c r="F243" s="26" t="s">
        <v>8423</v>
      </c>
      <c r="G243" s="26" t="s">
        <v>8330</v>
      </c>
      <c r="H243" s="26" t="s">
        <v>8331</v>
      </c>
      <c r="I243" s="133"/>
      <c r="J243" s="133"/>
      <c r="K243" s="133"/>
      <c r="L243" s="133"/>
      <c r="M243" s="133"/>
      <c r="N243" s="133"/>
      <c r="O243" s="133"/>
      <c r="P243" s="133"/>
      <c r="Q243" s="133"/>
      <c r="R243" s="133"/>
      <c r="S243" s="133"/>
      <c r="T243" s="133"/>
      <c r="U243" s="133"/>
      <c r="V243" s="133"/>
      <c r="W243" s="133"/>
      <c r="X243" s="133"/>
    </row>
    <row r="244" customFormat="false" ht="15.75" hidden="false" customHeight="false" outlineLevel="0" collapsed="false">
      <c r="A244" s="26" t="s">
        <v>8944</v>
      </c>
      <c r="B244" s="26" t="s">
        <v>8945</v>
      </c>
      <c r="C244" s="26" t="s">
        <v>478</v>
      </c>
      <c r="D244" s="26" t="s">
        <v>478</v>
      </c>
      <c r="E244" s="26" t="s">
        <v>478</v>
      </c>
      <c r="F244" s="26" t="s">
        <v>478</v>
      </c>
      <c r="G244" s="26" t="s">
        <v>478</v>
      </c>
      <c r="H244" s="26" t="s">
        <v>478</v>
      </c>
      <c r="I244" s="133"/>
      <c r="J244" s="133"/>
      <c r="K244" s="133"/>
      <c r="L244" s="133"/>
      <c r="M244" s="133"/>
      <c r="N244" s="133"/>
      <c r="O244" s="133"/>
      <c r="P244" s="133"/>
      <c r="Q244" s="133"/>
      <c r="R244" s="133"/>
      <c r="S244" s="133"/>
      <c r="T244" s="133"/>
      <c r="U244" s="133"/>
      <c r="V244" s="133"/>
      <c r="W244" s="133"/>
      <c r="X244" s="133"/>
    </row>
    <row r="245" customFormat="false" ht="15.75" hidden="false" customHeight="false" outlineLevel="0" collapsed="false">
      <c r="A245" s="26" t="s">
        <v>8946</v>
      </c>
      <c r="B245" s="26" t="s">
        <v>8947</v>
      </c>
      <c r="C245" s="26" t="s">
        <v>8947</v>
      </c>
      <c r="D245" s="26" t="s">
        <v>1564</v>
      </c>
      <c r="E245" s="26" t="s">
        <v>8344</v>
      </c>
      <c r="F245" s="26" t="s">
        <v>8345</v>
      </c>
      <c r="G245" s="26" t="s">
        <v>8330</v>
      </c>
      <c r="H245" s="26" t="s">
        <v>8331</v>
      </c>
      <c r="I245" s="133"/>
      <c r="J245" s="133"/>
      <c r="K245" s="133"/>
      <c r="L245" s="133"/>
      <c r="M245" s="133"/>
      <c r="N245" s="133"/>
      <c r="O245" s="133"/>
      <c r="P245" s="133"/>
      <c r="Q245" s="133"/>
      <c r="R245" s="133"/>
      <c r="S245" s="133"/>
      <c r="T245" s="133"/>
      <c r="U245" s="133"/>
      <c r="V245" s="133"/>
      <c r="W245" s="133"/>
      <c r="X245" s="133"/>
    </row>
    <row r="246" customFormat="false" ht="15.75" hidden="false" customHeight="false" outlineLevel="0" collapsed="false">
      <c r="A246" s="26" t="s">
        <v>8948</v>
      </c>
      <c r="B246" s="26" t="s">
        <v>8949</v>
      </c>
      <c r="C246" s="26" t="s">
        <v>8949</v>
      </c>
      <c r="D246" s="26" t="s">
        <v>8950</v>
      </c>
      <c r="E246" s="26" t="s">
        <v>8313</v>
      </c>
      <c r="F246" s="26" t="s">
        <v>8314</v>
      </c>
      <c r="G246" s="26" t="s">
        <v>8350</v>
      </c>
      <c r="H246" s="26" t="s">
        <v>8351</v>
      </c>
      <c r="I246" s="133"/>
      <c r="J246" s="133"/>
      <c r="K246" s="133"/>
      <c r="L246" s="133"/>
      <c r="M246" s="133"/>
      <c r="N246" s="133"/>
      <c r="O246" s="133"/>
      <c r="P246" s="133"/>
      <c r="Q246" s="133"/>
      <c r="R246" s="133"/>
      <c r="S246" s="133"/>
      <c r="T246" s="133"/>
      <c r="U246" s="133"/>
      <c r="V246" s="133"/>
      <c r="W246" s="133"/>
      <c r="X246" s="133"/>
    </row>
    <row r="247" customFormat="false" ht="15.75" hidden="false" customHeight="false" outlineLevel="0" collapsed="false">
      <c r="A247" s="26" t="s">
        <v>8951</v>
      </c>
      <c r="B247" s="26" t="s">
        <v>8952</v>
      </c>
      <c r="C247" s="26" t="s">
        <v>8952</v>
      </c>
      <c r="D247" s="26" t="s">
        <v>8953</v>
      </c>
      <c r="E247" s="26" t="s">
        <v>8325</v>
      </c>
      <c r="F247" s="26" t="s">
        <v>8326</v>
      </c>
      <c r="G247" s="26" t="s">
        <v>8350</v>
      </c>
      <c r="H247" s="26" t="s">
        <v>8351</v>
      </c>
      <c r="I247" s="133"/>
      <c r="J247" s="133"/>
      <c r="K247" s="133"/>
      <c r="L247" s="133"/>
      <c r="M247" s="133"/>
      <c r="N247" s="133"/>
      <c r="O247" s="133"/>
      <c r="P247" s="133"/>
      <c r="Q247" s="133"/>
      <c r="R247" s="133"/>
      <c r="S247" s="133"/>
      <c r="T247" s="133"/>
      <c r="U247" s="133"/>
      <c r="V247" s="133"/>
      <c r="W247" s="133"/>
      <c r="X247" s="133"/>
    </row>
    <row r="248" customFormat="false" ht="15.75" hidden="false" customHeight="false" outlineLevel="0" collapsed="false">
      <c r="A248" s="26" t="s">
        <v>8954</v>
      </c>
      <c r="B248" s="26" t="s">
        <v>8955</v>
      </c>
      <c r="C248" s="26" t="s">
        <v>8956</v>
      </c>
      <c r="D248" s="26" t="s">
        <v>8957</v>
      </c>
      <c r="E248" s="26" t="s">
        <v>8344</v>
      </c>
      <c r="F248" s="26" t="s">
        <v>8345</v>
      </c>
      <c r="G248" s="26" t="s">
        <v>8315</v>
      </c>
      <c r="H248" s="26" t="s">
        <v>8316</v>
      </c>
      <c r="I248" s="133"/>
      <c r="J248" s="133"/>
      <c r="K248" s="133"/>
      <c r="L248" s="133"/>
      <c r="M248" s="133"/>
      <c r="N248" s="133"/>
      <c r="O248" s="133"/>
      <c r="P248" s="133"/>
      <c r="Q248" s="133"/>
      <c r="R248" s="133"/>
      <c r="S248" s="133"/>
      <c r="T248" s="133"/>
      <c r="U248" s="133"/>
      <c r="V248" s="133"/>
      <c r="W248" s="133"/>
      <c r="X248" s="133"/>
    </row>
    <row r="249" customFormat="false" ht="15.75" hidden="false" customHeight="false" outlineLevel="0" collapsed="false">
      <c r="A249" s="26" t="s">
        <v>8958</v>
      </c>
      <c r="B249" s="26" t="s">
        <v>8959</v>
      </c>
      <c r="C249" s="26" t="s">
        <v>8960</v>
      </c>
      <c r="D249" s="26" t="s">
        <v>690</v>
      </c>
      <c r="E249" s="26" t="s">
        <v>8325</v>
      </c>
      <c r="F249" s="26" t="s">
        <v>8326</v>
      </c>
      <c r="G249" s="26" t="s">
        <v>8350</v>
      </c>
      <c r="H249" s="26" t="s">
        <v>8351</v>
      </c>
      <c r="I249" s="133"/>
      <c r="J249" s="133"/>
      <c r="K249" s="133"/>
      <c r="L249" s="133"/>
      <c r="M249" s="133"/>
      <c r="N249" s="133"/>
      <c r="O249" s="133"/>
      <c r="P249" s="133"/>
      <c r="Q249" s="133"/>
      <c r="R249" s="133"/>
      <c r="S249" s="133"/>
      <c r="T249" s="133"/>
      <c r="U249" s="133"/>
      <c r="V249" s="133"/>
      <c r="W249" s="133"/>
      <c r="X249" s="133"/>
    </row>
    <row r="250" customFormat="false" ht="15.75" hidden="false" customHeight="false" outlineLevel="0" collapsed="false">
      <c r="A250" s="26" t="s">
        <v>8961</v>
      </c>
      <c r="B250" s="26" t="s">
        <v>8962</v>
      </c>
      <c r="C250" s="26" t="s">
        <v>8963</v>
      </c>
      <c r="D250" s="26" t="s">
        <v>8964</v>
      </c>
      <c r="E250" s="26" t="s">
        <v>8344</v>
      </c>
      <c r="F250" s="26" t="s">
        <v>8345</v>
      </c>
      <c r="G250" s="26" t="s">
        <v>8330</v>
      </c>
      <c r="H250" s="26" t="s">
        <v>8331</v>
      </c>
      <c r="I250" s="133"/>
      <c r="J250" s="133"/>
      <c r="K250" s="133"/>
      <c r="L250" s="133"/>
      <c r="M250" s="133"/>
      <c r="N250" s="133"/>
      <c r="O250" s="133"/>
      <c r="P250" s="133"/>
      <c r="Q250" s="133"/>
      <c r="R250" s="133"/>
      <c r="S250" s="133"/>
      <c r="T250" s="133"/>
      <c r="U250" s="133"/>
      <c r="V250" s="133"/>
      <c r="W250" s="133"/>
      <c r="X250" s="133"/>
    </row>
    <row r="251" customFormat="false" ht="15.75" hidden="false" customHeight="false" outlineLevel="0" collapsed="false">
      <c r="A251" s="26" t="s">
        <v>8965</v>
      </c>
      <c r="B251" s="26" t="s">
        <v>478</v>
      </c>
      <c r="C251" s="26" t="s">
        <v>8966</v>
      </c>
      <c r="D251" s="26" t="s">
        <v>8967</v>
      </c>
      <c r="E251" s="26" t="s">
        <v>8320</v>
      </c>
      <c r="F251" s="26" t="s">
        <v>8321</v>
      </c>
      <c r="G251" s="26" t="s">
        <v>8350</v>
      </c>
      <c r="H251" s="26" t="s">
        <v>8351</v>
      </c>
      <c r="I251" s="133"/>
      <c r="J251" s="133"/>
      <c r="K251" s="133"/>
      <c r="L251" s="133"/>
      <c r="M251" s="133"/>
      <c r="N251" s="133"/>
      <c r="O251" s="133"/>
      <c r="P251" s="133"/>
      <c r="Q251" s="133"/>
      <c r="R251" s="133"/>
      <c r="S251" s="133"/>
      <c r="T251" s="133"/>
      <c r="U251" s="133"/>
      <c r="V251" s="133"/>
      <c r="W251" s="133"/>
      <c r="X251" s="133"/>
    </row>
    <row r="252" customFormat="false" ht="15.75" hidden="false" customHeight="false" outlineLevel="0" collapsed="false">
      <c r="A252" s="26" t="s">
        <v>8968</v>
      </c>
      <c r="B252" s="26" t="s">
        <v>8969</v>
      </c>
      <c r="C252" s="26" t="s">
        <v>478</v>
      </c>
      <c r="D252" s="26" t="s">
        <v>478</v>
      </c>
      <c r="E252" s="26" t="s">
        <v>478</v>
      </c>
      <c r="F252" s="26" t="s">
        <v>478</v>
      </c>
      <c r="G252" s="26" t="s">
        <v>478</v>
      </c>
      <c r="H252" s="26" t="s">
        <v>478</v>
      </c>
      <c r="I252" s="133"/>
      <c r="J252" s="133"/>
      <c r="K252" s="133"/>
      <c r="L252" s="133"/>
      <c r="M252" s="133"/>
      <c r="N252" s="133"/>
      <c r="O252" s="133"/>
      <c r="P252" s="133"/>
      <c r="Q252" s="133"/>
      <c r="R252" s="133"/>
      <c r="S252" s="133"/>
      <c r="T252" s="133"/>
      <c r="U252" s="133"/>
      <c r="V252" s="133"/>
      <c r="W252" s="133"/>
      <c r="X252" s="133"/>
    </row>
    <row r="253" customFormat="false" ht="15.75" hidden="false" customHeight="false" outlineLevel="0" collapsed="false">
      <c r="A253" s="26" t="s">
        <v>8970</v>
      </c>
      <c r="B253" s="26" t="s">
        <v>8971</v>
      </c>
      <c r="C253" s="26" t="s">
        <v>478</v>
      </c>
      <c r="D253" s="26" t="s">
        <v>478</v>
      </c>
      <c r="E253" s="26" t="s">
        <v>478</v>
      </c>
      <c r="F253" s="26" t="s">
        <v>478</v>
      </c>
      <c r="G253" s="26" t="s">
        <v>478</v>
      </c>
      <c r="H253" s="26" t="s">
        <v>478</v>
      </c>
      <c r="I253" s="133"/>
      <c r="J253" s="133"/>
      <c r="K253" s="133"/>
      <c r="L253" s="133"/>
      <c r="M253" s="133"/>
      <c r="N253" s="133"/>
      <c r="O253" s="133"/>
      <c r="P253" s="133"/>
      <c r="Q253" s="133"/>
      <c r="R253" s="133"/>
      <c r="S253" s="133"/>
      <c r="T253" s="133"/>
      <c r="U253" s="133"/>
      <c r="V253" s="133"/>
      <c r="W253" s="133"/>
      <c r="X253" s="133"/>
    </row>
    <row r="254" customFormat="false" ht="15.75" hidden="false" customHeight="false" outlineLevel="0" collapsed="false">
      <c r="A254" s="26" t="s">
        <v>8972</v>
      </c>
      <c r="B254" s="26" t="s">
        <v>8973</v>
      </c>
      <c r="C254" s="26" t="s">
        <v>478</v>
      </c>
      <c r="D254" s="26" t="s">
        <v>478</v>
      </c>
      <c r="E254" s="26" t="s">
        <v>478</v>
      </c>
      <c r="F254" s="26" t="s">
        <v>478</v>
      </c>
      <c r="G254" s="26" t="s">
        <v>478</v>
      </c>
      <c r="H254" s="26" t="s">
        <v>478</v>
      </c>
      <c r="I254" s="133"/>
      <c r="J254" s="133"/>
      <c r="K254" s="133"/>
      <c r="L254" s="133"/>
      <c r="M254" s="133"/>
      <c r="N254" s="133"/>
      <c r="O254" s="133"/>
      <c r="P254" s="133"/>
      <c r="Q254" s="133"/>
      <c r="R254" s="133"/>
      <c r="S254" s="133"/>
      <c r="T254" s="133"/>
      <c r="U254" s="133"/>
      <c r="V254" s="133"/>
      <c r="W254" s="133"/>
      <c r="X254" s="133"/>
    </row>
    <row r="255" customFormat="false" ht="15.75" hidden="false" customHeight="false" outlineLevel="0" collapsed="false">
      <c r="A255" s="26" t="s">
        <v>8974</v>
      </c>
      <c r="B255" s="26" t="s">
        <v>8975</v>
      </c>
      <c r="C255" s="26" t="s">
        <v>8976</v>
      </c>
      <c r="D255" s="26" t="s">
        <v>8977</v>
      </c>
      <c r="E255" s="26" t="s">
        <v>8320</v>
      </c>
      <c r="F255" s="26" t="s">
        <v>8321</v>
      </c>
      <c r="G255" s="26" t="s">
        <v>8350</v>
      </c>
      <c r="H255" s="26" t="s">
        <v>8351</v>
      </c>
      <c r="I255" s="133"/>
      <c r="J255" s="133"/>
      <c r="K255" s="133"/>
      <c r="L255" s="133"/>
      <c r="M255" s="133"/>
      <c r="N255" s="133"/>
      <c r="O255" s="133"/>
      <c r="P255" s="133"/>
      <c r="Q255" s="133"/>
      <c r="R255" s="133"/>
      <c r="S255" s="133"/>
      <c r="T255" s="133"/>
      <c r="U255" s="133"/>
      <c r="V255" s="133"/>
      <c r="W255" s="133"/>
      <c r="X255" s="133"/>
    </row>
    <row r="256" customFormat="false" ht="15.75" hidden="false" customHeight="false" outlineLevel="0" collapsed="false">
      <c r="A256" s="26" t="s">
        <v>8978</v>
      </c>
      <c r="B256" s="26" t="s">
        <v>8979</v>
      </c>
      <c r="C256" s="26" t="s">
        <v>8979</v>
      </c>
      <c r="D256" s="26" t="s">
        <v>8980</v>
      </c>
      <c r="E256" s="26" t="s">
        <v>8335</v>
      </c>
      <c r="F256" s="26" t="s">
        <v>8336</v>
      </c>
      <c r="G256" s="26" t="s">
        <v>8350</v>
      </c>
      <c r="H256" s="26" t="s">
        <v>8351</v>
      </c>
      <c r="I256" s="133"/>
      <c r="J256" s="133"/>
      <c r="K256" s="133"/>
      <c r="L256" s="133"/>
      <c r="M256" s="133"/>
      <c r="N256" s="133"/>
      <c r="O256" s="133"/>
      <c r="P256" s="133"/>
      <c r="Q256" s="133"/>
      <c r="R256" s="133"/>
      <c r="S256" s="133"/>
      <c r="T256" s="133"/>
      <c r="U256" s="133"/>
      <c r="V256" s="133"/>
      <c r="W256" s="133"/>
      <c r="X256" s="133"/>
    </row>
    <row r="257" customFormat="false" ht="15.75" hidden="false" customHeight="false" outlineLevel="0" collapsed="false">
      <c r="A257" s="26" t="s">
        <v>8981</v>
      </c>
      <c r="B257" s="26" t="s">
        <v>8982</v>
      </c>
      <c r="C257" s="134" t="s">
        <v>8982</v>
      </c>
      <c r="D257" s="26" t="s">
        <v>8983</v>
      </c>
      <c r="E257" s="26" t="s">
        <v>8335</v>
      </c>
      <c r="F257" s="26" t="s">
        <v>8336</v>
      </c>
      <c r="G257" s="26" t="s">
        <v>8306</v>
      </c>
      <c r="H257" s="26" t="s">
        <v>8307</v>
      </c>
      <c r="I257" s="133"/>
      <c r="J257" s="133"/>
      <c r="K257" s="133"/>
      <c r="L257" s="133"/>
      <c r="M257" s="133"/>
      <c r="N257" s="133"/>
      <c r="O257" s="133"/>
      <c r="P257" s="133"/>
      <c r="Q257" s="133"/>
      <c r="R257" s="133"/>
      <c r="S257" s="133"/>
      <c r="T257" s="133"/>
      <c r="U257" s="133"/>
      <c r="V257" s="133"/>
      <c r="W257" s="133"/>
      <c r="X257" s="133"/>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25"/>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cols>
    <col collapsed="false" hidden="false" max="1" min="1" style="0" width="49.2908163265306"/>
    <col collapsed="false" hidden="false" max="1025" min="2" style="0" width="14.4285714285714"/>
  </cols>
  <sheetData>
    <row r="1" customFormat="false" ht="15.75" hidden="false" customHeight="false" outlineLevel="0" collapsed="false">
      <c r="A1" s="47" t="s">
        <v>66</v>
      </c>
      <c r="B1" s="135" t="s">
        <v>8984</v>
      </c>
    </row>
    <row r="2" customFormat="false" ht="15.75" hidden="false" customHeight="false" outlineLevel="0" collapsed="false">
      <c r="A2" s="47" t="s">
        <v>167</v>
      </c>
    </row>
    <row r="3" customFormat="false" ht="15.75" hidden="false" customHeight="false" outlineLevel="0" collapsed="false">
      <c r="A3" s="47" t="s">
        <v>244</v>
      </c>
    </row>
    <row r="4" customFormat="false" ht="15.75" hidden="false" customHeight="false" outlineLevel="0" collapsed="false">
      <c r="A4" s="47" t="s">
        <v>2556</v>
      </c>
      <c r="B4" s="135" t="s">
        <v>8985</v>
      </c>
    </row>
    <row r="5" customFormat="false" ht="15.75" hidden="false" customHeight="false" outlineLevel="0" collapsed="false">
      <c r="A5" s="47" t="s">
        <v>3260</v>
      </c>
    </row>
    <row r="6" customFormat="false" ht="15.75" hidden="false" customHeight="false" outlineLevel="0" collapsed="false">
      <c r="A6" s="47" t="s">
        <v>1565</v>
      </c>
    </row>
    <row r="7" customFormat="false" ht="15.75" hidden="false" customHeight="false" outlineLevel="0" collapsed="false">
      <c r="A7" s="47" t="s">
        <v>1843</v>
      </c>
    </row>
    <row r="8" customFormat="false" ht="15.75" hidden="false" customHeight="false" outlineLevel="0" collapsed="false">
      <c r="A8" s="47" t="s">
        <v>2035</v>
      </c>
      <c r="B8" s="135" t="s">
        <v>8986</v>
      </c>
    </row>
    <row r="9" customFormat="false" ht="15.75" hidden="false" customHeight="false" outlineLevel="0" collapsed="false">
      <c r="A9" s="47" t="s">
        <v>231</v>
      </c>
    </row>
    <row r="10" customFormat="false" ht="15.75" hidden="false" customHeight="false" outlineLevel="0" collapsed="false">
      <c r="A10" s="47" t="s">
        <v>611</v>
      </c>
    </row>
    <row r="11" customFormat="false" ht="15.75" hidden="false" customHeight="false" outlineLevel="0" collapsed="false">
      <c r="A11" s="47" t="s">
        <v>58</v>
      </c>
      <c r="B11" s="135" t="s">
        <v>8987</v>
      </c>
    </row>
    <row r="12" customFormat="false" ht="15.75" hidden="false" customHeight="false" outlineLevel="0" collapsed="false">
      <c r="A12" s="47" t="s">
        <v>1555</v>
      </c>
    </row>
    <row r="13" customFormat="false" ht="15.75" hidden="false" customHeight="false" outlineLevel="0" collapsed="false">
      <c r="A13" s="47" t="s">
        <v>48</v>
      </c>
    </row>
    <row r="14" customFormat="false" ht="15.75" hidden="false" customHeight="false" outlineLevel="0" collapsed="false">
      <c r="A14" s="47" t="s">
        <v>2199</v>
      </c>
    </row>
    <row r="15" customFormat="false" ht="15.75" hidden="false" customHeight="false" outlineLevel="0" collapsed="false">
      <c r="A15" s="47" t="s">
        <v>2283</v>
      </c>
      <c r="B15" s="135" t="s">
        <v>8988</v>
      </c>
    </row>
    <row r="16" customFormat="false" ht="15.75" hidden="false" customHeight="false" outlineLevel="0" collapsed="false">
      <c r="A16" s="47" t="s">
        <v>3986</v>
      </c>
      <c r="B16" s="135" t="s">
        <v>8989</v>
      </c>
    </row>
    <row r="17" customFormat="false" ht="15.75" hidden="false" customHeight="false" outlineLevel="0" collapsed="false">
      <c r="A17" s="47" t="s">
        <v>1816</v>
      </c>
      <c r="B17" s="135" t="s">
        <v>8990</v>
      </c>
    </row>
    <row r="18" customFormat="false" ht="15.75" hidden="false" customHeight="false" outlineLevel="0" collapsed="false">
      <c r="A18" s="47" t="s">
        <v>763</v>
      </c>
      <c r="B18" s="135" t="s">
        <v>8991</v>
      </c>
    </row>
    <row r="19" customFormat="false" ht="15.75" hidden="false" customHeight="false" outlineLevel="0" collapsed="false">
      <c r="A19" s="47" t="s">
        <v>3769</v>
      </c>
    </row>
    <row r="20" customFormat="false" ht="15.75" hidden="false" customHeight="false" outlineLevel="0" collapsed="false">
      <c r="A20" s="47" t="s">
        <v>3910</v>
      </c>
    </row>
    <row r="21" customFormat="false" ht="15.75" hidden="false" customHeight="false" outlineLevel="0" collapsed="false">
      <c r="A21" s="47" t="s">
        <v>3842</v>
      </c>
    </row>
    <row r="22" customFormat="false" ht="15.75" hidden="false" customHeight="false" outlineLevel="0" collapsed="false">
      <c r="A22" s="47" t="s">
        <v>3791</v>
      </c>
    </row>
    <row r="23" customFormat="false" ht="15.75" hidden="false" customHeight="false" outlineLevel="0" collapsed="false">
      <c r="A23" s="47" t="s">
        <v>2009</v>
      </c>
      <c r="B23" s="135" t="s">
        <v>8992</v>
      </c>
    </row>
    <row r="24" customFormat="false" ht="15.75" hidden="false" customHeight="false" outlineLevel="0" collapsed="false">
      <c r="A24" s="47" t="s">
        <v>4892</v>
      </c>
    </row>
    <row r="25" customFormat="false" ht="15.75" hidden="false" customHeight="false" outlineLevel="0" collapsed="false">
      <c r="A25" s="136" t="s">
        <v>8993</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AB22"/>
  <sheetViews>
    <sheetView windowProtection="true"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RowHeight="15.75"/>
  <cols>
    <col collapsed="false" hidden="false" max="1" min="1" style="0" width="19.4285714285714"/>
    <col collapsed="false" hidden="false" max="2" min="2" style="0" width="42"/>
    <col collapsed="false" hidden="false" max="3" min="3" style="0" width="19.8622448979592"/>
    <col collapsed="false" hidden="false" max="4" min="4" style="0" width="49.8673469387755"/>
    <col collapsed="false" hidden="false" max="5" min="5" style="0" width="73.2908163265306"/>
    <col collapsed="false" hidden="false" max="1025" min="6" style="0" width="14.4285714285714"/>
  </cols>
  <sheetData>
    <row r="1" customFormat="false" ht="21" hidden="false" customHeight="true" outlineLevel="0" collapsed="false">
      <c r="A1" s="137" t="s">
        <v>8994</v>
      </c>
      <c r="B1" s="138" t="s">
        <v>8224</v>
      </c>
      <c r="C1" s="138" t="s">
        <v>8995</v>
      </c>
      <c r="D1" s="138" t="s">
        <v>8996</v>
      </c>
      <c r="E1" s="138" t="s">
        <v>8997</v>
      </c>
      <c r="F1" s="138"/>
      <c r="G1" s="138"/>
      <c r="H1" s="138"/>
      <c r="I1" s="138"/>
      <c r="J1" s="138"/>
      <c r="K1" s="138"/>
      <c r="L1" s="138"/>
      <c r="M1" s="138"/>
      <c r="N1" s="138"/>
      <c r="O1" s="138"/>
      <c r="P1" s="138"/>
      <c r="Q1" s="138"/>
      <c r="R1" s="138"/>
      <c r="S1" s="138"/>
      <c r="T1" s="138"/>
      <c r="U1" s="138"/>
      <c r="V1" s="138"/>
      <c r="W1" s="138"/>
      <c r="X1" s="138"/>
      <c r="Y1" s="138"/>
      <c r="Z1" s="138"/>
      <c r="AA1" s="138"/>
      <c r="AB1" s="138"/>
    </row>
    <row r="2" customFormat="false" ht="15.75" hidden="false" customHeight="false" outlineLevel="0" collapsed="false">
      <c r="A2" s="17" t="s">
        <v>8998</v>
      </c>
      <c r="B2" s="17" t="s">
        <v>8999</v>
      </c>
      <c r="C2" s="17"/>
      <c r="D2" s="25" t="s">
        <v>9000</v>
      </c>
      <c r="E2" s="17" t="s">
        <v>9001</v>
      </c>
      <c r="F2" s="17"/>
      <c r="G2" s="17"/>
      <c r="H2" s="17"/>
      <c r="I2" s="17"/>
      <c r="J2" s="17"/>
      <c r="K2" s="17"/>
      <c r="L2" s="17"/>
      <c r="M2" s="17"/>
      <c r="N2" s="17"/>
      <c r="O2" s="17"/>
      <c r="P2" s="17"/>
      <c r="Q2" s="17"/>
      <c r="R2" s="17"/>
      <c r="S2" s="17"/>
      <c r="T2" s="17"/>
      <c r="U2" s="17"/>
      <c r="V2" s="17"/>
      <c r="W2" s="17"/>
      <c r="X2" s="17"/>
      <c r="Y2" s="17"/>
      <c r="Z2" s="17"/>
      <c r="AA2" s="17"/>
      <c r="AB2" s="17"/>
    </row>
    <row r="3" customFormat="false" ht="15.75" hidden="false" customHeight="false" outlineLevel="0" collapsed="false">
      <c r="A3" s="17" t="s">
        <v>8998</v>
      </c>
      <c r="B3" s="17" t="s">
        <v>59</v>
      </c>
      <c r="C3" s="17"/>
      <c r="D3" s="25" t="s">
        <v>9002</v>
      </c>
      <c r="E3" s="17" t="s">
        <v>9003</v>
      </c>
      <c r="F3" s="17"/>
      <c r="G3" s="17"/>
      <c r="H3" s="17"/>
      <c r="I3" s="17"/>
      <c r="J3" s="17"/>
      <c r="K3" s="17"/>
      <c r="L3" s="17"/>
      <c r="M3" s="17"/>
      <c r="N3" s="17"/>
      <c r="O3" s="17"/>
      <c r="P3" s="17"/>
      <c r="Q3" s="17"/>
      <c r="R3" s="17"/>
      <c r="S3" s="17"/>
      <c r="T3" s="17"/>
      <c r="U3" s="17"/>
      <c r="V3" s="17"/>
      <c r="W3" s="17"/>
      <c r="X3" s="17"/>
      <c r="Y3" s="17"/>
      <c r="Z3" s="17"/>
      <c r="AA3" s="17"/>
      <c r="AB3" s="17"/>
    </row>
    <row r="4" customFormat="false" ht="15.75" hidden="false" customHeight="false" outlineLevel="0" collapsed="false">
      <c r="A4" s="17" t="s">
        <v>5770</v>
      </c>
      <c r="B4" s="17" t="s">
        <v>46</v>
      </c>
      <c r="C4" s="17"/>
      <c r="D4" s="25" t="s">
        <v>9004</v>
      </c>
      <c r="E4" s="17" t="s">
        <v>9005</v>
      </c>
      <c r="F4" s="17"/>
      <c r="G4" s="17"/>
      <c r="H4" s="17"/>
      <c r="I4" s="17"/>
      <c r="J4" s="17"/>
      <c r="K4" s="17"/>
      <c r="L4" s="17"/>
      <c r="M4" s="17"/>
      <c r="N4" s="17"/>
      <c r="O4" s="17"/>
      <c r="P4" s="17"/>
      <c r="Q4" s="17"/>
      <c r="R4" s="17"/>
      <c r="S4" s="17"/>
      <c r="T4" s="17"/>
      <c r="U4" s="17"/>
      <c r="V4" s="17"/>
      <c r="W4" s="17"/>
      <c r="X4" s="17"/>
      <c r="Y4" s="17"/>
      <c r="Z4" s="17"/>
      <c r="AA4" s="17"/>
      <c r="AB4" s="17"/>
    </row>
    <row r="5" customFormat="false" ht="15.75" hidden="false" customHeight="false" outlineLevel="0" collapsed="false">
      <c r="A5" s="17" t="s">
        <v>5770</v>
      </c>
      <c r="B5" s="17" t="s">
        <v>39</v>
      </c>
      <c r="C5" s="17"/>
      <c r="D5" s="25" t="s">
        <v>9006</v>
      </c>
      <c r="E5" s="17"/>
      <c r="F5" s="17"/>
      <c r="G5" s="17"/>
      <c r="H5" s="17"/>
      <c r="I5" s="17"/>
      <c r="J5" s="17"/>
      <c r="K5" s="17"/>
      <c r="L5" s="17"/>
      <c r="M5" s="17"/>
      <c r="N5" s="17"/>
      <c r="O5" s="17"/>
      <c r="P5" s="17"/>
      <c r="Q5" s="17"/>
      <c r="R5" s="17"/>
      <c r="S5" s="17"/>
      <c r="T5" s="17"/>
      <c r="U5" s="17"/>
      <c r="V5" s="17"/>
      <c r="W5" s="17"/>
      <c r="X5" s="17"/>
      <c r="Y5" s="17"/>
      <c r="Z5" s="17"/>
      <c r="AA5" s="17"/>
      <c r="AB5" s="17"/>
    </row>
    <row r="6" customFormat="false" ht="15.75" hidden="false" customHeight="false" outlineLevel="0" collapsed="false">
      <c r="A6" s="17" t="s">
        <v>5770</v>
      </c>
      <c r="B6" s="17" t="s">
        <v>9007</v>
      </c>
      <c r="C6" s="17"/>
      <c r="D6" s="25" t="s">
        <v>9008</v>
      </c>
      <c r="E6" s="17"/>
      <c r="F6" s="17"/>
      <c r="G6" s="17"/>
      <c r="H6" s="17"/>
      <c r="I6" s="17"/>
      <c r="J6" s="17"/>
      <c r="K6" s="17"/>
      <c r="L6" s="17"/>
      <c r="M6" s="17"/>
      <c r="N6" s="17"/>
      <c r="O6" s="17"/>
      <c r="P6" s="17"/>
      <c r="Q6" s="17"/>
      <c r="R6" s="17"/>
      <c r="S6" s="17"/>
      <c r="T6" s="17"/>
      <c r="U6" s="17"/>
      <c r="V6" s="17"/>
      <c r="W6" s="17"/>
      <c r="X6" s="17"/>
      <c r="Y6" s="17"/>
      <c r="Z6" s="17"/>
      <c r="AA6" s="17"/>
      <c r="AB6" s="17"/>
    </row>
    <row r="7" customFormat="false" ht="15.75" hidden="false" customHeight="false" outlineLevel="0" collapsed="false">
      <c r="A7" s="17" t="s">
        <v>5770</v>
      </c>
      <c r="B7" s="17" t="s">
        <v>168</v>
      </c>
      <c r="C7" s="17"/>
      <c r="D7" s="25" t="s">
        <v>9009</v>
      </c>
      <c r="E7" s="17" t="s">
        <v>9010</v>
      </c>
      <c r="F7" s="17"/>
      <c r="G7" s="17"/>
      <c r="H7" s="17"/>
      <c r="I7" s="17"/>
      <c r="J7" s="17"/>
      <c r="K7" s="17"/>
      <c r="L7" s="17"/>
      <c r="M7" s="17"/>
      <c r="N7" s="17"/>
      <c r="O7" s="17"/>
      <c r="P7" s="17"/>
      <c r="Q7" s="17"/>
      <c r="R7" s="17"/>
      <c r="S7" s="17"/>
      <c r="T7" s="17"/>
      <c r="U7" s="17"/>
      <c r="V7" s="17"/>
      <c r="W7" s="17"/>
      <c r="X7" s="17"/>
      <c r="Y7" s="17"/>
      <c r="Z7" s="17"/>
      <c r="AA7" s="17"/>
      <c r="AB7" s="17"/>
    </row>
    <row r="8" customFormat="false" ht="15.75" hidden="false" customHeight="false" outlineLevel="0" collapsed="false">
      <c r="A8" s="17" t="s">
        <v>9011</v>
      </c>
      <c r="B8" s="17" t="s">
        <v>638</v>
      </c>
      <c r="C8" s="17"/>
      <c r="D8" s="17" t="s">
        <v>9012</v>
      </c>
      <c r="E8" s="17"/>
      <c r="F8" s="17"/>
      <c r="G8" s="17"/>
      <c r="H8" s="17"/>
      <c r="I8" s="17"/>
      <c r="J8" s="17"/>
      <c r="K8" s="17"/>
      <c r="L8" s="17"/>
      <c r="M8" s="17"/>
      <c r="N8" s="17"/>
      <c r="O8" s="17"/>
      <c r="P8" s="17"/>
      <c r="Q8" s="17"/>
      <c r="R8" s="17"/>
      <c r="S8" s="17"/>
      <c r="T8" s="17"/>
      <c r="U8" s="17"/>
      <c r="V8" s="17"/>
      <c r="W8" s="17"/>
      <c r="X8" s="17"/>
      <c r="Y8" s="17"/>
      <c r="Z8" s="17"/>
      <c r="AA8" s="17"/>
      <c r="AB8" s="17"/>
    </row>
    <row r="9" customFormat="false" ht="15.75" hidden="false" customHeight="false" outlineLevel="0" collapsed="false">
      <c r="A9" s="17" t="s">
        <v>9013</v>
      </c>
      <c r="B9" s="17"/>
      <c r="C9" s="17" t="s">
        <v>9014</v>
      </c>
      <c r="D9" s="17"/>
      <c r="E9" s="17"/>
      <c r="F9" s="17"/>
      <c r="G9" s="17"/>
      <c r="H9" s="17"/>
      <c r="I9" s="17"/>
      <c r="J9" s="17"/>
      <c r="K9" s="17"/>
      <c r="L9" s="17"/>
      <c r="M9" s="17"/>
      <c r="N9" s="17"/>
      <c r="O9" s="17"/>
      <c r="P9" s="17"/>
      <c r="Q9" s="17"/>
      <c r="R9" s="17"/>
      <c r="S9" s="17"/>
      <c r="T9" s="17"/>
      <c r="U9" s="17"/>
      <c r="V9" s="17"/>
      <c r="W9" s="17"/>
      <c r="X9" s="17"/>
      <c r="Y9" s="17"/>
      <c r="Z9" s="17"/>
      <c r="AA9" s="17"/>
      <c r="AB9" s="17"/>
    </row>
    <row r="10" customFormat="false" ht="15.75" hidden="false" customHeight="false" outlineLevel="0" collapsed="false">
      <c r="A10" s="17" t="s">
        <v>5770</v>
      </c>
      <c r="B10" s="17" t="s">
        <v>4191</v>
      </c>
      <c r="C10" s="17" t="s">
        <v>9015</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ustomFormat="false" ht="15.75" hidden="false" customHeight="false" outlineLevel="0" collapsed="false">
      <c r="A11" s="17" t="s">
        <v>9013</v>
      </c>
      <c r="B11" s="17" t="s">
        <v>9016</v>
      </c>
      <c r="C11" s="17" t="s">
        <v>9017</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ustomFormat="false" ht="15.75" hidden="false" customHeight="false" outlineLevel="0" collapsed="false">
      <c r="A12" s="17" t="s">
        <v>9013</v>
      </c>
      <c r="B12" s="17" t="s">
        <v>9018</v>
      </c>
      <c r="C12" s="17" t="s">
        <v>9019</v>
      </c>
      <c r="D12" s="17"/>
      <c r="E12" s="17"/>
      <c r="F12" s="17"/>
      <c r="G12" s="17"/>
      <c r="H12" s="17"/>
      <c r="I12" s="17"/>
      <c r="J12" s="17"/>
      <c r="K12" s="17"/>
      <c r="L12" s="17"/>
      <c r="M12" s="17"/>
      <c r="N12" s="17"/>
      <c r="O12" s="17"/>
      <c r="P12" s="17"/>
      <c r="Q12" s="17"/>
      <c r="R12" s="17"/>
      <c r="S12" s="17"/>
      <c r="T12" s="17"/>
      <c r="U12" s="17"/>
      <c r="V12" s="17"/>
      <c r="W12" s="17"/>
      <c r="X12" s="17"/>
      <c r="Y12" s="17"/>
      <c r="Z12" s="17"/>
      <c r="AA12" s="17"/>
      <c r="AB12" s="17"/>
    </row>
    <row r="13" customFormat="false" ht="15.75" hidden="false" customHeight="false" outlineLevel="0" collapsed="false">
      <c r="A13" s="17" t="s">
        <v>8998</v>
      </c>
      <c r="B13" s="17" t="s">
        <v>9020</v>
      </c>
      <c r="C13" s="17" t="s">
        <v>9021</v>
      </c>
      <c r="D13" s="17"/>
      <c r="E13" s="17"/>
      <c r="F13" s="17"/>
      <c r="G13" s="17"/>
      <c r="H13" s="17"/>
      <c r="I13" s="17"/>
      <c r="J13" s="17"/>
      <c r="K13" s="17"/>
      <c r="L13" s="17"/>
      <c r="M13" s="17"/>
      <c r="N13" s="17"/>
      <c r="O13" s="17"/>
      <c r="P13" s="17"/>
      <c r="Q13" s="17"/>
      <c r="R13" s="17"/>
      <c r="S13" s="17"/>
      <c r="T13" s="17"/>
      <c r="U13" s="17"/>
      <c r="V13" s="17"/>
      <c r="W13" s="17"/>
      <c r="X13" s="17"/>
      <c r="Y13" s="17"/>
      <c r="Z13" s="17"/>
      <c r="AA13" s="17"/>
      <c r="AB13" s="17"/>
    </row>
    <row r="14" customFormat="false" ht="15.75" hidden="false" customHeight="false" outlineLevel="0" collapsed="false">
      <c r="A14" s="17" t="s">
        <v>9011</v>
      </c>
      <c r="B14" s="17" t="s">
        <v>9022</v>
      </c>
      <c r="C14" s="17" t="s">
        <v>9023</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row>
    <row r="15" customFormat="false" ht="15.75" hidden="false" customHeight="false" outlineLevel="0" collapsed="false">
      <c r="A15" s="17" t="s">
        <v>9011</v>
      </c>
      <c r="B15" s="17" t="s">
        <v>9024</v>
      </c>
      <c r="C15" s="17" t="s">
        <v>9025</v>
      </c>
      <c r="D15" s="17"/>
      <c r="E15" s="17"/>
      <c r="F15" s="17"/>
      <c r="G15" s="17"/>
      <c r="H15" s="17"/>
      <c r="I15" s="17"/>
      <c r="J15" s="17"/>
      <c r="K15" s="17"/>
      <c r="L15" s="17"/>
      <c r="M15" s="17"/>
      <c r="N15" s="17"/>
      <c r="O15" s="17"/>
      <c r="P15" s="17"/>
      <c r="Q15" s="17"/>
      <c r="R15" s="17"/>
      <c r="S15" s="17"/>
      <c r="T15" s="17"/>
      <c r="U15" s="17"/>
      <c r="V15" s="17"/>
      <c r="W15" s="17"/>
      <c r="X15" s="17"/>
      <c r="Y15" s="17"/>
      <c r="Z15" s="17"/>
      <c r="AA15" s="17"/>
      <c r="AB15" s="17"/>
    </row>
    <row r="16" customFormat="false" ht="15.75" hidden="false" customHeight="false" outlineLevel="0" collapsed="false">
      <c r="A16" s="17" t="s">
        <v>9013</v>
      </c>
      <c r="B16" s="17" t="s">
        <v>9026</v>
      </c>
      <c r="C16" s="17" t="s">
        <v>9027</v>
      </c>
      <c r="D16" s="17"/>
      <c r="E16" s="17"/>
      <c r="F16" s="17"/>
      <c r="G16" s="17"/>
      <c r="H16" s="17"/>
      <c r="I16" s="17"/>
      <c r="J16" s="17"/>
      <c r="K16" s="17"/>
      <c r="L16" s="17"/>
      <c r="M16" s="17"/>
      <c r="N16" s="17"/>
      <c r="O16" s="17"/>
      <c r="P16" s="17"/>
      <c r="Q16" s="17"/>
      <c r="R16" s="17"/>
      <c r="S16" s="17"/>
      <c r="T16" s="17"/>
      <c r="U16" s="17"/>
      <c r="V16" s="17"/>
      <c r="W16" s="17"/>
      <c r="X16" s="17"/>
      <c r="Y16" s="17"/>
      <c r="Z16" s="17"/>
      <c r="AA16" s="17"/>
      <c r="AB16" s="17"/>
    </row>
    <row r="17" customFormat="false" ht="15.75" hidden="false" customHeight="false" outlineLevel="0" collapsed="false">
      <c r="A17" s="17" t="s">
        <v>9011</v>
      </c>
      <c r="B17" s="17" t="s">
        <v>9028</v>
      </c>
      <c r="C17" s="17" t="s">
        <v>9029</v>
      </c>
      <c r="D17" s="17"/>
      <c r="E17" s="17"/>
      <c r="F17" s="17"/>
      <c r="G17" s="17"/>
      <c r="H17" s="17"/>
      <c r="I17" s="17"/>
      <c r="J17" s="17"/>
      <c r="K17" s="17"/>
      <c r="L17" s="17"/>
      <c r="M17" s="17"/>
      <c r="N17" s="17"/>
      <c r="O17" s="17"/>
      <c r="P17" s="17"/>
      <c r="Q17" s="17"/>
      <c r="R17" s="17"/>
      <c r="S17" s="17"/>
      <c r="T17" s="17"/>
      <c r="U17" s="17"/>
      <c r="V17" s="17"/>
      <c r="W17" s="17"/>
      <c r="X17" s="17"/>
      <c r="Y17" s="17"/>
      <c r="Z17" s="17"/>
      <c r="AA17" s="17"/>
      <c r="AB17" s="17"/>
    </row>
    <row r="18" customFormat="false" ht="15.75" hidden="false" customHeight="false" outlineLevel="0" collapsed="false">
      <c r="A18" s="17" t="s">
        <v>5770</v>
      </c>
      <c r="B18" s="17" t="s">
        <v>9030</v>
      </c>
      <c r="C18" s="17" t="s">
        <v>9031</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row>
    <row r="19" customFormat="false" ht="15.75" hidden="false" customHeight="false" outlineLevel="0" collapsed="false">
      <c r="A19" s="17" t="s">
        <v>9013</v>
      </c>
      <c r="B19" s="17" t="s">
        <v>9032</v>
      </c>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row>
    <row r="20" customFormat="false" ht="15.75" hidden="false" customHeight="false" outlineLevel="0" collapsed="false">
      <c r="A20" s="17" t="s">
        <v>9013</v>
      </c>
      <c r="B20" s="17" t="s">
        <v>9033</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row>
    <row r="21" customFormat="false" ht="15.75" hidden="false" customHeight="false" outlineLevel="0" collapsed="false">
      <c r="A21" s="17" t="s">
        <v>9013</v>
      </c>
      <c r="B21" s="17" t="s">
        <v>8736</v>
      </c>
      <c r="C21" s="17" t="s">
        <v>9034</v>
      </c>
      <c r="D21" s="17"/>
      <c r="E21" s="17"/>
      <c r="F21" s="17"/>
      <c r="G21" s="17"/>
      <c r="H21" s="17"/>
      <c r="I21" s="17"/>
      <c r="J21" s="17"/>
      <c r="K21" s="17"/>
      <c r="L21" s="17"/>
      <c r="M21" s="17"/>
      <c r="N21" s="17"/>
      <c r="O21" s="17"/>
      <c r="P21" s="17"/>
      <c r="Q21" s="17"/>
      <c r="R21" s="17"/>
      <c r="S21" s="17"/>
      <c r="T21" s="17"/>
      <c r="U21" s="17"/>
      <c r="V21" s="17"/>
      <c r="W21" s="17"/>
      <c r="X21" s="17"/>
      <c r="Y21" s="17"/>
      <c r="Z21" s="17"/>
      <c r="AA21" s="17"/>
      <c r="AB21" s="17"/>
    </row>
    <row r="22" customFormat="false" ht="15.75" hidden="false" customHeight="false" outlineLevel="0" collapsed="false">
      <c r="A22" s="17" t="s">
        <v>9013</v>
      </c>
      <c r="B22" s="17" t="s">
        <v>9035</v>
      </c>
      <c r="C22" s="17" t="s">
        <v>9036</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row>
  </sheetData>
  <hyperlinks>
    <hyperlink ref="D2" r:id="rId1" display="http://www.opendata500.com/"/>
    <hyperlink ref="D3" r:id="rId2" display="https://finances.worldbank.org/Reference/Open-Data-Use-Cases-Solutions-Survey-Responses/hibh-z4ax"/>
    <hyperlink ref="D4" r:id="rId3" display="https://finances.worldbank.org/dataset/Pipeline-research-open-data-driven-companies-in-em/u4wq-7b6m"/>
    <hyperlink ref="D5" r:id="rId4" display="https://sunlightfoundation.com/blog/2015/02/25/were-still-looking-for-open-data-social-impact-stories/"/>
    <hyperlink ref="D6" r:id="rId5" display="https://docs.google.com/a/odenterprise.org/document/d/1wTUdHZFAEAy8LJ0khr25ztHYetCec5pZVFnIGyrD4OY/edit"/>
    <hyperlink ref="D7" r:id="rId6" display="http://theodi.org/open-business-uk-survey"/>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J2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RowHeight="15.75"/>
  <cols>
    <col collapsed="false" hidden="false" max="1" min="1" style="0" width="30.5714285714286"/>
    <col collapsed="false" hidden="false" max="1025" min="2" style="0" width="14.4285714285714"/>
  </cols>
  <sheetData>
    <row r="1" customFormat="false" ht="15.75" hidden="false" customHeight="false" outlineLevel="0" collapsed="false">
      <c r="A1" s="139" t="s">
        <v>9037</v>
      </c>
      <c r="B1" s="140"/>
      <c r="C1" s="141" t="s">
        <v>9038</v>
      </c>
      <c r="D1" s="141"/>
      <c r="E1" s="141"/>
      <c r="F1" s="141"/>
    </row>
    <row r="2" customFormat="false" ht="15.75" hidden="false" customHeight="false" outlineLevel="0" collapsed="false">
      <c r="A2" s="114"/>
    </row>
    <row r="3" customFormat="false" ht="15.75" hidden="false" customHeight="false" outlineLevel="0" collapsed="false">
      <c r="A3" s="142" t="s">
        <v>9039</v>
      </c>
      <c r="G3" s="143" t="s">
        <v>9040</v>
      </c>
      <c r="H3" s="144"/>
      <c r="I3" s="144"/>
      <c r="J3" s="144"/>
    </row>
    <row r="4" customFormat="false" ht="15.75" hidden="false" customHeight="false" outlineLevel="0" collapsed="false">
      <c r="A4" s="114" t="s">
        <v>66</v>
      </c>
      <c r="G4" s="47" t="s">
        <v>149</v>
      </c>
      <c r="H4" s="135" t="s">
        <v>9041</v>
      </c>
    </row>
    <row r="5" customFormat="false" ht="15.75" hidden="false" customHeight="false" outlineLevel="0" collapsed="false">
      <c r="A5" s="114" t="s">
        <v>167</v>
      </c>
      <c r="G5" s="47" t="s">
        <v>675</v>
      </c>
      <c r="H5" s="135" t="s">
        <v>9042</v>
      </c>
    </row>
    <row r="6" customFormat="false" ht="15.75" hidden="false" customHeight="false" outlineLevel="0" collapsed="false">
      <c r="A6" s="114" t="s">
        <v>9043</v>
      </c>
      <c r="G6" s="47" t="s">
        <v>157</v>
      </c>
    </row>
    <row r="7" customFormat="false" ht="15.75" hidden="false" customHeight="false" outlineLevel="0" collapsed="false">
      <c r="A7" s="114" t="s">
        <v>2556</v>
      </c>
      <c r="G7" s="47" t="s">
        <v>1796</v>
      </c>
    </row>
    <row r="8" customFormat="false" ht="15.75" hidden="false" customHeight="false" outlineLevel="0" collapsed="false">
      <c r="A8" s="114" t="s">
        <v>9044</v>
      </c>
      <c r="B8" s="135" t="s">
        <v>9045</v>
      </c>
      <c r="G8" s="47" t="s">
        <v>9046</v>
      </c>
    </row>
    <row r="9" customFormat="false" ht="15.75" hidden="false" customHeight="false" outlineLevel="0" collapsed="false">
      <c r="A9" s="114" t="s">
        <v>9047</v>
      </c>
      <c r="B9" s="145"/>
    </row>
    <row r="10" customFormat="false" ht="15.75" hidden="false" customHeight="false" outlineLevel="0" collapsed="false">
      <c r="A10" s="114" t="s">
        <v>1565</v>
      </c>
    </row>
    <row r="11" customFormat="false" ht="15.75" hidden="false" customHeight="false" outlineLevel="0" collapsed="false">
      <c r="A11" s="114" t="s">
        <v>1843</v>
      </c>
      <c r="B11" s="30"/>
    </row>
    <row r="12" customFormat="false" ht="15.75" hidden="false" customHeight="false" outlineLevel="0" collapsed="false">
      <c r="A12" s="114" t="s">
        <v>2035</v>
      </c>
    </row>
    <row r="13" customFormat="false" ht="15.75" hidden="false" customHeight="false" outlineLevel="0" collapsed="false">
      <c r="A13" s="114" t="s">
        <v>9048</v>
      </c>
    </row>
    <row r="14" customFormat="false" ht="15.75" hidden="false" customHeight="false" outlineLevel="0" collapsed="false">
      <c r="A14" s="114" t="s">
        <v>611</v>
      </c>
      <c r="B14" s="135" t="s">
        <v>9049</v>
      </c>
    </row>
    <row r="15" customFormat="false" ht="15.75" hidden="false" customHeight="false" outlineLevel="0" collapsed="false">
      <c r="A15" s="114" t="s">
        <v>9050</v>
      </c>
      <c r="B15" s="135" t="s">
        <v>9051</v>
      </c>
    </row>
    <row r="16" customFormat="false" ht="15.75" hidden="false" customHeight="false" outlineLevel="0" collapsed="false">
      <c r="A16" s="114" t="s">
        <v>9052</v>
      </c>
      <c r="B16" s="135" t="s">
        <v>9053</v>
      </c>
    </row>
    <row r="17" customFormat="false" ht="15.75" hidden="false" customHeight="false" outlineLevel="0" collapsed="false">
      <c r="A17" s="114" t="s">
        <v>9054</v>
      </c>
      <c r="B17" s="135" t="s">
        <v>9055</v>
      </c>
    </row>
    <row r="18" customFormat="false" ht="15.75" hidden="false" customHeight="false" outlineLevel="0" collapsed="false">
      <c r="A18" s="114" t="s">
        <v>9056</v>
      </c>
    </row>
    <row r="19" customFormat="false" ht="15.75" hidden="false" customHeight="false" outlineLevel="0" collapsed="false">
      <c r="A19" s="114" t="s">
        <v>9057</v>
      </c>
      <c r="B19" s="135" t="s">
        <v>9058</v>
      </c>
    </row>
    <row r="20" customFormat="false" ht="15.75" hidden="false" customHeight="false" outlineLevel="0" collapsed="false">
      <c r="A20" s="114" t="s">
        <v>9059</v>
      </c>
    </row>
    <row r="21" customFormat="false" ht="15.75" hidden="false" customHeight="false" outlineLevel="0" collapsed="false">
      <c r="A21" s="114" t="s">
        <v>9060</v>
      </c>
      <c r="B21" s="135" t="s">
        <v>9061</v>
      </c>
    </row>
    <row r="22" customFormat="false" ht="15.75" hidden="false" customHeight="false" outlineLevel="0" collapsed="false">
      <c r="A22" s="114" t="s">
        <v>9062</v>
      </c>
      <c r="B22" s="145"/>
    </row>
    <row r="23" customFormat="false" ht="15.75" hidden="false" customHeight="false" outlineLevel="0" collapsed="false">
      <c r="A23" s="114" t="s">
        <v>3842</v>
      </c>
    </row>
    <row r="24" customFormat="false" ht="15.75" hidden="false" customHeight="false" outlineLevel="0" collapsed="false">
      <c r="A24" s="114" t="s">
        <v>8034</v>
      </c>
      <c r="B24" s="135" t="s">
        <v>9063</v>
      </c>
    </row>
    <row r="25" customFormat="false" ht="15.75" hidden="false" customHeight="false" outlineLevel="0" collapsed="false">
      <c r="A25" s="114" t="s">
        <v>4892</v>
      </c>
    </row>
    <row r="26" customFormat="false" ht="15.75" hidden="false" customHeight="false" outlineLevel="0" collapsed="false">
      <c r="A26" s="47" t="s">
        <v>8993</v>
      </c>
    </row>
  </sheetData>
  <mergeCells count="1">
    <mergeCell ref="C1:F1"/>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W4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cols>
    <col collapsed="false" hidden="false" max="1" min="1" style="0" width="9.5765306122449"/>
    <col collapsed="false" hidden="false" max="2" min="2" style="0" width="21.2908163265306"/>
    <col collapsed="false" hidden="true" max="7" min="3" style="0" width="0"/>
    <col collapsed="false" hidden="false" max="8" min="8" style="0" width="49.1377551020408"/>
    <col collapsed="false" hidden="false" max="9" min="9" style="0" width="85.2857142857143"/>
    <col collapsed="false" hidden="false" max="1025" min="10" style="0" width="14.4285714285714"/>
  </cols>
  <sheetData>
    <row r="1" customFormat="false" ht="15" hidden="false" customHeight="true" outlineLevel="0" collapsed="false">
      <c r="A1" s="146" t="s">
        <v>9064</v>
      </c>
      <c r="B1" s="147" t="s">
        <v>9065</v>
      </c>
      <c r="C1" s="148" t="s">
        <v>9066</v>
      </c>
      <c r="D1" s="148" t="s">
        <v>9067</v>
      </c>
      <c r="E1" s="148" t="s">
        <v>9068</v>
      </c>
      <c r="F1" s="148" t="s">
        <v>9069</v>
      </c>
      <c r="G1" s="148" t="s">
        <v>9070</v>
      </c>
      <c r="H1" s="149"/>
      <c r="I1" s="150"/>
      <c r="J1" s="150"/>
      <c r="K1" s="150"/>
      <c r="L1" s="150"/>
      <c r="M1" s="150"/>
      <c r="N1" s="150"/>
      <c r="O1" s="150"/>
      <c r="P1" s="150"/>
      <c r="Q1" s="150"/>
      <c r="R1" s="150"/>
      <c r="S1" s="150"/>
      <c r="T1" s="150"/>
      <c r="U1" s="150"/>
      <c r="V1" s="150"/>
      <c r="W1" s="150"/>
    </row>
    <row r="2" customFormat="false" ht="15.75" hidden="false" customHeight="false" outlineLevel="0" collapsed="false">
      <c r="A2" s="63" t="s">
        <v>9071</v>
      </c>
      <c r="B2" s="81" t="s">
        <v>9072</v>
      </c>
      <c r="C2" s="29" t="s">
        <v>9073</v>
      </c>
      <c r="D2" s="29" t="s">
        <v>9074</v>
      </c>
      <c r="E2" s="29" t="s">
        <v>8858</v>
      </c>
      <c r="F2" s="29" t="s">
        <v>9075</v>
      </c>
      <c r="G2" s="29" t="s">
        <v>9076</v>
      </c>
      <c r="H2" s="149"/>
    </row>
    <row r="3" customFormat="false" ht="15.75" hidden="false" customHeight="false" outlineLevel="0" collapsed="false">
      <c r="A3" s="63" t="s">
        <v>9077</v>
      </c>
      <c r="B3" s="27" t="s">
        <v>9078</v>
      </c>
      <c r="C3" s="29" t="s">
        <v>9079</v>
      </c>
      <c r="D3" s="29" t="s">
        <v>9080</v>
      </c>
      <c r="E3" s="29" t="s">
        <v>9081</v>
      </c>
      <c r="F3" s="29" t="s">
        <v>9082</v>
      </c>
      <c r="G3" s="29" t="s">
        <v>9083</v>
      </c>
      <c r="H3" s="149"/>
    </row>
    <row r="4" customFormat="false" ht="15.75" hidden="false" customHeight="false" outlineLevel="0" collapsed="false">
      <c r="A4" s="63" t="s">
        <v>9084</v>
      </c>
      <c r="B4" s="81" t="s">
        <v>9085</v>
      </c>
      <c r="C4" s="29" t="s">
        <v>9086</v>
      </c>
      <c r="D4" s="29" t="s">
        <v>9087</v>
      </c>
      <c r="E4" s="29" t="s">
        <v>9088</v>
      </c>
      <c r="F4" s="29" t="s">
        <v>9082</v>
      </c>
      <c r="G4" s="29" t="s">
        <v>9083</v>
      </c>
      <c r="H4" s="149"/>
    </row>
    <row r="5" customFormat="false" ht="15.75" hidden="false" customHeight="false" outlineLevel="0" collapsed="false">
      <c r="A5" s="63" t="s">
        <v>9089</v>
      </c>
      <c r="B5" s="81" t="s">
        <v>9090</v>
      </c>
      <c r="C5" s="151" t="s">
        <v>9091</v>
      </c>
      <c r="D5" s="151" t="s">
        <v>9092</v>
      </c>
      <c r="E5" s="151" t="s">
        <v>9093</v>
      </c>
      <c r="F5" s="151" t="s">
        <v>9094</v>
      </c>
      <c r="G5" s="151" t="s">
        <v>9083</v>
      </c>
      <c r="H5" s="149"/>
    </row>
    <row r="6" customFormat="false" ht="15.75" hidden="false" customHeight="false" outlineLevel="0" collapsed="false">
      <c r="A6" s="152" t="s">
        <v>9095</v>
      </c>
      <c r="B6" s="153" t="s">
        <v>9096</v>
      </c>
    </row>
    <row r="7" customFormat="false" ht="15.75" hidden="false" customHeight="false" outlineLevel="0" collapsed="false">
      <c r="A7" s="149"/>
    </row>
    <row r="8" customFormat="false" ht="15.75" hidden="false" customHeight="false" outlineLevel="0" collapsed="false">
      <c r="A8" s="149"/>
      <c r="B8" s="154" t="s">
        <v>9097</v>
      </c>
    </row>
    <row r="9" customFormat="false" ht="15.75" hidden="false" customHeight="false" outlineLevel="0" collapsed="false">
      <c r="A9" s="149"/>
      <c r="B9" s="82" t="s">
        <v>9098</v>
      </c>
    </row>
    <row r="10" customFormat="false" ht="15.75" hidden="false" customHeight="false" outlineLevel="0" collapsed="false">
      <c r="A10" s="149"/>
      <c r="B10" s="82" t="s">
        <v>9099</v>
      </c>
    </row>
    <row r="11" customFormat="false" ht="15.75" hidden="false" customHeight="false" outlineLevel="0" collapsed="false">
      <c r="A11" s="149"/>
      <c r="B11" s="82" t="s">
        <v>9100</v>
      </c>
    </row>
    <row r="12" customFormat="false" ht="15.75" hidden="false" customHeight="false" outlineLevel="0" collapsed="false">
      <c r="A12" s="149"/>
      <c r="B12" s="82" t="s">
        <v>9101</v>
      </c>
    </row>
    <row r="13" customFormat="false" ht="15.75" hidden="false" customHeight="false" outlineLevel="0" collapsed="false">
      <c r="A13" s="149"/>
      <c r="B13" s="82" t="s">
        <v>9102</v>
      </c>
    </row>
    <row r="14" customFormat="false" ht="15.75" hidden="false" customHeight="false" outlineLevel="0" collapsed="false">
      <c r="A14" s="149"/>
      <c r="B14" s="82" t="s">
        <v>9103</v>
      </c>
    </row>
    <row r="15" customFormat="false" ht="15.75" hidden="false" customHeight="false" outlineLevel="0" collapsed="false">
      <c r="A15" s="149"/>
      <c r="B15" s="82" t="s">
        <v>9104</v>
      </c>
    </row>
    <row r="16" customFormat="false" ht="15.75" hidden="false" customHeight="false" outlineLevel="0" collapsed="false">
      <c r="A16" s="149"/>
      <c r="B16" s="155" t="s">
        <v>9105</v>
      </c>
    </row>
    <row r="17" customFormat="false" ht="15.75" hidden="false" customHeight="false" outlineLevel="0" collapsed="false">
      <c r="A17" s="149"/>
    </row>
    <row r="18" customFormat="false" ht="15.75" hidden="false" customHeight="false" outlineLevel="0" collapsed="false">
      <c r="A18" s="149"/>
      <c r="B18" s="156" t="s">
        <v>9106</v>
      </c>
    </row>
    <row r="19" customFormat="false" ht="15.75" hidden="false" customHeight="false" outlineLevel="0" collapsed="false">
      <c r="A19" s="149"/>
      <c r="B19" s="157" t="s">
        <v>9107</v>
      </c>
    </row>
    <row r="20" customFormat="false" ht="15.75" hidden="false" customHeight="false" outlineLevel="0" collapsed="false">
      <c r="A20" s="149"/>
      <c r="B20" s="82" t="s">
        <v>9108</v>
      </c>
    </row>
    <row r="21" customFormat="false" ht="15.75" hidden="false" customHeight="false" outlineLevel="0" collapsed="false">
      <c r="A21" s="149"/>
      <c r="B21" s="82" t="s">
        <v>9109</v>
      </c>
    </row>
    <row r="22" customFormat="false" ht="15.75" hidden="false" customHeight="false" outlineLevel="0" collapsed="false">
      <c r="A22" s="149"/>
      <c r="B22" s="82" t="s">
        <v>9110</v>
      </c>
    </row>
    <row r="23" customFormat="false" ht="15.75" hidden="false" customHeight="false" outlineLevel="0" collapsed="false">
      <c r="A23" s="149"/>
      <c r="B23" s="155" t="s">
        <v>9111</v>
      </c>
    </row>
    <row r="24" customFormat="false" ht="15.75" hidden="false" customHeight="false" outlineLevel="0" collapsed="false">
      <c r="A24" s="149"/>
    </row>
    <row r="25" customFormat="false" ht="15.75" hidden="false" customHeight="false" outlineLevel="0" collapsed="false">
      <c r="A25" s="149"/>
    </row>
    <row r="26" customFormat="false" ht="15.75" hidden="false" customHeight="false" outlineLevel="0" collapsed="false">
      <c r="A26" s="149"/>
    </row>
    <row r="27" customFormat="false" ht="15.75" hidden="false" customHeight="false" outlineLevel="0" collapsed="false">
      <c r="A27" s="149"/>
      <c r="B27" s="17" t="s">
        <v>9112</v>
      </c>
    </row>
    <row r="28" customFormat="false" ht="15.75" hidden="false" customHeight="false" outlineLevel="0" collapsed="false">
      <c r="A28" s="149"/>
    </row>
    <row r="29" customFormat="false" ht="15.75" hidden="false" customHeight="false" outlineLevel="0" collapsed="false">
      <c r="A29" s="149"/>
      <c r="B29" s="158" t="s">
        <v>9113</v>
      </c>
      <c r="C29" s="159"/>
      <c r="D29" s="159"/>
      <c r="E29" s="159"/>
      <c r="F29" s="159"/>
      <c r="G29" s="159"/>
      <c r="H29" s="158" t="s">
        <v>9114</v>
      </c>
    </row>
    <row r="30" customFormat="false" ht="15.75" hidden="false" customHeight="true" outlineLevel="0" collapsed="false">
      <c r="A30" s="149"/>
      <c r="B30" s="160" t="s">
        <v>74</v>
      </c>
      <c r="C30" s="161"/>
      <c r="D30" s="161"/>
      <c r="E30" s="161"/>
      <c r="F30" s="161"/>
      <c r="G30" s="161"/>
      <c r="H30" s="162" t="s">
        <v>9115</v>
      </c>
    </row>
    <row r="31" customFormat="false" ht="15.75" hidden="false" customHeight="false" outlineLevel="0" collapsed="false">
      <c r="A31" s="149"/>
      <c r="B31" s="160"/>
      <c r="C31" s="161"/>
      <c r="D31" s="161"/>
      <c r="E31" s="161"/>
      <c r="F31" s="161"/>
      <c r="G31" s="161"/>
      <c r="H31" s="162"/>
    </row>
    <row r="32" customFormat="false" ht="15.75" hidden="false" customHeight="false" outlineLevel="0" collapsed="false">
      <c r="A32" s="149"/>
      <c r="B32" s="160"/>
      <c r="C32" s="161"/>
      <c r="D32" s="161"/>
      <c r="E32" s="161"/>
      <c r="F32" s="161"/>
      <c r="G32" s="161"/>
      <c r="H32" s="162"/>
    </row>
    <row r="33" customFormat="false" ht="15.75" hidden="false" customHeight="false" outlineLevel="0" collapsed="false">
      <c r="A33" s="149"/>
      <c r="B33" s="160"/>
      <c r="C33" s="161"/>
      <c r="D33" s="161"/>
      <c r="E33" s="161"/>
      <c r="F33" s="161"/>
      <c r="G33" s="161"/>
      <c r="H33" s="162"/>
    </row>
    <row r="34" customFormat="false" ht="15.75" hidden="false" customHeight="true" outlineLevel="0" collapsed="false">
      <c r="A34" s="149"/>
      <c r="B34" s="160" t="s">
        <v>140</v>
      </c>
      <c r="H34" s="163" t="s">
        <v>9116</v>
      </c>
    </row>
    <row r="35" customFormat="false" ht="15.75" hidden="false" customHeight="false" outlineLevel="0" collapsed="false">
      <c r="A35" s="149"/>
      <c r="B35" s="160"/>
      <c r="H35" s="163"/>
    </row>
    <row r="36" customFormat="false" ht="15.75" hidden="false" customHeight="false" outlineLevel="0" collapsed="false">
      <c r="A36" s="149"/>
      <c r="B36" s="160"/>
      <c r="H36" s="163"/>
    </row>
    <row r="37" customFormat="false" ht="15.75" hidden="false" customHeight="true" outlineLevel="0" collapsed="false">
      <c r="A37" s="149"/>
      <c r="B37" s="160" t="s">
        <v>58</v>
      </c>
      <c r="C37" s="161"/>
      <c r="D37" s="161"/>
      <c r="E37" s="161"/>
      <c r="F37" s="161"/>
      <c r="G37" s="161"/>
      <c r="H37" s="162" t="s">
        <v>9117</v>
      </c>
    </row>
    <row r="38" customFormat="false" ht="15.75" hidden="false" customHeight="false" outlineLevel="0" collapsed="false">
      <c r="A38" s="149"/>
      <c r="B38" s="160"/>
      <c r="C38" s="161"/>
      <c r="D38" s="161"/>
      <c r="E38" s="161"/>
      <c r="F38" s="161"/>
      <c r="G38" s="161"/>
      <c r="H38" s="162"/>
    </row>
    <row r="39" customFormat="false" ht="15.75" hidden="false" customHeight="false" outlineLevel="0" collapsed="false">
      <c r="A39" s="149"/>
      <c r="B39" s="160"/>
      <c r="C39" s="161"/>
      <c r="D39" s="161"/>
      <c r="E39" s="161"/>
      <c r="F39" s="161"/>
      <c r="G39" s="161"/>
      <c r="H39" s="162"/>
    </row>
    <row r="40" customFormat="false" ht="15.75" hidden="false" customHeight="true" outlineLevel="0" collapsed="false">
      <c r="A40" s="149"/>
      <c r="B40" s="160" t="s">
        <v>147</v>
      </c>
      <c r="H40" s="162" t="s">
        <v>9118</v>
      </c>
    </row>
    <row r="41" customFormat="false" ht="15.75" hidden="false" customHeight="false" outlineLevel="0" collapsed="false">
      <c r="A41" s="149"/>
      <c r="B41" s="160"/>
      <c r="H41" s="162"/>
    </row>
    <row r="42" customFormat="false" ht="15.75" hidden="false" customHeight="false" outlineLevel="0" collapsed="false">
      <c r="A42" s="149"/>
      <c r="B42" s="160"/>
      <c r="H42" s="162"/>
    </row>
    <row r="43" customFormat="false" ht="15.75" hidden="false" customHeight="false" outlineLevel="0" collapsed="false">
      <c r="A43" s="149"/>
      <c r="B43" s="164" t="s">
        <v>9119</v>
      </c>
      <c r="H43" s="161"/>
    </row>
  </sheetData>
  <mergeCells count="8">
    <mergeCell ref="B30:B33"/>
    <mergeCell ref="H30:H33"/>
    <mergeCell ref="B34:B36"/>
    <mergeCell ref="H34:H36"/>
    <mergeCell ref="B37:B39"/>
    <mergeCell ref="H37:H39"/>
    <mergeCell ref="B40:B42"/>
    <mergeCell ref="H40:H42"/>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otalTime>10998</TotalTime>
  <Application>LibreOffice/4.4.1.2$MacOSX_X86_64 LibreOffice_project/45e2de17089c24a1fa810c8f975a7171ba4cd432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language>en-US</dc:language>
  <dcterms:modified xsi:type="dcterms:W3CDTF">2015-05-12T10:10:22Z</dcterms:modified>
  <cp:revision>17</cp:revision>
</cp:coreProperties>
</file>

<file path=docProps/custom.xml><?xml version="1.0" encoding="utf-8"?>
<Properties xmlns="http://schemas.openxmlformats.org/officeDocument/2006/custom-properties" xmlns:vt="http://schemas.openxmlformats.org/officeDocument/2006/docPropsVTypes"/>
</file>